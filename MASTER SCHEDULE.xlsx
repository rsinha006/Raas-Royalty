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rishabhsinha/Projects/Royalty/"/>
    </mc:Choice>
  </mc:AlternateContent>
  <xr:revisionPtr revIDLastSave="0" documentId="8_{F14B34B8-8A0B-3942-8AE4-417D82B30FC4}" xr6:coauthVersionLast="47" xr6:coauthVersionMax="47" xr10:uidLastSave="{00000000-0000-0000-0000-000000000000}"/>
  <bookViews>
    <workbookView xWindow="0" yWindow="760" windowWidth="29400" windowHeight="17340" activeTab="11" xr2:uid="{00000000-000D-0000-FFFF-FFFF00000000}"/>
  </bookViews>
  <sheets>
    <sheet name="Instructions" sheetId="1" r:id="rId1"/>
    <sheet name="People" sheetId="2" r:id="rId2"/>
    <sheet name="Teams" sheetId="3" r:id="rId3"/>
    <sheet name="Roster" sheetId="4" r:id="rId4"/>
    <sheet name="Thursday" sheetId="5" r:id="rId5"/>
    <sheet name="Friday" sheetId="6" r:id="rId6"/>
    <sheet name="Saturday" sheetId="7" r:id="rId7"/>
    <sheet name="Sunday" sheetId="8" r:id="rId8"/>
    <sheet name="Sequences" sheetId="9" r:id="rId9"/>
    <sheet name="Slot Times" sheetId="10" r:id="rId10"/>
    <sheet name="Team Blocks" sheetId="11" r:id="rId11"/>
    <sheet name="Timeline" sheetId="12" r:id="rId12"/>
    <sheet name="Airport" sheetId="13" r:id="rId13"/>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2" l="1"/>
  <c r="F5" i="12" s="1"/>
  <c r="H337" i="11"/>
  <c r="E337" i="11"/>
  <c r="D337" i="11"/>
  <c r="C337" i="11"/>
  <c r="B337" i="11"/>
  <c r="A337" i="11"/>
  <c r="H336" i="11"/>
  <c r="E336" i="11"/>
  <c r="D336" i="11"/>
  <c r="C336" i="11"/>
  <c r="B336" i="11"/>
  <c r="A336" i="11"/>
  <c r="H335" i="11"/>
  <c r="E335" i="11"/>
  <c r="D335" i="11"/>
  <c r="C335" i="11"/>
  <c r="B335" i="11"/>
  <c r="A335" i="11"/>
  <c r="H334" i="11"/>
  <c r="E334" i="11"/>
  <c r="D334" i="11"/>
  <c r="C334" i="11"/>
  <c r="B334" i="11"/>
  <c r="A334" i="11"/>
  <c r="H333" i="11"/>
  <c r="E333" i="11"/>
  <c r="D333" i="11"/>
  <c r="C333" i="11"/>
  <c r="B333" i="11"/>
  <c r="A333" i="11"/>
  <c r="H332" i="11"/>
  <c r="E332" i="11"/>
  <c r="D332" i="11"/>
  <c r="C332" i="11"/>
  <c r="B332" i="11"/>
  <c r="A332" i="11"/>
  <c r="H331" i="11"/>
  <c r="E331" i="11"/>
  <c r="D331" i="11"/>
  <c r="C331" i="11"/>
  <c r="B331" i="11"/>
  <c r="A331" i="11"/>
  <c r="H330" i="11"/>
  <c r="E330" i="11"/>
  <c r="D330" i="11"/>
  <c r="C330" i="11"/>
  <c r="B330" i="11"/>
  <c r="A330" i="11"/>
  <c r="H329" i="11"/>
  <c r="E329" i="11"/>
  <c r="D329" i="11"/>
  <c r="C329" i="11"/>
  <c r="B329" i="11"/>
  <c r="A329" i="11"/>
  <c r="H328" i="11"/>
  <c r="E328" i="11"/>
  <c r="C328" i="11"/>
  <c r="B328" i="11"/>
  <c r="A328" i="11"/>
  <c r="H327" i="11"/>
  <c r="E327" i="11"/>
  <c r="C327" i="11"/>
  <c r="B327" i="11"/>
  <c r="A327" i="11"/>
  <c r="H326" i="11"/>
  <c r="E326" i="11"/>
  <c r="C326" i="11"/>
  <c r="B326" i="11"/>
  <c r="A326" i="11"/>
  <c r="H325" i="11"/>
  <c r="E325" i="11"/>
  <c r="C325" i="11"/>
  <c r="B325" i="11"/>
  <c r="A325" i="11"/>
  <c r="H324" i="11"/>
  <c r="E324" i="11"/>
  <c r="C324" i="11"/>
  <c r="B324" i="11"/>
  <c r="A324" i="11"/>
  <c r="H323" i="11"/>
  <c r="E323" i="11"/>
  <c r="D323" i="11"/>
  <c r="C323" i="11"/>
  <c r="B323" i="11"/>
  <c r="A323" i="11"/>
  <c r="H322" i="11"/>
  <c r="E322" i="11"/>
  <c r="D322" i="11"/>
  <c r="C322" i="11"/>
  <c r="B322" i="11"/>
  <c r="A322" i="11"/>
  <c r="H321" i="11"/>
  <c r="E321" i="11"/>
  <c r="D321" i="11"/>
  <c r="C321" i="11"/>
  <c r="B321" i="11"/>
  <c r="A321" i="11"/>
  <c r="H320" i="11"/>
  <c r="E320" i="11"/>
  <c r="D320" i="11"/>
  <c r="C320" i="11"/>
  <c r="B320" i="11"/>
  <c r="A320" i="11"/>
  <c r="H319" i="11"/>
  <c r="E319" i="11"/>
  <c r="D319" i="11"/>
  <c r="C319" i="11"/>
  <c r="B319" i="11"/>
  <c r="A319" i="11"/>
  <c r="H318" i="11"/>
  <c r="E318" i="11"/>
  <c r="D318" i="11"/>
  <c r="C318" i="11"/>
  <c r="B318" i="11"/>
  <c r="A318" i="11"/>
  <c r="H317" i="11"/>
  <c r="E317" i="11"/>
  <c r="D317" i="11"/>
  <c r="C317" i="11"/>
  <c r="B317" i="11"/>
  <c r="A317" i="11"/>
  <c r="H316" i="11"/>
  <c r="E316" i="11"/>
  <c r="D316" i="11"/>
  <c r="C316" i="11"/>
  <c r="B316" i="11"/>
  <c r="A316" i="11"/>
  <c r="H315" i="11"/>
  <c r="E315" i="11"/>
  <c r="D315" i="11"/>
  <c r="C315" i="11"/>
  <c r="B315" i="11"/>
  <c r="A315" i="11"/>
  <c r="H314" i="11"/>
  <c r="E314" i="11"/>
  <c r="C314" i="11"/>
  <c r="B314" i="11"/>
  <c r="A314" i="11"/>
  <c r="H313" i="11"/>
  <c r="E313" i="11"/>
  <c r="C313" i="11"/>
  <c r="B313" i="11"/>
  <c r="A313" i="11"/>
  <c r="H312" i="11"/>
  <c r="E312" i="11"/>
  <c r="C312" i="11"/>
  <c r="B312" i="11"/>
  <c r="A312" i="11"/>
  <c r="H311" i="11"/>
  <c r="E311" i="11"/>
  <c r="C311" i="11"/>
  <c r="B311" i="11"/>
  <c r="A311" i="11"/>
  <c r="H310" i="11"/>
  <c r="E310" i="11"/>
  <c r="C310" i="11"/>
  <c r="B310" i="11"/>
  <c r="A310" i="11"/>
  <c r="H309" i="11"/>
  <c r="E309" i="11"/>
  <c r="D309" i="11"/>
  <c r="C309" i="11"/>
  <c r="B309" i="11"/>
  <c r="A309" i="11"/>
  <c r="H308" i="11"/>
  <c r="E308" i="11"/>
  <c r="D308" i="11"/>
  <c r="C308" i="11"/>
  <c r="B308" i="11"/>
  <c r="A308" i="11"/>
  <c r="H307" i="11"/>
  <c r="E307" i="11"/>
  <c r="D307" i="11"/>
  <c r="C307" i="11"/>
  <c r="B307" i="11"/>
  <c r="A307" i="11"/>
  <c r="H306" i="11"/>
  <c r="E306" i="11"/>
  <c r="D306" i="11"/>
  <c r="C306" i="11"/>
  <c r="B306" i="11"/>
  <c r="A306" i="11"/>
  <c r="H305" i="11"/>
  <c r="E305" i="11"/>
  <c r="D305" i="11"/>
  <c r="C305" i="11"/>
  <c r="B305" i="11"/>
  <c r="A305" i="11"/>
  <c r="H304" i="11"/>
  <c r="E304" i="11"/>
  <c r="D304" i="11"/>
  <c r="C304" i="11"/>
  <c r="B304" i="11"/>
  <c r="A304" i="11"/>
  <c r="H303" i="11"/>
  <c r="E303" i="11"/>
  <c r="D303" i="11"/>
  <c r="C303" i="11"/>
  <c r="B303" i="11"/>
  <c r="A303" i="11"/>
  <c r="H302" i="11"/>
  <c r="E302" i="11"/>
  <c r="D302" i="11"/>
  <c r="C302" i="11"/>
  <c r="B302" i="11"/>
  <c r="A302" i="11"/>
  <c r="H301" i="11"/>
  <c r="E301" i="11"/>
  <c r="D301" i="11"/>
  <c r="C301" i="11"/>
  <c r="B301" i="11"/>
  <c r="A301" i="11"/>
  <c r="H300" i="11"/>
  <c r="E300" i="11"/>
  <c r="C300" i="11"/>
  <c r="B300" i="11"/>
  <c r="A300" i="11"/>
  <c r="H299" i="11"/>
  <c r="E299" i="11"/>
  <c r="C299" i="11"/>
  <c r="B299" i="11"/>
  <c r="A299" i="11"/>
  <c r="H298" i="11"/>
  <c r="E298" i="11"/>
  <c r="C298" i="11"/>
  <c r="B298" i="11"/>
  <c r="A298" i="11"/>
  <c r="H297" i="11"/>
  <c r="E297" i="11"/>
  <c r="C297" i="11"/>
  <c r="B297" i="11"/>
  <c r="A297" i="11"/>
  <c r="H296" i="11"/>
  <c r="E296" i="11"/>
  <c r="C296" i="11"/>
  <c r="B296" i="11"/>
  <c r="A296" i="11"/>
  <c r="H295" i="11"/>
  <c r="E295" i="11"/>
  <c r="D295" i="11"/>
  <c r="C295" i="11"/>
  <c r="B295" i="11"/>
  <c r="A295" i="11"/>
  <c r="H294" i="11"/>
  <c r="E294" i="11"/>
  <c r="D294" i="11"/>
  <c r="C294" i="11"/>
  <c r="B294" i="11"/>
  <c r="A294" i="11"/>
  <c r="H293" i="11"/>
  <c r="E293" i="11"/>
  <c r="D293" i="11"/>
  <c r="C293" i="11"/>
  <c r="B293" i="11"/>
  <c r="A293" i="11"/>
  <c r="H292" i="11"/>
  <c r="E292" i="11"/>
  <c r="D292" i="11"/>
  <c r="C292" i="11"/>
  <c r="B292" i="11"/>
  <c r="A292" i="11"/>
  <c r="H291" i="11"/>
  <c r="E291" i="11"/>
  <c r="D291" i="11"/>
  <c r="C291" i="11"/>
  <c r="B291" i="11"/>
  <c r="A291" i="11"/>
  <c r="H290" i="11"/>
  <c r="E290" i="11"/>
  <c r="D290" i="11"/>
  <c r="C290" i="11"/>
  <c r="B290" i="11"/>
  <c r="A290" i="11"/>
  <c r="H289" i="11"/>
  <c r="E289" i="11"/>
  <c r="D289" i="11"/>
  <c r="C289" i="11"/>
  <c r="B289" i="11"/>
  <c r="A289" i="11"/>
  <c r="H288" i="11"/>
  <c r="E288" i="11"/>
  <c r="D288" i="11"/>
  <c r="C288" i="11"/>
  <c r="B288" i="11"/>
  <c r="A288" i="11"/>
  <c r="H287" i="11"/>
  <c r="E287" i="11"/>
  <c r="D287" i="11"/>
  <c r="C287" i="11"/>
  <c r="B287" i="11"/>
  <c r="A287" i="11"/>
  <c r="H286" i="11"/>
  <c r="E286" i="11"/>
  <c r="C286" i="11"/>
  <c r="B286" i="11"/>
  <c r="A286" i="11"/>
  <c r="H285" i="11"/>
  <c r="E285" i="11"/>
  <c r="C285" i="11"/>
  <c r="B285" i="11"/>
  <c r="A285" i="11"/>
  <c r="H284" i="11"/>
  <c r="E284" i="11"/>
  <c r="C284" i="11"/>
  <c r="B284" i="11"/>
  <c r="A284" i="11"/>
  <c r="H283" i="11"/>
  <c r="E283" i="11"/>
  <c r="C283" i="11"/>
  <c r="B283" i="11"/>
  <c r="A283" i="11"/>
  <c r="H282" i="11"/>
  <c r="E282" i="11"/>
  <c r="C282" i="11"/>
  <c r="B282" i="11"/>
  <c r="A282" i="11"/>
  <c r="H281" i="11"/>
  <c r="E281" i="11"/>
  <c r="D281" i="11"/>
  <c r="C281" i="11"/>
  <c r="B281" i="11"/>
  <c r="A281" i="11"/>
  <c r="H280" i="11"/>
  <c r="E280" i="11"/>
  <c r="D280" i="11"/>
  <c r="C280" i="11"/>
  <c r="B280" i="11"/>
  <c r="A280" i="11"/>
  <c r="H279" i="11"/>
  <c r="E279" i="11"/>
  <c r="D279" i="11"/>
  <c r="C279" i="11"/>
  <c r="B279" i="11"/>
  <c r="A279" i="11"/>
  <c r="H278" i="11"/>
  <c r="E278" i="11"/>
  <c r="D278" i="11"/>
  <c r="C278" i="11"/>
  <c r="B278" i="11"/>
  <c r="A278" i="11"/>
  <c r="H277" i="11"/>
  <c r="E277" i="11"/>
  <c r="D277" i="11"/>
  <c r="C277" i="11"/>
  <c r="B277" i="11"/>
  <c r="A277" i="11"/>
  <c r="H276" i="11"/>
  <c r="E276" i="11"/>
  <c r="D276" i="11"/>
  <c r="C276" i="11"/>
  <c r="B276" i="11"/>
  <c r="A276" i="11"/>
  <c r="H275" i="11"/>
  <c r="E275" i="11"/>
  <c r="D275" i="11"/>
  <c r="C275" i="11"/>
  <c r="B275" i="11"/>
  <c r="A275" i="11"/>
  <c r="H274" i="11"/>
  <c r="E274" i="11"/>
  <c r="D274" i="11"/>
  <c r="C274" i="11"/>
  <c r="B274" i="11"/>
  <c r="A274" i="11"/>
  <c r="H273" i="11"/>
  <c r="E273" i="11"/>
  <c r="D273" i="11"/>
  <c r="C273" i="11"/>
  <c r="B273" i="11"/>
  <c r="A273" i="11"/>
  <c r="H272" i="11"/>
  <c r="E272" i="11"/>
  <c r="C272" i="11"/>
  <c r="B272" i="11"/>
  <c r="A272" i="11"/>
  <c r="H271" i="11"/>
  <c r="E271" i="11"/>
  <c r="C271" i="11"/>
  <c r="B271" i="11"/>
  <c r="A271" i="11"/>
  <c r="H270" i="11"/>
  <c r="E270" i="11"/>
  <c r="C270" i="11"/>
  <c r="B270" i="11"/>
  <c r="A270" i="11"/>
  <c r="H269" i="11"/>
  <c r="E269" i="11"/>
  <c r="C269" i="11"/>
  <c r="B269" i="11"/>
  <c r="A269" i="11"/>
  <c r="H268" i="11"/>
  <c r="E268" i="11"/>
  <c r="C268" i="11"/>
  <c r="B268" i="11"/>
  <c r="A268" i="11"/>
  <c r="H267" i="11"/>
  <c r="E267" i="11"/>
  <c r="D267" i="11"/>
  <c r="C267" i="11"/>
  <c r="B267" i="11"/>
  <c r="A267" i="11"/>
  <c r="H266" i="11"/>
  <c r="E266" i="11"/>
  <c r="D266" i="11"/>
  <c r="C266" i="11"/>
  <c r="B266" i="11"/>
  <c r="A266" i="11"/>
  <c r="H265" i="11"/>
  <c r="E265" i="11"/>
  <c r="D265" i="11"/>
  <c r="C265" i="11"/>
  <c r="B265" i="11"/>
  <c r="A265" i="11"/>
  <c r="H264" i="11"/>
  <c r="E264" i="11"/>
  <c r="D264" i="11"/>
  <c r="C264" i="11"/>
  <c r="B264" i="11"/>
  <c r="A264" i="11"/>
  <c r="H263" i="11"/>
  <c r="E263" i="11"/>
  <c r="D263" i="11"/>
  <c r="C263" i="11"/>
  <c r="B263" i="11"/>
  <c r="A263" i="11"/>
  <c r="H262" i="11"/>
  <c r="E262" i="11"/>
  <c r="D262" i="11"/>
  <c r="C262" i="11"/>
  <c r="B262" i="11"/>
  <c r="A262" i="11"/>
  <c r="H261" i="11"/>
  <c r="E261" i="11"/>
  <c r="D261" i="11"/>
  <c r="C261" i="11"/>
  <c r="B261" i="11"/>
  <c r="A261" i="11"/>
  <c r="H260" i="11"/>
  <c r="E260" i="11"/>
  <c r="D260" i="11"/>
  <c r="C260" i="11"/>
  <c r="B260" i="11"/>
  <c r="A260" i="11"/>
  <c r="H259" i="11"/>
  <c r="E259" i="11"/>
  <c r="D259" i="11"/>
  <c r="C259" i="11"/>
  <c r="B259" i="11"/>
  <c r="A259" i="11"/>
  <c r="H258" i="11"/>
  <c r="E258" i="11"/>
  <c r="C258" i="11"/>
  <c r="B258" i="11"/>
  <c r="A258" i="11"/>
  <c r="H257" i="11"/>
  <c r="E257" i="11"/>
  <c r="C257" i="11"/>
  <c r="B257" i="11"/>
  <c r="A257" i="11"/>
  <c r="H256" i="11"/>
  <c r="E256" i="11"/>
  <c r="C256" i="11"/>
  <c r="B256" i="11"/>
  <c r="A256" i="11"/>
  <c r="H255" i="11"/>
  <c r="E255" i="11"/>
  <c r="C255" i="11"/>
  <c r="B255" i="11"/>
  <c r="A255" i="11"/>
  <c r="H254" i="11"/>
  <c r="E254" i="11"/>
  <c r="C254" i="11"/>
  <c r="B254" i="11"/>
  <c r="A254" i="11"/>
  <c r="H253" i="11"/>
  <c r="E253" i="11"/>
  <c r="D253" i="11"/>
  <c r="C253" i="11"/>
  <c r="B253" i="11"/>
  <c r="A253" i="11"/>
  <c r="H252" i="11"/>
  <c r="E252" i="11"/>
  <c r="D252" i="11"/>
  <c r="C252" i="11"/>
  <c r="B252" i="11"/>
  <c r="A252" i="11"/>
  <c r="H251" i="11"/>
  <c r="E251" i="11"/>
  <c r="D251" i="11"/>
  <c r="C251" i="11"/>
  <c r="B251" i="11"/>
  <c r="A251" i="11"/>
  <c r="H250" i="11"/>
  <c r="E250" i="11"/>
  <c r="D250" i="11"/>
  <c r="C250" i="11"/>
  <c r="B250" i="11"/>
  <c r="A250" i="11"/>
  <c r="H249" i="11"/>
  <c r="E249" i="11"/>
  <c r="D249" i="11"/>
  <c r="C249" i="11"/>
  <c r="B249" i="11"/>
  <c r="A249" i="11"/>
  <c r="H248" i="11"/>
  <c r="E248" i="11"/>
  <c r="D248" i="11"/>
  <c r="C248" i="11"/>
  <c r="B248" i="11"/>
  <c r="A248" i="11"/>
  <c r="H247" i="11"/>
  <c r="E247" i="11"/>
  <c r="D247" i="11"/>
  <c r="C247" i="11"/>
  <c r="B247" i="11"/>
  <c r="A247" i="11"/>
  <c r="H246" i="11"/>
  <c r="E246" i="11"/>
  <c r="D246" i="11"/>
  <c r="C246" i="11"/>
  <c r="B246" i="11"/>
  <c r="A246" i="11"/>
  <c r="H245" i="11"/>
  <c r="E245" i="11"/>
  <c r="D245" i="11"/>
  <c r="C245" i="11"/>
  <c r="B245" i="11"/>
  <c r="A245" i="11"/>
  <c r="H244" i="11"/>
  <c r="E244" i="11"/>
  <c r="C244" i="11"/>
  <c r="B244" i="11"/>
  <c r="A244" i="11"/>
  <c r="H243" i="11"/>
  <c r="E243" i="11"/>
  <c r="C243" i="11"/>
  <c r="B243" i="11"/>
  <c r="A243" i="11"/>
  <c r="H242" i="11"/>
  <c r="E242" i="11"/>
  <c r="C242" i="11"/>
  <c r="B242" i="11"/>
  <c r="A242" i="11"/>
  <c r="H241" i="11"/>
  <c r="E241" i="11"/>
  <c r="C241" i="11"/>
  <c r="B241" i="11"/>
  <c r="A241" i="11"/>
  <c r="H240" i="11"/>
  <c r="E240" i="11"/>
  <c r="C240" i="11"/>
  <c r="B240" i="11"/>
  <c r="A240" i="11"/>
  <c r="H239" i="11"/>
  <c r="E239" i="11"/>
  <c r="D239" i="11"/>
  <c r="C239" i="11"/>
  <c r="B239" i="11"/>
  <c r="A239" i="11"/>
  <c r="H238" i="11"/>
  <c r="E238" i="11"/>
  <c r="D238" i="11"/>
  <c r="C238" i="11"/>
  <c r="B238" i="11"/>
  <c r="A238" i="11"/>
  <c r="H237" i="11"/>
  <c r="F237" i="11"/>
  <c r="G237" i="11" s="1"/>
  <c r="E237" i="11"/>
  <c r="D237" i="11"/>
  <c r="C237" i="11"/>
  <c r="B237" i="11"/>
  <c r="A237" i="11"/>
  <c r="H236" i="11"/>
  <c r="E236" i="11"/>
  <c r="D236" i="11"/>
  <c r="C236" i="11"/>
  <c r="B236" i="11"/>
  <c r="A236" i="11"/>
  <c r="H235" i="11"/>
  <c r="E235" i="11"/>
  <c r="D235" i="11"/>
  <c r="C235" i="11"/>
  <c r="B235" i="11"/>
  <c r="A235" i="11"/>
  <c r="H234" i="11"/>
  <c r="E234" i="11"/>
  <c r="D234" i="11"/>
  <c r="C234" i="11"/>
  <c r="B234" i="11"/>
  <c r="A234" i="11"/>
  <c r="H233" i="11"/>
  <c r="E233" i="11"/>
  <c r="D233" i="11"/>
  <c r="C233" i="11"/>
  <c r="B233" i="11"/>
  <c r="A233" i="11"/>
  <c r="H232" i="11"/>
  <c r="F232" i="11"/>
  <c r="G232" i="11" s="1"/>
  <c r="E232" i="11"/>
  <c r="D232" i="11"/>
  <c r="C232" i="11"/>
  <c r="B232" i="11"/>
  <c r="A232" i="11"/>
  <c r="H231" i="11"/>
  <c r="E231" i="11"/>
  <c r="D231" i="11"/>
  <c r="C231" i="11"/>
  <c r="B231" i="11"/>
  <c r="A231" i="11"/>
  <c r="H230" i="11"/>
  <c r="E230" i="11"/>
  <c r="C230" i="11"/>
  <c r="B230" i="11"/>
  <c r="A230" i="11"/>
  <c r="H229" i="11"/>
  <c r="F229" i="11"/>
  <c r="G229" i="11" s="1"/>
  <c r="E229" i="11"/>
  <c r="C229" i="11"/>
  <c r="B229" i="11"/>
  <c r="A229" i="11"/>
  <c r="H228" i="11"/>
  <c r="E228" i="11"/>
  <c r="C228" i="11"/>
  <c r="B228" i="11"/>
  <c r="A228" i="11"/>
  <c r="H227" i="11"/>
  <c r="E227" i="11"/>
  <c r="C227" i="11"/>
  <c r="B227" i="11"/>
  <c r="A227" i="11"/>
  <c r="H226" i="11"/>
  <c r="E226" i="11"/>
  <c r="C226" i="11"/>
  <c r="B226" i="11"/>
  <c r="A226" i="11"/>
  <c r="H225" i="11"/>
  <c r="E225" i="11"/>
  <c r="D225" i="11"/>
  <c r="C225" i="11"/>
  <c r="B225" i="11"/>
  <c r="A225" i="11"/>
  <c r="H224" i="11"/>
  <c r="E224" i="11"/>
  <c r="D224" i="11"/>
  <c r="C224" i="11"/>
  <c r="B224" i="11"/>
  <c r="A224" i="11"/>
  <c r="H223" i="11"/>
  <c r="E223" i="11"/>
  <c r="D223" i="11"/>
  <c r="C223" i="11"/>
  <c r="B223" i="11"/>
  <c r="A223" i="11"/>
  <c r="H222" i="11"/>
  <c r="E222" i="11"/>
  <c r="D222" i="11"/>
  <c r="C222" i="11"/>
  <c r="B222" i="11"/>
  <c r="A222" i="11"/>
  <c r="H221" i="11"/>
  <c r="E221" i="11"/>
  <c r="D221" i="11"/>
  <c r="C221" i="11"/>
  <c r="B221" i="11"/>
  <c r="A221" i="11"/>
  <c r="H220" i="11"/>
  <c r="E220" i="11"/>
  <c r="D220" i="11"/>
  <c r="C220" i="11"/>
  <c r="B220" i="11"/>
  <c r="A220" i="11"/>
  <c r="H219" i="11"/>
  <c r="E219" i="11"/>
  <c r="D219" i="11"/>
  <c r="C219" i="11"/>
  <c r="B219" i="11"/>
  <c r="A219" i="11"/>
  <c r="H218" i="11"/>
  <c r="E218" i="11"/>
  <c r="D218" i="11"/>
  <c r="C218" i="11"/>
  <c r="B218" i="11"/>
  <c r="A218" i="11"/>
  <c r="H217" i="11"/>
  <c r="E217" i="11"/>
  <c r="D217" i="11"/>
  <c r="C217" i="11"/>
  <c r="B217" i="11"/>
  <c r="A217" i="11"/>
  <c r="H216" i="11"/>
  <c r="E216" i="11"/>
  <c r="D216" i="11"/>
  <c r="C216" i="11"/>
  <c r="B216" i="11"/>
  <c r="A216" i="11"/>
  <c r="H215" i="11"/>
  <c r="E215" i="11"/>
  <c r="D215" i="11"/>
  <c r="C215" i="11"/>
  <c r="B215" i="11"/>
  <c r="A215" i="11"/>
  <c r="H214" i="11"/>
  <c r="E214" i="11"/>
  <c r="D214" i="11"/>
  <c r="C214" i="11"/>
  <c r="B214" i="11"/>
  <c r="A214" i="11"/>
  <c r="H213" i="11"/>
  <c r="E213" i="11"/>
  <c r="C213" i="11"/>
  <c r="B213" i="11"/>
  <c r="A213" i="11"/>
  <c r="H212" i="11"/>
  <c r="E212" i="11"/>
  <c r="C212" i="11"/>
  <c r="B212" i="11"/>
  <c r="A212" i="11"/>
  <c r="H211" i="11"/>
  <c r="E211" i="11"/>
  <c r="D211" i="11"/>
  <c r="C211" i="11"/>
  <c r="B211" i="11"/>
  <c r="A211" i="11"/>
  <c r="H210" i="11"/>
  <c r="E210" i="11"/>
  <c r="D210" i="11"/>
  <c r="C210" i="11"/>
  <c r="B210" i="11"/>
  <c r="A210" i="11"/>
  <c r="H209" i="11"/>
  <c r="E209" i="11"/>
  <c r="D209" i="11"/>
  <c r="C209" i="11"/>
  <c r="B209" i="11"/>
  <c r="A209" i="11"/>
  <c r="H208" i="11"/>
  <c r="E208" i="11"/>
  <c r="D208" i="11"/>
  <c r="C208" i="11"/>
  <c r="B208" i="11"/>
  <c r="A208" i="11"/>
  <c r="H207" i="11"/>
  <c r="E207" i="11"/>
  <c r="D207" i="11"/>
  <c r="C207" i="11"/>
  <c r="B207" i="11"/>
  <c r="A207" i="11"/>
  <c r="H206" i="11"/>
  <c r="E206" i="11"/>
  <c r="D206" i="11"/>
  <c r="C206" i="11"/>
  <c r="B206" i="11"/>
  <c r="A206" i="11"/>
  <c r="H205" i="11"/>
  <c r="E205" i="11"/>
  <c r="D205" i="11"/>
  <c r="C205" i="11"/>
  <c r="B205" i="11"/>
  <c r="A205" i="11"/>
  <c r="H204" i="11"/>
  <c r="E204" i="11"/>
  <c r="D204" i="11"/>
  <c r="C204" i="11"/>
  <c r="B204" i="11"/>
  <c r="A204" i="11"/>
  <c r="H203" i="11"/>
  <c r="E203" i="11"/>
  <c r="D203" i="11"/>
  <c r="C203" i="11"/>
  <c r="B203" i="11"/>
  <c r="A203" i="11"/>
  <c r="H202" i="11"/>
  <c r="E202" i="11"/>
  <c r="D202" i="11"/>
  <c r="C202" i="11"/>
  <c r="B202" i="11"/>
  <c r="A202" i="11"/>
  <c r="H201" i="11"/>
  <c r="E201" i="11"/>
  <c r="D201" i="11"/>
  <c r="C201" i="11"/>
  <c r="B201" i="11"/>
  <c r="A201" i="11"/>
  <c r="H200" i="11"/>
  <c r="E200" i="11"/>
  <c r="D200" i="11"/>
  <c r="C200" i="11"/>
  <c r="B200" i="11"/>
  <c r="A200" i="11"/>
  <c r="H199" i="11"/>
  <c r="E199" i="11"/>
  <c r="C199" i="11"/>
  <c r="B199" i="11"/>
  <c r="A199" i="11"/>
  <c r="H198" i="11"/>
  <c r="E198" i="11"/>
  <c r="C198" i="11"/>
  <c r="B198" i="11"/>
  <c r="A198" i="11"/>
  <c r="H197" i="11"/>
  <c r="E197" i="11"/>
  <c r="D197" i="11"/>
  <c r="C197" i="11"/>
  <c r="B197" i="11"/>
  <c r="A197" i="11"/>
  <c r="H196" i="11"/>
  <c r="E196" i="11"/>
  <c r="D196" i="11"/>
  <c r="C196" i="11"/>
  <c r="B196" i="11"/>
  <c r="A196" i="11"/>
  <c r="H195" i="11"/>
  <c r="E195" i="11"/>
  <c r="D195" i="11"/>
  <c r="C195" i="11"/>
  <c r="B195" i="11"/>
  <c r="A195" i="11"/>
  <c r="H194" i="11"/>
  <c r="E194" i="11"/>
  <c r="D194" i="11"/>
  <c r="C194" i="11"/>
  <c r="B194" i="11"/>
  <c r="A194" i="11"/>
  <c r="H193" i="11"/>
  <c r="E193" i="11"/>
  <c r="D193" i="11"/>
  <c r="C193" i="11"/>
  <c r="B193" i="11"/>
  <c r="A193" i="11"/>
  <c r="H192" i="11"/>
  <c r="E192" i="11"/>
  <c r="D192" i="11"/>
  <c r="C192" i="11"/>
  <c r="B192" i="11"/>
  <c r="A192" i="11"/>
  <c r="H191" i="11"/>
  <c r="E191" i="11"/>
  <c r="D191" i="11"/>
  <c r="C191" i="11"/>
  <c r="B191" i="11"/>
  <c r="A191" i="11"/>
  <c r="H190" i="11"/>
  <c r="E190" i="11"/>
  <c r="D190" i="11"/>
  <c r="C190" i="11"/>
  <c r="B190" i="11"/>
  <c r="A190" i="11"/>
  <c r="H189" i="11"/>
  <c r="E189" i="11"/>
  <c r="D189" i="11"/>
  <c r="C189" i="11"/>
  <c r="B189" i="11"/>
  <c r="A189" i="11"/>
  <c r="H188" i="11"/>
  <c r="E188" i="11"/>
  <c r="D188" i="11"/>
  <c r="C188" i="11"/>
  <c r="B188" i="11"/>
  <c r="A188" i="11"/>
  <c r="H187" i="11"/>
  <c r="E187" i="11"/>
  <c r="D187" i="11"/>
  <c r="C187" i="11"/>
  <c r="B187" i="11"/>
  <c r="A187" i="11"/>
  <c r="H186" i="11"/>
  <c r="E186" i="11"/>
  <c r="D186" i="11"/>
  <c r="C186" i="11"/>
  <c r="B186" i="11"/>
  <c r="A186" i="11"/>
  <c r="H185" i="11"/>
  <c r="E185" i="11"/>
  <c r="C185" i="11"/>
  <c r="B185" i="11"/>
  <c r="A185" i="11"/>
  <c r="H184" i="11"/>
  <c r="E184" i="11"/>
  <c r="C184" i="11"/>
  <c r="B184" i="11"/>
  <c r="A184" i="11"/>
  <c r="H183" i="11"/>
  <c r="E183" i="11"/>
  <c r="D183" i="11"/>
  <c r="C183" i="11"/>
  <c r="B183" i="11"/>
  <c r="A183" i="11"/>
  <c r="H182" i="11"/>
  <c r="E182" i="11"/>
  <c r="D182" i="11"/>
  <c r="C182" i="11"/>
  <c r="B182" i="11"/>
  <c r="A182" i="11"/>
  <c r="H181" i="11"/>
  <c r="E181" i="11"/>
  <c r="D181" i="11"/>
  <c r="C181" i="11"/>
  <c r="B181" i="11"/>
  <c r="A181" i="11"/>
  <c r="H180" i="11"/>
  <c r="E180" i="11"/>
  <c r="D180" i="11"/>
  <c r="C180" i="11"/>
  <c r="B180" i="11"/>
  <c r="A180" i="11"/>
  <c r="H179" i="11"/>
  <c r="E179" i="11"/>
  <c r="D179" i="11"/>
  <c r="C179" i="11"/>
  <c r="B179" i="11"/>
  <c r="A179" i="11"/>
  <c r="H178" i="11"/>
  <c r="E178" i="11"/>
  <c r="D178" i="11"/>
  <c r="C178" i="11"/>
  <c r="B178" i="11"/>
  <c r="A178" i="11"/>
  <c r="H177" i="11"/>
  <c r="E177" i="11"/>
  <c r="D177" i="11"/>
  <c r="C177" i="11"/>
  <c r="B177" i="11"/>
  <c r="A177" i="11"/>
  <c r="H176" i="11"/>
  <c r="E176" i="11"/>
  <c r="D176" i="11"/>
  <c r="C176" i="11"/>
  <c r="B176" i="11"/>
  <c r="A176" i="11"/>
  <c r="H175" i="11"/>
  <c r="E175" i="11"/>
  <c r="D175" i="11"/>
  <c r="C175" i="11"/>
  <c r="B175" i="11"/>
  <c r="A175" i="11"/>
  <c r="H174" i="11"/>
  <c r="E174" i="11"/>
  <c r="D174" i="11"/>
  <c r="C174" i="11"/>
  <c r="B174" i="11"/>
  <c r="A174" i="11"/>
  <c r="H173" i="11"/>
  <c r="E173" i="11"/>
  <c r="D173" i="11"/>
  <c r="C173" i="11"/>
  <c r="B173" i="11"/>
  <c r="A173" i="11"/>
  <c r="H172" i="11"/>
  <c r="E172" i="11"/>
  <c r="D172" i="11"/>
  <c r="C172" i="11"/>
  <c r="B172" i="11"/>
  <c r="A172" i="11"/>
  <c r="H171" i="11"/>
  <c r="E171" i="11"/>
  <c r="C171" i="11"/>
  <c r="B171" i="11"/>
  <c r="A171" i="11"/>
  <c r="H170" i="11"/>
  <c r="E170" i="11"/>
  <c r="C170" i="11"/>
  <c r="B170" i="11"/>
  <c r="A170" i="11"/>
  <c r="H169" i="11"/>
  <c r="E169" i="11"/>
  <c r="D169" i="11"/>
  <c r="C169" i="11"/>
  <c r="B169" i="11"/>
  <c r="A169" i="11"/>
  <c r="H168" i="11"/>
  <c r="E168" i="11"/>
  <c r="D168" i="11"/>
  <c r="C168" i="11"/>
  <c r="B168" i="11"/>
  <c r="A168" i="11"/>
  <c r="H167" i="11"/>
  <c r="E167" i="11"/>
  <c r="D167" i="11"/>
  <c r="C167" i="11"/>
  <c r="B167" i="11"/>
  <c r="A167" i="11"/>
  <c r="H166" i="11"/>
  <c r="E166" i="11"/>
  <c r="D166" i="11"/>
  <c r="C166" i="11"/>
  <c r="B166" i="11"/>
  <c r="A166" i="11"/>
  <c r="H165" i="11"/>
  <c r="E165" i="11"/>
  <c r="D165" i="11"/>
  <c r="C165" i="11"/>
  <c r="B165" i="11"/>
  <c r="A165" i="11"/>
  <c r="H164" i="11"/>
  <c r="E164" i="11"/>
  <c r="D164" i="11"/>
  <c r="C164" i="11"/>
  <c r="B164" i="11"/>
  <c r="A164" i="11"/>
  <c r="H163" i="11"/>
  <c r="E163" i="11"/>
  <c r="D163" i="11"/>
  <c r="C163" i="11"/>
  <c r="B163" i="11"/>
  <c r="A163" i="11"/>
  <c r="H162" i="11"/>
  <c r="E162" i="11"/>
  <c r="D162" i="11"/>
  <c r="C162" i="11"/>
  <c r="B162" i="11"/>
  <c r="A162" i="11"/>
  <c r="H161" i="11"/>
  <c r="E161" i="11"/>
  <c r="D161" i="11"/>
  <c r="C161" i="11"/>
  <c r="B161" i="11"/>
  <c r="A161" i="11"/>
  <c r="H160" i="11"/>
  <c r="E160" i="11"/>
  <c r="D160" i="11"/>
  <c r="C160" i="11"/>
  <c r="B160" i="11"/>
  <c r="A160" i="11"/>
  <c r="H159" i="11"/>
  <c r="E159" i="11"/>
  <c r="D159" i="11"/>
  <c r="C159" i="11"/>
  <c r="B159" i="11"/>
  <c r="A159" i="11"/>
  <c r="H158" i="11"/>
  <c r="E158" i="11"/>
  <c r="D158" i="11"/>
  <c r="C158" i="11"/>
  <c r="B158" i="11"/>
  <c r="A158" i="11"/>
  <c r="H157" i="11"/>
  <c r="E157" i="11"/>
  <c r="C157" i="11"/>
  <c r="B157" i="11"/>
  <c r="A157" i="11"/>
  <c r="H156" i="11"/>
  <c r="E156" i="11"/>
  <c r="C156" i="11"/>
  <c r="B156" i="11"/>
  <c r="A156" i="11"/>
  <c r="H155" i="11"/>
  <c r="E155" i="11"/>
  <c r="D155" i="11"/>
  <c r="C155" i="11"/>
  <c r="B155" i="11"/>
  <c r="A155" i="11"/>
  <c r="H154" i="11"/>
  <c r="E154" i="11"/>
  <c r="D154" i="11"/>
  <c r="C154" i="11"/>
  <c r="B154" i="11"/>
  <c r="A154" i="11"/>
  <c r="H153" i="11"/>
  <c r="E153" i="11"/>
  <c r="D153" i="11"/>
  <c r="C153" i="11"/>
  <c r="B153" i="11"/>
  <c r="A153" i="11"/>
  <c r="H152" i="11"/>
  <c r="E152" i="11"/>
  <c r="D152" i="11"/>
  <c r="C152" i="11"/>
  <c r="B152" i="11"/>
  <c r="A152" i="11"/>
  <c r="H151" i="11"/>
  <c r="E151" i="11"/>
  <c r="D151" i="11"/>
  <c r="C151" i="11"/>
  <c r="B151" i="11"/>
  <c r="A151" i="11"/>
  <c r="H150" i="11"/>
  <c r="E150" i="11"/>
  <c r="D150" i="11"/>
  <c r="C150" i="11"/>
  <c r="B150" i="11"/>
  <c r="A150" i="11"/>
  <c r="H149" i="11"/>
  <c r="E149" i="11"/>
  <c r="D149" i="11"/>
  <c r="C149" i="11"/>
  <c r="B149" i="11"/>
  <c r="A149" i="11"/>
  <c r="H148" i="11"/>
  <c r="E148" i="11"/>
  <c r="D148" i="11"/>
  <c r="C148" i="11"/>
  <c r="B148" i="11"/>
  <c r="A148" i="11"/>
  <c r="H147" i="11"/>
  <c r="E147" i="11"/>
  <c r="D147" i="11"/>
  <c r="C147" i="11"/>
  <c r="B147" i="11"/>
  <c r="A147" i="11"/>
  <c r="H146" i="11"/>
  <c r="E146" i="11"/>
  <c r="D146" i="11"/>
  <c r="C146" i="11"/>
  <c r="B146" i="11"/>
  <c r="A146" i="11"/>
  <c r="H145" i="11"/>
  <c r="E145" i="11"/>
  <c r="D145" i="11"/>
  <c r="C145" i="11"/>
  <c r="B145" i="11"/>
  <c r="A145" i="11"/>
  <c r="H144" i="11"/>
  <c r="E144" i="11"/>
  <c r="D144" i="11"/>
  <c r="C144" i="11"/>
  <c r="B144" i="11"/>
  <c r="A144" i="11"/>
  <c r="H143" i="11"/>
  <c r="E143" i="11"/>
  <c r="C143" i="11"/>
  <c r="B143" i="11"/>
  <c r="A143" i="11"/>
  <c r="H142" i="11"/>
  <c r="E142" i="11"/>
  <c r="C142" i="11"/>
  <c r="B142" i="11"/>
  <c r="A142" i="11"/>
  <c r="H141" i="11"/>
  <c r="E141" i="11"/>
  <c r="D141" i="11"/>
  <c r="C141" i="11"/>
  <c r="B141" i="11"/>
  <c r="A141" i="11"/>
  <c r="H140" i="11"/>
  <c r="E140" i="11"/>
  <c r="D140" i="11"/>
  <c r="C140" i="11"/>
  <c r="B140" i="11"/>
  <c r="A140" i="11"/>
  <c r="H139" i="11"/>
  <c r="E139" i="11"/>
  <c r="D139" i="11"/>
  <c r="C139" i="11"/>
  <c r="B139" i="11"/>
  <c r="A139" i="11"/>
  <c r="H138" i="11"/>
  <c r="E138" i="11"/>
  <c r="D138" i="11"/>
  <c r="C138" i="11"/>
  <c r="B138" i="11"/>
  <c r="A138" i="11"/>
  <c r="H137" i="11"/>
  <c r="E137" i="11"/>
  <c r="D137" i="11"/>
  <c r="C137" i="11"/>
  <c r="B137" i="11"/>
  <c r="A137" i="11"/>
  <c r="H136" i="11"/>
  <c r="E136" i="11"/>
  <c r="D136" i="11"/>
  <c r="C136" i="11"/>
  <c r="B136" i="11"/>
  <c r="A136" i="11"/>
  <c r="H135" i="11"/>
  <c r="E135" i="11"/>
  <c r="D135" i="11"/>
  <c r="C135" i="11"/>
  <c r="B135" i="11"/>
  <c r="A135" i="11"/>
  <c r="H134" i="11"/>
  <c r="E134" i="11"/>
  <c r="D134" i="11"/>
  <c r="C134" i="11"/>
  <c r="B134" i="11"/>
  <c r="A134" i="11"/>
  <c r="H133" i="11"/>
  <c r="E133" i="11"/>
  <c r="D133" i="11"/>
  <c r="C133" i="11"/>
  <c r="B133" i="11"/>
  <c r="A133" i="11"/>
  <c r="H132" i="11"/>
  <c r="E132" i="11"/>
  <c r="D132" i="11"/>
  <c r="C132" i="11"/>
  <c r="B132" i="11"/>
  <c r="A132" i="11"/>
  <c r="H131" i="11"/>
  <c r="E131" i="11"/>
  <c r="D131" i="11"/>
  <c r="C131" i="11"/>
  <c r="B131" i="11"/>
  <c r="A131" i="11"/>
  <c r="H130" i="11"/>
  <c r="E130" i="11"/>
  <c r="D130" i="11"/>
  <c r="C130" i="11"/>
  <c r="B130" i="11"/>
  <c r="A130" i="11"/>
  <c r="H129" i="11"/>
  <c r="E129" i="11"/>
  <c r="C129" i="11"/>
  <c r="B129" i="11"/>
  <c r="A129" i="11"/>
  <c r="H128" i="11"/>
  <c r="E128" i="11"/>
  <c r="C128" i="11"/>
  <c r="B128" i="11"/>
  <c r="A128" i="11"/>
  <c r="H127" i="11"/>
  <c r="E127" i="11"/>
  <c r="D127" i="11"/>
  <c r="C127" i="11"/>
  <c r="B127" i="11"/>
  <c r="A127" i="11"/>
  <c r="H126" i="11"/>
  <c r="E126" i="11"/>
  <c r="D126" i="11"/>
  <c r="C126" i="11"/>
  <c r="B126" i="11"/>
  <c r="A126" i="11"/>
  <c r="H125" i="11"/>
  <c r="E125" i="11"/>
  <c r="D125" i="11"/>
  <c r="C125" i="11"/>
  <c r="B125" i="11"/>
  <c r="A125" i="11"/>
  <c r="H124" i="11"/>
  <c r="E124" i="11"/>
  <c r="D124" i="11"/>
  <c r="C124" i="11"/>
  <c r="B124" i="11"/>
  <c r="A124" i="11"/>
  <c r="H123" i="11"/>
  <c r="E123" i="11"/>
  <c r="D123" i="11"/>
  <c r="C123" i="11"/>
  <c r="B123" i="11"/>
  <c r="A123" i="11"/>
  <c r="H122" i="11"/>
  <c r="E122" i="11"/>
  <c r="D122" i="11"/>
  <c r="C122" i="11"/>
  <c r="B122" i="11"/>
  <c r="A122" i="11"/>
  <c r="H121" i="11"/>
  <c r="E121" i="11"/>
  <c r="D121" i="11"/>
  <c r="C121" i="11"/>
  <c r="B121" i="11"/>
  <c r="A121" i="11"/>
  <c r="H120" i="11"/>
  <c r="E120" i="11"/>
  <c r="D120" i="11"/>
  <c r="C120" i="11"/>
  <c r="B120" i="11"/>
  <c r="A120" i="11"/>
  <c r="H119" i="11"/>
  <c r="E119" i="11"/>
  <c r="D119" i="11"/>
  <c r="C119" i="11"/>
  <c r="B119" i="11"/>
  <c r="A119" i="11"/>
  <c r="H118" i="11"/>
  <c r="E118" i="11"/>
  <c r="D118" i="11"/>
  <c r="C118" i="11"/>
  <c r="B118" i="11"/>
  <c r="A118" i="11"/>
  <c r="H117" i="11"/>
  <c r="E117" i="11"/>
  <c r="D117" i="11"/>
  <c r="C117" i="11"/>
  <c r="B117" i="11"/>
  <c r="A117" i="11"/>
  <c r="H116" i="11"/>
  <c r="E116" i="11"/>
  <c r="D116" i="11"/>
  <c r="C116" i="11"/>
  <c r="B116" i="11"/>
  <c r="A116" i="11"/>
  <c r="H115" i="11"/>
  <c r="E115" i="11"/>
  <c r="C115" i="11"/>
  <c r="B115" i="11"/>
  <c r="A115" i="11"/>
  <c r="H114" i="11"/>
  <c r="E114" i="11"/>
  <c r="C114" i="11"/>
  <c r="B114" i="11"/>
  <c r="A114" i="11"/>
  <c r="H113" i="11"/>
  <c r="E113" i="11"/>
  <c r="D113" i="11"/>
  <c r="C113" i="11"/>
  <c r="B113" i="11"/>
  <c r="A113" i="11"/>
  <c r="H112" i="11"/>
  <c r="E112" i="11"/>
  <c r="D112" i="11"/>
  <c r="C112" i="11"/>
  <c r="B112" i="11"/>
  <c r="A112" i="11"/>
  <c r="H111" i="11"/>
  <c r="E111" i="11"/>
  <c r="D111" i="11"/>
  <c r="C111" i="11"/>
  <c r="B111" i="11"/>
  <c r="A111" i="11"/>
  <c r="H110" i="11"/>
  <c r="E110" i="11"/>
  <c r="D110" i="11"/>
  <c r="C110" i="11"/>
  <c r="B110" i="11"/>
  <c r="A110" i="11"/>
  <c r="H109" i="11"/>
  <c r="E109" i="11"/>
  <c r="C109" i="11"/>
  <c r="B109" i="11"/>
  <c r="A109" i="11"/>
  <c r="H108" i="11"/>
  <c r="E108" i="11"/>
  <c r="C108" i="11"/>
  <c r="B108" i="11"/>
  <c r="A108" i="11"/>
  <c r="H107" i="11"/>
  <c r="E107" i="11"/>
  <c r="C107" i="11"/>
  <c r="B107" i="11"/>
  <c r="A107" i="11"/>
  <c r="H106" i="11"/>
  <c r="E106" i="11"/>
  <c r="C106" i="11"/>
  <c r="B106" i="11"/>
  <c r="A106" i="11"/>
  <c r="H105" i="11"/>
  <c r="E105" i="11"/>
  <c r="C105" i="11"/>
  <c r="B105" i="11"/>
  <c r="A105" i="11"/>
  <c r="H104" i="11"/>
  <c r="E104" i="11"/>
  <c r="C104" i="11"/>
  <c r="B104" i="11"/>
  <c r="A104" i="11"/>
  <c r="H103" i="11"/>
  <c r="E103" i="11"/>
  <c r="C103" i="11"/>
  <c r="B103" i="11"/>
  <c r="A103" i="11"/>
  <c r="H102" i="11"/>
  <c r="E102" i="11"/>
  <c r="C102" i="11"/>
  <c r="B102" i="11"/>
  <c r="A102" i="11"/>
  <c r="H101" i="11"/>
  <c r="E101" i="11"/>
  <c r="C101" i="11"/>
  <c r="B101" i="11"/>
  <c r="A101" i="11"/>
  <c r="H100" i="11"/>
  <c r="E100" i="11"/>
  <c r="C100" i="11"/>
  <c r="B100" i="11"/>
  <c r="A100" i="11"/>
  <c r="H99" i="11"/>
  <c r="E99" i="11"/>
  <c r="D99" i="11"/>
  <c r="C99" i="11"/>
  <c r="B99" i="11"/>
  <c r="A99" i="11"/>
  <c r="H98" i="11"/>
  <c r="E98" i="11"/>
  <c r="D98" i="11"/>
  <c r="C98" i="11"/>
  <c r="B98" i="11"/>
  <c r="A98" i="11"/>
  <c r="H97" i="11"/>
  <c r="E97" i="11"/>
  <c r="D97" i="11"/>
  <c r="C97" i="11"/>
  <c r="B97" i="11"/>
  <c r="A97" i="11"/>
  <c r="H96" i="11"/>
  <c r="E96" i="11"/>
  <c r="D96" i="11"/>
  <c r="C96" i="11"/>
  <c r="B96" i="11"/>
  <c r="A96" i="11"/>
  <c r="H95" i="11"/>
  <c r="E95" i="11"/>
  <c r="C95" i="11"/>
  <c r="B95" i="11"/>
  <c r="A95" i="11"/>
  <c r="H94" i="11"/>
  <c r="E94" i="11"/>
  <c r="C94" i="11"/>
  <c r="B94" i="11"/>
  <c r="A94" i="11"/>
  <c r="H93" i="11"/>
  <c r="E93" i="11"/>
  <c r="C93" i="11"/>
  <c r="B93" i="11"/>
  <c r="A93" i="11"/>
  <c r="H92" i="11"/>
  <c r="E92" i="11"/>
  <c r="C92" i="11"/>
  <c r="B92" i="11"/>
  <c r="A92" i="11"/>
  <c r="H91" i="11"/>
  <c r="E91" i="11"/>
  <c r="C91" i="11"/>
  <c r="B91" i="11"/>
  <c r="A91" i="11"/>
  <c r="H90" i="11"/>
  <c r="E90" i="11"/>
  <c r="C90" i="11"/>
  <c r="B90" i="11"/>
  <c r="A90" i="11"/>
  <c r="H89" i="11"/>
  <c r="E89" i="11"/>
  <c r="C89" i="11"/>
  <c r="B89" i="11"/>
  <c r="A89" i="11"/>
  <c r="H88" i="11"/>
  <c r="E88" i="11"/>
  <c r="C88" i="11"/>
  <c r="B88" i="11"/>
  <c r="A88" i="11"/>
  <c r="H87" i="11"/>
  <c r="E87" i="11"/>
  <c r="C87" i="11"/>
  <c r="B87" i="11"/>
  <c r="A87" i="11"/>
  <c r="H86" i="11"/>
  <c r="E86" i="11"/>
  <c r="C86" i="11"/>
  <c r="B86" i="11"/>
  <c r="A86" i="11"/>
  <c r="H85" i="11"/>
  <c r="E85" i="11"/>
  <c r="D85" i="11"/>
  <c r="C85" i="11"/>
  <c r="B85" i="11"/>
  <c r="A85" i="11"/>
  <c r="H84" i="11"/>
  <c r="E84" i="11"/>
  <c r="D84" i="11"/>
  <c r="C84" i="11"/>
  <c r="B84" i="11"/>
  <c r="A84" i="11"/>
  <c r="H83" i="11"/>
  <c r="E83" i="11"/>
  <c r="D83" i="11"/>
  <c r="C83" i="11"/>
  <c r="B83" i="11"/>
  <c r="A83" i="11"/>
  <c r="H82" i="11"/>
  <c r="E82" i="11"/>
  <c r="D82" i="11"/>
  <c r="C82" i="11"/>
  <c r="B82" i="11"/>
  <c r="A82" i="11"/>
  <c r="H81" i="11"/>
  <c r="E81" i="11"/>
  <c r="C81" i="11"/>
  <c r="B81" i="11"/>
  <c r="A81" i="11"/>
  <c r="H80" i="11"/>
  <c r="E80" i="11"/>
  <c r="C80" i="11"/>
  <c r="B80" i="11"/>
  <c r="A80" i="11"/>
  <c r="H79" i="11"/>
  <c r="E79" i="11"/>
  <c r="C79" i="11"/>
  <c r="B79" i="11"/>
  <c r="A79" i="11"/>
  <c r="H78" i="11"/>
  <c r="E78" i="11"/>
  <c r="C78" i="11"/>
  <c r="B78" i="11"/>
  <c r="A78" i="11"/>
  <c r="H77" i="11"/>
  <c r="E77" i="11"/>
  <c r="C77" i="11"/>
  <c r="B77" i="11"/>
  <c r="A77" i="11"/>
  <c r="H76" i="11"/>
  <c r="E76" i="11"/>
  <c r="C76" i="11"/>
  <c r="B76" i="11"/>
  <c r="A76" i="11"/>
  <c r="H75" i="11"/>
  <c r="E75" i="11"/>
  <c r="C75" i="11"/>
  <c r="B75" i="11"/>
  <c r="A75" i="11"/>
  <c r="H74" i="11"/>
  <c r="E74" i="11"/>
  <c r="C74" i="11"/>
  <c r="B74" i="11"/>
  <c r="A74" i="11"/>
  <c r="H73" i="11"/>
  <c r="E73" i="11"/>
  <c r="C73" i="11"/>
  <c r="B73" i="11"/>
  <c r="A73" i="11"/>
  <c r="H72" i="11"/>
  <c r="E72" i="11"/>
  <c r="C72" i="11"/>
  <c r="B72" i="11"/>
  <c r="A72" i="11"/>
  <c r="H71" i="11"/>
  <c r="E71" i="11"/>
  <c r="D71" i="11"/>
  <c r="C71" i="11"/>
  <c r="B71" i="11"/>
  <c r="A71" i="11"/>
  <c r="H70" i="11"/>
  <c r="E70" i="11"/>
  <c r="D70" i="11"/>
  <c r="C70" i="11"/>
  <c r="B70" i="11"/>
  <c r="A70" i="11"/>
  <c r="H69" i="11"/>
  <c r="E69" i="11"/>
  <c r="D69" i="11"/>
  <c r="C69" i="11"/>
  <c r="B69" i="11"/>
  <c r="A69" i="11"/>
  <c r="H68" i="11"/>
  <c r="E68" i="11"/>
  <c r="D68" i="11"/>
  <c r="C68" i="11"/>
  <c r="B68" i="11"/>
  <c r="A68" i="11"/>
  <c r="H67" i="11"/>
  <c r="E67" i="11"/>
  <c r="C67" i="11"/>
  <c r="B67" i="11"/>
  <c r="A67" i="11"/>
  <c r="H66" i="11"/>
  <c r="E66" i="11"/>
  <c r="C66" i="11"/>
  <c r="B66" i="11"/>
  <c r="A66" i="11"/>
  <c r="H65" i="11"/>
  <c r="E65" i="11"/>
  <c r="C65" i="11"/>
  <c r="B65" i="11"/>
  <c r="A65" i="11"/>
  <c r="H64" i="11"/>
  <c r="E64" i="11"/>
  <c r="C64" i="11"/>
  <c r="B64" i="11"/>
  <c r="A64" i="11"/>
  <c r="H63" i="11"/>
  <c r="E63" i="11"/>
  <c r="C63" i="11"/>
  <c r="B63" i="11"/>
  <c r="A63" i="11"/>
  <c r="H62" i="11"/>
  <c r="E62" i="11"/>
  <c r="C62" i="11"/>
  <c r="B62" i="11"/>
  <c r="A62" i="11"/>
  <c r="H61" i="11"/>
  <c r="E61" i="11"/>
  <c r="C61" i="11"/>
  <c r="B61" i="11"/>
  <c r="A61" i="11"/>
  <c r="H60" i="11"/>
  <c r="E60" i="11"/>
  <c r="C60" i="11"/>
  <c r="B60" i="11"/>
  <c r="A60" i="11"/>
  <c r="H59" i="11"/>
  <c r="E59" i="11"/>
  <c r="C59" i="11"/>
  <c r="B59" i="11"/>
  <c r="A59" i="11"/>
  <c r="H58" i="11"/>
  <c r="E58" i="11"/>
  <c r="C58" i="11"/>
  <c r="B58" i="11"/>
  <c r="A58" i="11"/>
  <c r="H57" i="11"/>
  <c r="E57" i="11"/>
  <c r="D57" i="11"/>
  <c r="C57" i="11"/>
  <c r="B57" i="11"/>
  <c r="A57" i="11"/>
  <c r="H56" i="11"/>
  <c r="E56" i="11"/>
  <c r="D56" i="11"/>
  <c r="C56" i="11"/>
  <c r="B56" i="11"/>
  <c r="A56" i="11"/>
  <c r="H55" i="11"/>
  <c r="E55" i="11"/>
  <c r="D55" i="11"/>
  <c r="C55" i="11"/>
  <c r="B55" i="11"/>
  <c r="A55" i="11"/>
  <c r="H54" i="11"/>
  <c r="E54" i="11"/>
  <c r="D54" i="11"/>
  <c r="C54" i="11"/>
  <c r="B54" i="11"/>
  <c r="A54" i="11"/>
  <c r="H53" i="11"/>
  <c r="E53" i="11"/>
  <c r="C53" i="11"/>
  <c r="B53" i="11"/>
  <c r="A53" i="11"/>
  <c r="H52" i="11"/>
  <c r="E52" i="11"/>
  <c r="C52" i="11"/>
  <c r="B52" i="11"/>
  <c r="A52" i="11"/>
  <c r="H51" i="11"/>
  <c r="E51" i="11"/>
  <c r="C51" i="11"/>
  <c r="B51" i="11"/>
  <c r="A51" i="11"/>
  <c r="H50" i="11"/>
  <c r="E50" i="11"/>
  <c r="C50" i="11"/>
  <c r="B50" i="11"/>
  <c r="A50" i="11"/>
  <c r="H49" i="11"/>
  <c r="E49" i="11"/>
  <c r="C49" i="11"/>
  <c r="B49" i="11"/>
  <c r="A49" i="11"/>
  <c r="H48" i="11"/>
  <c r="E48" i="11"/>
  <c r="C48" i="11"/>
  <c r="B48" i="11"/>
  <c r="A48" i="11"/>
  <c r="H47" i="11"/>
  <c r="E47" i="11"/>
  <c r="C47" i="11"/>
  <c r="B47" i="11"/>
  <c r="A47" i="11"/>
  <c r="H46" i="11"/>
  <c r="E46" i="11"/>
  <c r="C46" i="11"/>
  <c r="B46" i="11"/>
  <c r="A46" i="11"/>
  <c r="H45" i="11"/>
  <c r="E45" i="11"/>
  <c r="C45" i="11"/>
  <c r="B45" i="11"/>
  <c r="A45" i="11"/>
  <c r="H44" i="11"/>
  <c r="E44" i="11"/>
  <c r="C44" i="11"/>
  <c r="B44" i="11"/>
  <c r="A44" i="11"/>
  <c r="H43" i="11"/>
  <c r="E43" i="11"/>
  <c r="D43" i="11"/>
  <c r="C43" i="11"/>
  <c r="B43" i="11"/>
  <c r="A43" i="11"/>
  <c r="H42" i="11"/>
  <c r="E42" i="11"/>
  <c r="D42" i="11"/>
  <c r="C42" i="11"/>
  <c r="B42" i="11"/>
  <c r="A42" i="11"/>
  <c r="H41" i="11"/>
  <c r="E41" i="11"/>
  <c r="D41" i="11"/>
  <c r="C41" i="11"/>
  <c r="B41" i="11"/>
  <c r="A41" i="11"/>
  <c r="H40" i="11"/>
  <c r="E40" i="11"/>
  <c r="D40" i="11"/>
  <c r="C40" i="11"/>
  <c r="B40" i="11"/>
  <c r="A40" i="11"/>
  <c r="H39" i="11"/>
  <c r="E39" i="11"/>
  <c r="C39" i="11"/>
  <c r="B39" i="11"/>
  <c r="A39" i="11"/>
  <c r="H38" i="11"/>
  <c r="E38" i="11"/>
  <c r="C38" i="11"/>
  <c r="B38" i="11"/>
  <c r="A38" i="11"/>
  <c r="H37" i="11"/>
  <c r="E37" i="11"/>
  <c r="C37" i="11"/>
  <c r="B37" i="11"/>
  <c r="A37" i="11"/>
  <c r="H36" i="11"/>
  <c r="E36" i="11"/>
  <c r="C36" i="11"/>
  <c r="B36" i="11"/>
  <c r="A36" i="11"/>
  <c r="H35" i="11"/>
  <c r="E35" i="11"/>
  <c r="C35" i="11"/>
  <c r="B35" i="11"/>
  <c r="A35" i="11"/>
  <c r="H34" i="11"/>
  <c r="E34" i="11"/>
  <c r="C34" i="11"/>
  <c r="B34" i="11"/>
  <c r="A34" i="11"/>
  <c r="H33" i="11"/>
  <c r="E33" i="11"/>
  <c r="C33" i="11"/>
  <c r="B33" i="11"/>
  <c r="A33" i="11"/>
  <c r="H32" i="11"/>
  <c r="E32" i="11"/>
  <c r="C32" i="11"/>
  <c r="B32" i="11"/>
  <c r="A32" i="11"/>
  <c r="H31" i="11"/>
  <c r="E31" i="11"/>
  <c r="C31" i="11"/>
  <c r="B31" i="11"/>
  <c r="A31" i="11"/>
  <c r="H30" i="11"/>
  <c r="E30" i="11"/>
  <c r="C30" i="11"/>
  <c r="B30" i="11"/>
  <c r="A30" i="11"/>
  <c r="H29" i="11"/>
  <c r="E29" i="11"/>
  <c r="D29" i="11"/>
  <c r="C29" i="11"/>
  <c r="B29" i="11"/>
  <c r="A29" i="11"/>
  <c r="H28" i="11"/>
  <c r="E28" i="11"/>
  <c r="D28" i="11"/>
  <c r="C28" i="11"/>
  <c r="B28" i="11"/>
  <c r="A28" i="11"/>
  <c r="H27" i="11"/>
  <c r="E27" i="11"/>
  <c r="D27" i="11"/>
  <c r="C27" i="11"/>
  <c r="B27" i="11"/>
  <c r="A27" i="11"/>
  <c r="H26" i="11"/>
  <c r="E26" i="11"/>
  <c r="D26" i="11"/>
  <c r="C26" i="11"/>
  <c r="B26" i="11"/>
  <c r="A26" i="11"/>
  <c r="H25" i="11"/>
  <c r="E25" i="11"/>
  <c r="C25" i="11"/>
  <c r="B25" i="11"/>
  <c r="A25" i="11"/>
  <c r="H24" i="11"/>
  <c r="E24" i="11"/>
  <c r="C24" i="11"/>
  <c r="B24" i="11"/>
  <c r="A24" i="11"/>
  <c r="H23" i="11"/>
  <c r="E23" i="11"/>
  <c r="C23" i="11"/>
  <c r="B23" i="11"/>
  <c r="A23" i="11"/>
  <c r="H22" i="11"/>
  <c r="E22" i="11"/>
  <c r="C22" i="11"/>
  <c r="B22" i="11"/>
  <c r="A22" i="11"/>
  <c r="H21" i="11"/>
  <c r="E21" i="11"/>
  <c r="C21" i="11"/>
  <c r="B21" i="11"/>
  <c r="A21" i="11"/>
  <c r="H20" i="11"/>
  <c r="E20" i="11"/>
  <c r="C20" i="11"/>
  <c r="B20" i="11"/>
  <c r="A20" i="11"/>
  <c r="H19" i="11"/>
  <c r="E19" i="11"/>
  <c r="C19" i="11"/>
  <c r="B19" i="11"/>
  <c r="A19" i="11"/>
  <c r="H18" i="11"/>
  <c r="E18" i="11"/>
  <c r="C18" i="11"/>
  <c r="B18" i="11"/>
  <c r="A18" i="11"/>
  <c r="H17" i="11"/>
  <c r="E17" i="11"/>
  <c r="C17" i="11"/>
  <c r="B17" i="11"/>
  <c r="A17" i="11"/>
  <c r="H16" i="11"/>
  <c r="E16" i="11"/>
  <c r="C16" i="11"/>
  <c r="B16" i="11"/>
  <c r="A16" i="11"/>
  <c r="H15" i="11"/>
  <c r="E15" i="11"/>
  <c r="D15" i="11"/>
  <c r="C15" i="11"/>
  <c r="B15" i="11"/>
  <c r="A15" i="11"/>
  <c r="H14" i="11"/>
  <c r="E14" i="11"/>
  <c r="D14" i="11"/>
  <c r="C14" i="11"/>
  <c r="B14" i="11"/>
  <c r="A14" i="11"/>
  <c r="H13" i="11"/>
  <c r="E13" i="11"/>
  <c r="D13" i="11"/>
  <c r="C13" i="11"/>
  <c r="B13" i="11"/>
  <c r="A13" i="11"/>
  <c r="H12" i="11"/>
  <c r="E12" i="11"/>
  <c r="D12" i="11"/>
  <c r="C12" i="11"/>
  <c r="B12" i="11"/>
  <c r="A12" i="11"/>
  <c r="H11" i="11"/>
  <c r="E11" i="11"/>
  <c r="C11" i="11"/>
  <c r="B11" i="11"/>
  <c r="A11" i="11"/>
  <c r="H10" i="11"/>
  <c r="E10" i="11"/>
  <c r="C10" i="11"/>
  <c r="B10" i="11"/>
  <c r="A10" i="11"/>
  <c r="H9" i="11"/>
  <c r="E9" i="11"/>
  <c r="C9" i="11"/>
  <c r="B9" i="11"/>
  <c r="A9" i="11"/>
  <c r="H8" i="11"/>
  <c r="E8" i="11"/>
  <c r="C8" i="11"/>
  <c r="B8" i="11"/>
  <c r="A8" i="11"/>
  <c r="H7" i="11"/>
  <c r="E7" i="11"/>
  <c r="C7" i="11"/>
  <c r="B7" i="11"/>
  <c r="A7" i="11"/>
  <c r="H6" i="11"/>
  <c r="E6" i="11"/>
  <c r="C6" i="11"/>
  <c r="B6" i="11"/>
  <c r="A6" i="11"/>
  <c r="H5" i="11"/>
  <c r="E5" i="11"/>
  <c r="C5" i="11"/>
  <c r="B5" i="11"/>
  <c r="A5" i="11"/>
  <c r="H4" i="11"/>
  <c r="E4" i="11"/>
  <c r="C4" i="11"/>
  <c r="B4" i="11"/>
  <c r="A4" i="11"/>
  <c r="H3" i="11"/>
  <c r="E3" i="11"/>
  <c r="C3" i="11"/>
  <c r="B3" i="11"/>
  <c r="A3" i="11"/>
  <c r="H2" i="11"/>
  <c r="E2" i="11"/>
  <c r="C2" i="11"/>
  <c r="B2" i="11"/>
  <c r="A2" i="11"/>
  <c r="G25" i="10"/>
  <c r="D327" i="11" s="1"/>
  <c r="G24" i="10"/>
  <c r="D310" i="11" s="1"/>
  <c r="G23" i="10"/>
  <c r="G22" i="10"/>
  <c r="D283" i="11" s="1"/>
  <c r="G21" i="10"/>
  <c r="G20" i="10"/>
  <c r="D254" i="11" s="1"/>
  <c r="G19" i="10"/>
  <c r="F19" i="10"/>
  <c r="G18" i="10"/>
  <c r="D228" i="11" s="1"/>
  <c r="F18" i="10"/>
  <c r="F230" i="11" s="1"/>
  <c r="G230" i="11" s="1"/>
  <c r="G17" i="10"/>
  <c r="D213" i="11" s="1"/>
  <c r="G16" i="10"/>
  <c r="D198" i="11" s="1"/>
  <c r="G15" i="10"/>
  <c r="G14" i="10"/>
  <c r="D171" i="11" s="1"/>
  <c r="G13" i="10"/>
  <c r="D156" i="11" s="1"/>
  <c r="G12" i="10"/>
  <c r="D143" i="11" s="1"/>
  <c r="G11" i="10"/>
  <c r="D128" i="11" s="1"/>
  <c r="F11" i="10"/>
  <c r="G10" i="10"/>
  <c r="D115" i="11" s="1"/>
  <c r="F10" i="10"/>
  <c r="G9" i="10"/>
  <c r="D107" i="11" s="1"/>
  <c r="G8" i="10"/>
  <c r="D95" i="11" s="1"/>
  <c r="G7" i="10"/>
  <c r="D79" i="11" s="1"/>
  <c r="G6" i="10"/>
  <c r="D67" i="11" s="1"/>
  <c r="G5" i="10"/>
  <c r="D53" i="11" s="1"/>
  <c r="G4" i="10"/>
  <c r="D39" i="11" s="1"/>
  <c r="G3" i="10"/>
  <c r="D25" i="11" s="1"/>
  <c r="G2" i="10"/>
  <c r="D11" i="11" s="1"/>
  <c r="F2" i="10"/>
  <c r="F7" i="11" s="1"/>
  <c r="G7" i="11" s="1"/>
  <c r="C131" i="8"/>
  <c r="C130" i="8"/>
  <c r="C129" i="8"/>
  <c r="C128" i="8"/>
  <c r="C127" i="8"/>
  <c r="C85" i="8"/>
  <c r="C84" i="8"/>
  <c r="C83" i="8"/>
  <c r="C82" i="8"/>
  <c r="C81" i="8"/>
  <c r="C77" i="8"/>
  <c r="C76" i="8"/>
  <c r="C75" i="8"/>
  <c r="C74" i="8"/>
  <c r="C73" i="8"/>
  <c r="C72" i="8"/>
  <c r="C71" i="8"/>
  <c r="C70"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D1" i="8"/>
  <c r="C131" i="7"/>
  <c r="C130" i="7"/>
  <c r="C129" i="7"/>
  <c r="C128" i="7"/>
  <c r="C127" i="7"/>
  <c r="B126" i="7"/>
  <c r="C126" i="7" s="1"/>
  <c r="B125" i="7"/>
  <c r="C125" i="7" s="1"/>
  <c r="B124" i="7"/>
  <c r="C124" i="7" s="1"/>
  <c r="B123" i="7"/>
  <c r="C123" i="7" s="1"/>
  <c r="B122" i="7"/>
  <c r="C122" i="7" s="1"/>
  <c r="A122" i="7"/>
  <c r="B121" i="7"/>
  <c r="C121" i="7" s="1"/>
  <c r="B120" i="7"/>
  <c r="C120" i="7" s="1"/>
  <c r="C119" i="7"/>
  <c r="B119" i="7"/>
  <c r="C118" i="7"/>
  <c r="B118" i="7"/>
  <c r="B117" i="7"/>
  <c r="C117" i="7" s="1"/>
  <c r="A117" i="7"/>
  <c r="B116" i="7"/>
  <c r="C116" i="7" s="1"/>
  <c r="B115" i="7"/>
  <c r="C115" i="7" s="1"/>
  <c r="B114" i="7"/>
  <c r="C114" i="7" s="1"/>
  <c r="B113" i="7"/>
  <c r="C113" i="7" s="1"/>
  <c r="B112" i="7"/>
  <c r="C112" i="7" s="1"/>
  <c r="A112" i="7"/>
  <c r="C111" i="7"/>
  <c r="B111" i="7"/>
  <c r="B110" i="7"/>
  <c r="C110" i="7" s="1"/>
  <c r="B109" i="7"/>
  <c r="C109" i="7" s="1"/>
  <c r="C108" i="7"/>
  <c r="B108" i="7"/>
  <c r="C107" i="7"/>
  <c r="B107" i="7"/>
  <c r="A107" i="7"/>
  <c r="B106" i="7"/>
  <c r="C106" i="7" s="1"/>
  <c r="B105" i="7"/>
  <c r="C105" i="7" s="1"/>
  <c r="B104" i="7"/>
  <c r="C104" i="7" s="1"/>
  <c r="B103" i="7"/>
  <c r="C103" i="7" s="1"/>
  <c r="B102" i="7"/>
  <c r="C102" i="7" s="1"/>
  <c r="A102" i="7"/>
  <c r="C101" i="7"/>
  <c r="B101" i="7"/>
  <c r="C100" i="7"/>
  <c r="B100" i="7"/>
  <c r="B99" i="7"/>
  <c r="C99" i="7" s="1"/>
  <c r="B98" i="7"/>
  <c r="C98" i="7" s="1"/>
  <c r="C97" i="7"/>
  <c r="B97" i="7"/>
  <c r="A97" i="7"/>
  <c r="B96" i="7"/>
  <c r="C96" i="7" s="1"/>
  <c r="B95" i="7"/>
  <c r="C95" i="7" s="1"/>
  <c r="B94" i="7"/>
  <c r="C94" i="7" s="1"/>
  <c r="B93" i="7"/>
  <c r="C93" i="7" s="1"/>
  <c r="B92" i="7"/>
  <c r="C92" i="7" s="1"/>
  <c r="A92" i="7"/>
  <c r="B91" i="7"/>
  <c r="C91" i="7" s="1"/>
  <c r="C90" i="7"/>
  <c r="B90" i="7"/>
  <c r="C89" i="7"/>
  <c r="B89" i="7"/>
  <c r="B88" i="7"/>
  <c r="C88" i="7" s="1"/>
  <c r="B87" i="7"/>
  <c r="C87" i="7" s="1"/>
  <c r="A87" i="7"/>
  <c r="C85" i="7"/>
  <c r="C84" i="7"/>
  <c r="C83" i="7"/>
  <c r="C82" i="7"/>
  <c r="C81" i="7"/>
  <c r="C77" i="7"/>
  <c r="A77" i="7"/>
  <c r="C76" i="7"/>
  <c r="A76" i="7" s="1"/>
  <c r="C75" i="7"/>
  <c r="A75" i="7" s="1"/>
  <c r="C74" i="7"/>
  <c r="A74" i="7"/>
  <c r="C73" i="7"/>
  <c r="A73" i="7"/>
  <c r="C72" i="7"/>
  <c r="A72" i="7" s="1"/>
  <c r="C71" i="7"/>
  <c r="A71" i="7" s="1"/>
  <c r="C70" i="7"/>
  <c r="A70"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H1" i="7"/>
  <c r="D1" i="7"/>
  <c r="C131" i="6"/>
  <c r="C130" i="6"/>
  <c r="C129" i="6"/>
  <c r="C128" i="6"/>
  <c r="C127" i="6"/>
  <c r="C85" i="6"/>
  <c r="C84" i="6"/>
  <c r="C83" i="6"/>
  <c r="C82" i="6"/>
  <c r="C81" i="6"/>
  <c r="C77" i="6"/>
  <c r="C76" i="6"/>
  <c r="C75" i="6"/>
  <c r="C74" i="6"/>
  <c r="C73" i="6"/>
  <c r="C72" i="6"/>
  <c r="C71" i="6"/>
  <c r="C70"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B1" i="6"/>
  <c r="D1" i="6"/>
  <c r="C131" i="5"/>
  <c r="C130" i="5"/>
  <c r="C129" i="5"/>
  <c r="C128" i="5"/>
  <c r="C127" i="5"/>
  <c r="C85" i="5"/>
  <c r="C84" i="5"/>
  <c r="C83" i="5"/>
  <c r="C82" i="5"/>
  <c r="C81" i="5"/>
  <c r="C77" i="5"/>
  <c r="C76" i="5"/>
  <c r="C75" i="5"/>
  <c r="C74" i="5"/>
  <c r="C73" i="5"/>
  <c r="C72" i="5"/>
  <c r="C71" i="5"/>
  <c r="C70"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AZ1" i="5"/>
  <c r="D1" i="5"/>
  <c r="E9" i="3"/>
  <c r="E8" i="3"/>
  <c r="E7" i="3"/>
  <c r="E6" i="3"/>
  <c r="E5" i="3"/>
  <c r="E4" i="3"/>
  <c r="E3" i="3"/>
  <c r="E2" i="3"/>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F6" i="11" l="1"/>
  <c r="G6" i="11" s="1"/>
  <c r="F5" i="11"/>
  <c r="G5" i="11" s="1"/>
  <c r="F4" i="11"/>
  <c r="G4" i="11" s="1"/>
  <c r="F3" i="11"/>
  <c r="G3" i="11" s="1"/>
  <c r="F11" i="11"/>
  <c r="G11" i="11" s="1"/>
  <c r="F12" i="11"/>
  <c r="G12" i="11" s="1"/>
  <c r="F13" i="11"/>
  <c r="G13" i="11" s="1"/>
  <c r="F14" i="11"/>
  <c r="G14" i="11" s="1"/>
  <c r="F15" i="11"/>
  <c r="G15" i="11" s="1"/>
  <c r="F3" i="10"/>
  <c r="F29" i="11" s="1"/>
  <c r="G29" i="11" s="1"/>
  <c r="F2" i="11"/>
  <c r="G2" i="11" s="1"/>
  <c r="F10" i="11"/>
  <c r="G10" i="11" s="1"/>
  <c r="F9" i="11"/>
  <c r="G9" i="11" s="1"/>
  <c r="F8" i="11"/>
  <c r="G8" i="11" s="1"/>
  <c r="B126" i="8"/>
  <c r="C126" i="8" s="1"/>
  <c r="B122" i="8"/>
  <c r="C122" i="8" s="1"/>
  <c r="B118" i="8"/>
  <c r="C118" i="8" s="1"/>
  <c r="B114" i="8"/>
  <c r="C114" i="8" s="1"/>
  <c r="B110" i="8"/>
  <c r="C110" i="8" s="1"/>
  <c r="B106" i="8"/>
  <c r="C106" i="8" s="1"/>
  <c r="B102" i="8"/>
  <c r="C102" i="8" s="1"/>
  <c r="B98" i="8"/>
  <c r="C98" i="8" s="1"/>
  <c r="B94" i="8"/>
  <c r="C94" i="8" s="1"/>
  <c r="B90" i="8"/>
  <c r="C90" i="8" s="1"/>
  <c r="B125" i="8"/>
  <c r="C125" i="8" s="1"/>
  <c r="B121" i="8"/>
  <c r="C121" i="8" s="1"/>
  <c r="B117" i="8"/>
  <c r="C117" i="8" s="1"/>
  <c r="B113" i="8"/>
  <c r="C113" i="8" s="1"/>
  <c r="B109" i="8"/>
  <c r="C109" i="8" s="1"/>
  <c r="B105" i="8"/>
  <c r="C105" i="8" s="1"/>
  <c r="B101" i="8"/>
  <c r="C101" i="8" s="1"/>
  <c r="B97" i="8"/>
  <c r="C97" i="8" s="1"/>
  <c r="B93" i="8"/>
  <c r="C93" i="8" s="1"/>
  <c r="B89" i="8"/>
  <c r="C89" i="8" s="1"/>
  <c r="B124" i="8"/>
  <c r="C124" i="8" s="1"/>
  <c r="B120" i="8"/>
  <c r="C120" i="8" s="1"/>
  <c r="B116" i="8"/>
  <c r="C116" i="8" s="1"/>
  <c r="B112" i="8"/>
  <c r="C112" i="8" s="1"/>
  <c r="B108" i="8"/>
  <c r="C108" i="8" s="1"/>
  <c r="B104" i="8"/>
  <c r="C104" i="8" s="1"/>
  <c r="B100" i="8"/>
  <c r="C100" i="8" s="1"/>
  <c r="B96" i="8"/>
  <c r="C96" i="8" s="1"/>
  <c r="B92" i="8"/>
  <c r="C92" i="8" s="1"/>
  <c r="B123" i="8"/>
  <c r="C123" i="8" s="1"/>
  <c r="B119" i="8"/>
  <c r="C119" i="8" s="1"/>
  <c r="B115" i="8"/>
  <c r="C115" i="8" s="1"/>
  <c r="B111" i="8"/>
  <c r="C111" i="8" s="1"/>
  <c r="B107" i="8"/>
  <c r="C107" i="8" s="1"/>
  <c r="B103" i="8"/>
  <c r="C103" i="8" s="1"/>
  <c r="B99" i="8"/>
  <c r="C99" i="8" s="1"/>
  <c r="B95" i="8"/>
  <c r="C95" i="8" s="1"/>
  <c r="B91" i="8"/>
  <c r="C91" i="8" s="1"/>
  <c r="B87" i="8"/>
  <c r="C87" i="8" s="1"/>
  <c r="B88" i="5"/>
  <c r="C88" i="5" s="1"/>
  <c r="B92" i="5"/>
  <c r="C92" i="5" s="1"/>
  <c r="B96" i="5"/>
  <c r="C96" i="5" s="1"/>
  <c r="B100" i="5"/>
  <c r="C100" i="5" s="1"/>
  <c r="B104" i="5"/>
  <c r="C104" i="5" s="1"/>
  <c r="B108" i="5"/>
  <c r="C108" i="5" s="1"/>
  <c r="B112" i="5"/>
  <c r="C112" i="5" s="1"/>
  <c r="B116" i="5"/>
  <c r="C116" i="5" s="1"/>
  <c r="B120" i="5"/>
  <c r="C120" i="5" s="1"/>
  <c r="B124" i="5"/>
  <c r="C124" i="5" s="1"/>
  <c r="B90" i="6"/>
  <c r="C90" i="6" s="1"/>
  <c r="B94" i="6"/>
  <c r="C94" i="6" s="1"/>
  <c r="B98" i="6"/>
  <c r="C98" i="6" s="1"/>
  <c r="B102" i="6"/>
  <c r="C102" i="6" s="1"/>
  <c r="B106" i="6"/>
  <c r="C106" i="6" s="1"/>
  <c r="B110" i="6"/>
  <c r="C110" i="6" s="1"/>
  <c r="B114" i="6"/>
  <c r="C114" i="6" s="1"/>
  <c r="B118" i="6"/>
  <c r="C118" i="6" s="1"/>
  <c r="B122" i="6"/>
  <c r="C122" i="6" s="1"/>
  <c r="B126" i="6"/>
  <c r="C126" i="6" s="1"/>
  <c r="B89" i="5"/>
  <c r="C89" i="5" s="1"/>
  <c r="B93" i="5"/>
  <c r="C93" i="5" s="1"/>
  <c r="B97" i="5"/>
  <c r="C97" i="5" s="1"/>
  <c r="B101" i="5"/>
  <c r="C101" i="5" s="1"/>
  <c r="B105" i="5"/>
  <c r="C105" i="5" s="1"/>
  <c r="B109" i="5"/>
  <c r="C109" i="5" s="1"/>
  <c r="B113" i="5"/>
  <c r="C113" i="5" s="1"/>
  <c r="B117" i="5"/>
  <c r="C117" i="5" s="1"/>
  <c r="B121" i="5"/>
  <c r="C121" i="5" s="1"/>
  <c r="B125" i="5"/>
  <c r="C125" i="5" s="1"/>
  <c r="B91" i="6"/>
  <c r="C91" i="6" s="1"/>
  <c r="B103" i="6"/>
  <c r="C103" i="6" s="1"/>
  <c r="B119" i="6"/>
  <c r="C119" i="6" s="1"/>
  <c r="B87" i="6"/>
  <c r="C87" i="6" s="1"/>
  <c r="B99" i="6"/>
  <c r="C99" i="6" s="1"/>
  <c r="B111" i="6"/>
  <c r="C111" i="6" s="1"/>
  <c r="B123" i="6"/>
  <c r="C123" i="6" s="1"/>
  <c r="B90" i="5"/>
  <c r="C90" i="5" s="1"/>
  <c r="B94" i="5"/>
  <c r="C94" i="5" s="1"/>
  <c r="B98" i="5"/>
  <c r="C98" i="5" s="1"/>
  <c r="B102" i="5"/>
  <c r="C102" i="5" s="1"/>
  <c r="B106" i="5"/>
  <c r="C106" i="5" s="1"/>
  <c r="B110" i="5"/>
  <c r="C110" i="5" s="1"/>
  <c r="B114" i="5"/>
  <c r="C114" i="5" s="1"/>
  <c r="B118" i="5"/>
  <c r="C118" i="5" s="1"/>
  <c r="B122" i="5"/>
  <c r="C122" i="5" s="1"/>
  <c r="B126" i="5"/>
  <c r="C126" i="5" s="1"/>
  <c r="B88" i="8"/>
  <c r="C88" i="8" s="1"/>
  <c r="B95" i="6"/>
  <c r="C95" i="6" s="1"/>
  <c r="B107" i="6"/>
  <c r="C107" i="6" s="1"/>
  <c r="B115" i="6"/>
  <c r="C115" i="6" s="1"/>
  <c r="B88" i="6"/>
  <c r="C88" i="6" s="1"/>
  <c r="B92" i="6"/>
  <c r="C92" i="6" s="1"/>
  <c r="B96" i="6"/>
  <c r="C96" i="6" s="1"/>
  <c r="B100" i="6"/>
  <c r="C100" i="6" s="1"/>
  <c r="B104" i="6"/>
  <c r="C104" i="6" s="1"/>
  <c r="B108" i="6"/>
  <c r="C108" i="6" s="1"/>
  <c r="B112" i="6"/>
  <c r="C112" i="6" s="1"/>
  <c r="B116" i="6"/>
  <c r="C116" i="6" s="1"/>
  <c r="B120" i="6"/>
  <c r="C120" i="6" s="1"/>
  <c r="B124" i="6"/>
  <c r="C124" i="6" s="1"/>
  <c r="B87" i="5"/>
  <c r="C87" i="5" s="1"/>
  <c r="B91" i="5"/>
  <c r="C91" i="5" s="1"/>
  <c r="B95" i="5"/>
  <c r="C95" i="5" s="1"/>
  <c r="B99" i="5"/>
  <c r="C99" i="5" s="1"/>
  <c r="B103" i="5"/>
  <c r="C103" i="5" s="1"/>
  <c r="B107" i="5"/>
  <c r="C107" i="5" s="1"/>
  <c r="B111" i="5"/>
  <c r="C111" i="5" s="1"/>
  <c r="B115" i="5"/>
  <c r="C115" i="5" s="1"/>
  <c r="B119" i="5"/>
  <c r="C119" i="5" s="1"/>
  <c r="B123" i="5"/>
  <c r="C123" i="5" s="1"/>
  <c r="B89" i="6"/>
  <c r="C89" i="6" s="1"/>
  <c r="B93" i="6"/>
  <c r="C93" i="6" s="1"/>
  <c r="B97" i="6"/>
  <c r="C97" i="6" s="1"/>
  <c r="B101" i="6"/>
  <c r="C101" i="6" s="1"/>
  <c r="B105" i="6"/>
  <c r="C105" i="6" s="1"/>
  <c r="B109" i="6"/>
  <c r="C109" i="6" s="1"/>
  <c r="B113" i="6"/>
  <c r="C113" i="6" s="1"/>
  <c r="B117" i="6"/>
  <c r="C117" i="6" s="1"/>
  <c r="B121" i="6"/>
  <c r="C121" i="6" s="1"/>
  <c r="B125" i="6"/>
  <c r="C125" i="6" s="1"/>
  <c r="F141" i="11"/>
  <c r="G141" i="11" s="1"/>
  <c r="F140" i="11"/>
  <c r="G140" i="11" s="1"/>
  <c r="F139" i="11"/>
  <c r="G139" i="11" s="1"/>
  <c r="F138" i="11"/>
  <c r="G138" i="11" s="1"/>
  <c r="F137" i="11"/>
  <c r="G137" i="11" s="1"/>
  <c r="F136" i="11"/>
  <c r="G136" i="11" s="1"/>
  <c r="F135" i="11"/>
  <c r="G135" i="11" s="1"/>
  <c r="F134" i="11"/>
  <c r="G134" i="11" s="1"/>
  <c r="F133" i="11"/>
  <c r="G133" i="11" s="1"/>
  <c r="F132" i="11"/>
  <c r="G132" i="11" s="1"/>
  <c r="F131" i="11"/>
  <c r="G131" i="11" s="1"/>
  <c r="F130" i="11"/>
  <c r="G130" i="11" s="1"/>
  <c r="F129" i="11"/>
  <c r="G129" i="11" s="1"/>
  <c r="F128" i="11"/>
  <c r="G128" i="11" s="1"/>
  <c r="F250" i="11"/>
  <c r="G250" i="11" s="1"/>
  <c r="F242" i="11"/>
  <c r="G242" i="11" s="1"/>
  <c r="F251" i="11"/>
  <c r="G251" i="11" s="1"/>
  <c r="F243" i="11"/>
  <c r="G243" i="11" s="1"/>
  <c r="F252" i="11"/>
  <c r="G252" i="11" s="1"/>
  <c r="F244" i="11"/>
  <c r="G244" i="11" s="1"/>
  <c r="F247" i="11"/>
  <c r="G247" i="11" s="1"/>
  <c r="D78" i="11"/>
  <c r="D86" i="11"/>
  <c r="D94" i="11"/>
  <c r="D102" i="11"/>
  <c r="F246" i="11"/>
  <c r="G246" i="11" s="1"/>
  <c r="D184" i="11"/>
  <c r="D185" i="11"/>
  <c r="D240" i="11"/>
  <c r="D241" i="11"/>
  <c r="D242" i="11"/>
  <c r="D297" i="11"/>
  <c r="D299" i="11"/>
  <c r="D2" i="11"/>
  <c r="D3" i="11"/>
  <c r="D4" i="11"/>
  <c r="D5" i="11"/>
  <c r="D6" i="11"/>
  <c r="D7" i="11"/>
  <c r="D8" i="11"/>
  <c r="D9" i="11"/>
  <c r="D10" i="11"/>
  <c r="D16" i="11"/>
  <c r="D17" i="11"/>
  <c r="D18" i="11"/>
  <c r="D19" i="11"/>
  <c r="D20" i="11"/>
  <c r="D21" i="11"/>
  <c r="D22" i="11"/>
  <c r="D23" i="11"/>
  <c r="D24" i="11"/>
  <c r="D30" i="11"/>
  <c r="D31" i="11"/>
  <c r="D32" i="11"/>
  <c r="D33" i="11"/>
  <c r="D34" i="11"/>
  <c r="D35" i="11"/>
  <c r="D36" i="11"/>
  <c r="D37" i="11"/>
  <c r="D38" i="11"/>
  <c r="D44" i="11"/>
  <c r="D45" i="11"/>
  <c r="D46" i="11"/>
  <c r="D47" i="11"/>
  <c r="D48" i="11"/>
  <c r="D49" i="11"/>
  <c r="D50" i="11"/>
  <c r="D51" i="11"/>
  <c r="D52" i="11"/>
  <c r="D58" i="11"/>
  <c r="D59" i="11"/>
  <c r="D60" i="11"/>
  <c r="D61" i="11"/>
  <c r="D62" i="11"/>
  <c r="D63" i="11"/>
  <c r="D64" i="11"/>
  <c r="D65" i="11"/>
  <c r="D66" i="11"/>
  <c r="D77" i="11"/>
  <c r="D93" i="11"/>
  <c r="D101" i="11"/>
  <c r="D106" i="11"/>
  <c r="D114" i="11"/>
  <c r="D142" i="11"/>
  <c r="D170" i="11"/>
  <c r="D230" i="11"/>
  <c r="F241" i="11"/>
  <c r="G241" i="11" s="1"/>
  <c r="D244" i="11"/>
  <c r="F245" i="11"/>
  <c r="G245" i="11" s="1"/>
  <c r="D298" i="11"/>
  <c r="F4" i="10"/>
  <c r="F12" i="10"/>
  <c r="F20" i="10"/>
  <c r="D76" i="11"/>
  <c r="D92" i="11"/>
  <c r="D100" i="11"/>
  <c r="D255" i="11"/>
  <c r="D258" i="11"/>
  <c r="D256" i="11"/>
  <c r="D313" i="11"/>
  <c r="D311" i="11"/>
  <c r="F16" i="11"/>
  <c r="G16" i="11" s="1"/>
  <c r="F17" i="11"/>
  <c r="G17" i="11" s="1"/>
  <c r="F18" i="11"/>
  <c r="G18" i="11" s="1"/>
  <c r="F19" i="11"/>
  <c r="G19" i="11" s="1"/>
  <c r="F20" i="11"/>
  <c r="G20" i="11" s="1"/>
  <c r="F21" i="11"/>
  <c r="G21" i="11" s="1"/>
  <c r="F22" i="11"/>
  <c r="G22" i="11" s="1"/>
  <c r="F23" i="11"/>
  <c r="G23" i="11" s="1"/>
  <c r="F24" i="11"/>
  <c r="G24" i="11" s="1"/>
  <c r="F25" i="11"/>
  <c r="G25" i="11" s="1"/>
  <c r="F26" i="11"/>
  <c r="G26" i="11" s="1"/>
  <c r="F27" i="11"/>
  <c r="G27" i="11" s="1"/>
  <c r="F28" i="11"/>
  <c r="G28" i="11" s="1"/>
  <c r="D75" i="11"/>
  <c r="D91" i="11"/>
  <c r="D105" i="11"/>
  <c r="D109" i="11"/>
  <c r="D129" i="11"/>
  <c r="D157" i="11"/>
  <c r="D199" i="11"/>
  <c r="F240" i="11"/>
  <c r="G240" i="11" s="1"/>
  <c r="D243" i="11"/>
  <c r="D257" i="11"/>
  <c r="D312" i="11"/>
  <c r="D74" i="11"/>
  <c r="D90" i="11"/>
  <c r="F249" i="11"/>
  <c r="G249" i="11" s="1"/>
  <c r="D300" i="11"/>
  <c r="D269" i="11"/>
  <c r="D271" i="11"/>
  <c r="D270" i="11"/>
  <c r="D272" i="11"/>
  <c r="D325" i="11"/>
  <c r="D324" i="11"/>
  <c r="D328" i="11"/>
  <c r="D326" i="11"/>
  <c r="D73" i="11"/>
  <c r="D81" i="11"/>
  <c r="D89" i="11"/>
  <c r="D104" i="11"/>
  <c r="D108" i="11"/>
  <c r="F248" i="11"/>
  <c r="G248" i="11" s="1"/>
  <c r="F253" i="11"/>
  <c r="G253" i="11" s="1"/>
  <c r="D268" i="11"/>
  <c r="F127" i="11"/>
  <c r="G127" i="11" s="1"/>
  <c r="F126" i="11"/>
  <c r="G126" i="11" s="1"/>
  <c r="F125" i="11"/>
  <c r="G125" i="11" s="1"/>
  <c r="F124" i="11"/>
  <c r="G124" i="11" s="1"/>
  <c r="F123" i="11"/>
  <c r="G123" i="11" s="1"/>
  <c r="F122" i="11"/>
  <c r="G122" i="11" s="1"/>
  <c r="F121" i="11"/>
  <c r="G121" i="11" s="1"/>
  <c r="F120" i="11"/>
  <c r="G120" i="11" s="1"/>
  <c r="F119" i="11"/>
  <c r="G119" i="11" s="1"/>
  <c r="F118" i="11"/>
  <c r="G118" i="11" s="1"/>
  <c r="F117" i="11"/>
  <c r="G117" i="11" s="1"/>
  <c r="F116" i="11"/>
  <c r="G116" i="11" s="1"/>
  <c r="F115" i="11"/>
  <c r="G115" i="11" s="1"/>
  <c r="F114" i="11"/>
  <c r="F234" i="11"/>
  <c r="G234" i="11" s="1"/>
  <c r="F226" i="11"/>
  <c r="F235" i="11"/>
  <c r="G235" i="11" s="1"/>
  <c r="F227" i="11"/>
  <c r="G227" i="11" s="1"/>
  <c r="F236" i="11"/>
  <c r="G236" i="11" s="1"/>
  <c r="F228" i="11"/>
  <c r="G228" i="11" s="1"/>
  <c r="F239" i="11"/>
  <c r="G239" i="11" s="1"/>
  <c r="F231" i="11"/>
  <c r="G231" i="11" s="1"/>
  <c r="D72" i="11"/>
  <c r="D80" i="11"/>
  <c r="D88" i="11"/>
  <c r="D296" i="11"/>
  <c r="D314" i="11"/>
  <c r="D226" i="11"/>
  <c r="D229" i="11"/>
  <c r="D285" i="11"/>
  <c r="D282" i="11"/>
  <c r="D286" i="11"/>
  <c r="D284" i="11"/>
  <c r="D87" i="11"/>
  <c r="D103" i="11"/>
  <c r="D212" i="11"/>
  <c r="D227" i="11"/>
  <c r="F233" i="11"/>
  <c r="G233" i="11" s="1"/>
  <c r="F238" i="11"/>
  <c r="G238" i="11" s="1"/>
  <c r="F261" i="11" l="1"/>
  <c r="G261" i="11" s="1"/>
  <c r="F263" i="11"/>
  <c r="G263" i="11" s="1"/>
  <c r="F255" i="11"/>
  <c r="G255" i="11" s="1"/>
  <c r="F265" i="11"/>
  <c r="G265" i="11" s="1"/>
  <c r="F257" i="11"/>
  <c r="G257" i="11" s="1"/>
  <c r="F260" i="11"/>
  <c r="G260" i="11" s="1"/>
  <c r="F266" i="11"/>
  <c r="G266" i="11" s="1"/>
  <c r="F256" i="11"/>
  <c r="G256" i="11" s="1"/>
  <c r="F267" i="11"/>
  <c r="G267" i="11" s="1"/>
  <c r="F262" i="11"/>
  <c r="G262" i="11" s="1"/>
  <c r="F264" i="11"/>
  <c r="G264" i="11" s="1"/>
  <c r="F259" i="11"/>
  <c r="G259" i="11" s="1"/>
  <c r="F254" i="11"/>
  <c r="G254" i="11" s="1"/>
  <c r="F21" i="10"/>
  <c r="F258" i="11"/>
  <c r="G258" i="11" s="1"/>
  <c r="F155" i="11"/>
  <c r="G155" i="11" s="1"/>
  <c r="F154" i="11"/>
  <c r="G154" i="11" s="1"/>
  <c r="F153" i="11"/>
  <c r="G153" i="11" s="1"/>
  <c r="F152" i="11"/>
  <c r="G152" i="11" s="1"/>
  <c r="F151" i="11"/>
  <c r="G151" i="11" s="1"/>
  <c r="F150" i="11"/>
  <c r="G150" i="11" s="1"/>
  <c r="F149" i="11"/>
  <c r="G149" i="11" s="1"/>
  <c r="F148" i="11"/>
  <c r="G148" i="11" s="1"/>
  <c r="F147" i="11"/>
  <c r="G147" i="11" s="1"/>
  <c r="F146" i="11"/>
  <c r="G146" i="11" s="1"/>
  <c r="F145" i="11"/>
  <c r="G145" i="11" s="1"/>
  <c r="F144" i="11"/>
  <c r="G144" i="11" s="1"/>
  <c r="F143" i="11"/>
  <c r="G143" i="11" s="1"/>
  <c r="F142" i="11"/>
  <c r="G142" i="11" s="1"/>
  <c r="F13" i="10"/>
  <c r="G226" i="11"/>
  <c r="F5" i="10"/>
  <c r="F43" i="11"/>
  <c r="G43" i="11" s="1"/>
  <c r="F42" i="11"/>
  <c r="G42" i="11" s="1"/>
  <c r="F41" i="11"/>
  <c r="G41" i="11" s="1"/>
  <c r="F40" i="11"/>
  <c r="G40" i="11" s="1"/>
  <c r="F39" i="11"/>
  <c r="G39" i="11" s="1"/>
  <c r="F38" i="11"/>
  <c r="G38" i="11" s="1"/>
  <c r="F37" i="11"/>
  <c r="G37" i="11" s="1"/>
  <c r="F36" i="11"/>
  <c r="G36" i="11" s="1"/>
  <c r="F35" i="11"/>
  <c r="G35" i="11" s="1"/>
  <c r="F34" i="11"/>
  <c r="G34" i="11" s="1"/>
  <c r="F33" i="11"/>
  <c r="G33" i="11" s="1"/>
  <c r="F32" i="11"/>
  <c r="G32" i="11" s="1"/>
  <c r="F31" i="11"/>
  <c r="G31" i="11" s="1"/>
  <c r="F30" i="11"/>
  <c r="G30" i="11" s="1"/>
  <c r="G114" i="11"/>
  <c r="F6" i="10" l="1"/>
  <c r="F57" i="11"/>
  <c r="G57" i="11" s="1"/>
  <c r="F56" i="11"/>
  <c r="G56" i="11" s="1"/>
  <c r="F55" i="11"/>
  <c r="G55" i="11" s="1"/>
  <c r="F54" i="11"/>
  <c r="G54" i="11" s="1"/>
  <c r="F53" i="11"/>
  <c r="G53" i="11" s="1"/>
  <c r="F52" i="11"/>
  <c r="G52" i="11" s="1"/>
  <c r="F51" i="11"/>
  <c r="G51" i="11" s="1"/>
  <c r="F50" i="11"/>
  <c r="G50" i="11" s="1"/>
  <c r="F49" i="11"/>
  <c r="G49" i="11" s="1"/>
  <c r="F48" i="11"/>
  <c r="G48" i="11" s="1"/>
  <c r="F47" i="11"/>
  <c r="G47" i="11" s="1"/>
  <c r="F46" i="11"/>
  <c r="G46" i="11" s="1"/>
  <c r="F45" i="11"/>
  <c r="G45" i="11" s="1"/>
  <c r="F44" i="11"/>
  <c r="G44" i="11" s="1"/>
  <c r="F169" i="11"/>
  <c r="G169" i="11" s="1"/>
  <c r="F168" i="11"/>
  <c r="G168" i="11" s="1"/>
  <c r="F167" i="11"/>
  <c r="G167" i="11" s="1"/>
  <c r="F166" i="11"/>
  <c r="G166" i="11" s="1"/>
  <c r="F165" i="11"/>
  <c r="G165" i="11" s="1"/>
  <c r="F164" i="11"/>
  <c r="G164" i="11" s="1"/>
  <c r="F163" i="11"/>
  <c r="G163" i="11" s="1"/>
  <c r="F162" i="11"/>
  <c r="G162" i="11" s="1"/>
  <c r="F161" i="11"/>
  <c r="G161" i="11" s="1"/>
  <c r="F160" i="11"/>
  <c r="G160" i="11" s="1"/>
  <c r="F159" i="11"/>
  <c r="G159" i="11" s="1"/>
  <c r="F158" i="11"/>
  <c r="G158" i="11" s="1"/>
  <c r="F157" i="11"/>
  <c r="G157" i="11" s="1"/>
  <c r="F156" i="11"/>
  <c r="G156" i="11" s="1"/>
  <c r="F14" i="10"/>
  <c r="F281" i="11"/>
  <c r="G281" i="11" s="1"/>
  <c r="F280" i="11"/>
  <c r="G280" i="11" s="1"/>
  <c r="F279" i="11"/>
  <c r="G279" i="11" s="1"/>
  <c r="F278" i="11"/>
  <c r="G278" i="11" s="1"/>
  <c r="F277" i="11"/>
  <c r="G277" i="11" s="1"/>
  <c r="F276" i="11"/>
  <c r="G276" i="11" s="1"/>
  <c r="F275" i="11"/>
  <c r="G275" i="11" s="1"/>
  <c r="F274" i="11"/>
  <c r="G274" i="11" s="1"/>
  <c r="F273" i="11"/>
  <c r="G273" i="11" s="1"/>
  <c r="F272" i="11"/>
  <c r="G272" i="11" s="1"/>
  <c r="F269" i="11"/>
  <c r="G269" i="11" s="1"/>
  <c r="F271" i="11"/>
  <c r="G271" i="11" s="1"/>
  <c r="F268" i="11"/>
  <c r="G268" i="11" s="1"/>
  <c r="F22" i="10"/>
  <c r="F270" i="11"/>
  <c r="G270" i="11" s="1"/>
  <c r="F178" i="11" l="1"/>
  <c r="G178" i="11" s="1"/>
  <c r="F179" i="11"/>
  <c r="G179" i="11" s="1"/>
  <c r="F171" i="11"/>
  <c r="G171" i="11" s="1"/>
  <c r="F170" i="11"/>
  <c r="G170" i="11" s="1"/>
  <c r="F180" i="11"/>
  <c r="G180" i="11" s="1"/>
  <c r="F172" i="11"/>
  <c r="G172" i="11" s="1"/>
  <c r="F183" i="11"/>
  <c r="G183" i="11" s="1"/>
  <c r="F175" i="11"/>
  <c r="G175" i="11" s="1"/>
  <c r="F173" i="11"/>
  <c r="G173" i="11" s="1"/>
  <c r="F174" i="11"/>
  <c r="G174" i="11" s="1"/>
  <c r="F181" i="11"/>
  <c r="G181" i="11" s="1"/>
  <c r="F176" i="11"/>
  <c r="G176" i="11" s="1"/>
  <c r="F182" i="11"/>
  <c r="G182" i="11" s="1"/>
  <c r="F177" i="11"/>
  <c r="G177" i="11" s="1"/>
  <c r="F15" i="10"/>
  <c r="F295" i="11"/>
  <c r="G295" i="11" s="1"/>
  <c r="F294" i="11"/>
  <c r="G294" i="11" s="1"/>
  <c r="F293" i="11"/>
  <c r="G293" i="11" s="1"/>
  <c r="F292" i="11"/>
  <c r="G292" i="11" s="1"/>
  <c r="F291" i="11"/>
  <c r="G291" i="11" s="1"/>
  <c r="F290" i="11"/>
  <c r="G290" i="11" s="1"/>
  <c r="F289" i="11"/>
  <c r="G289" i="11" s="1"/>
  <c r="F288" i="11"/>
  <c r="G288" i="11" s="1"/>
  <c r="F287" i="11"/>
  <c r="G287" i="11" s="1"/>
  <c r="F286" i="11"/>
  <c r="G286" i="11" s="1"/>
  <c r="F285" i="11"/>
  <c r="G285" i="11" s="1"/>
  <c r="F284" i="11"/>
  <c r="G284" i="11" s="1"/>
  <c r="F283" i="11"/>
  <c r="G283" i="11" s="1"/>
  <c r="F282" i="11"/>
  <c r="G282" i="11" s="1"/>
  <c r="F23" i="10"/>
  <c r="F69" i="11"/>
  <c r="G69" i="11" s="1"/>
  <c r="F68" i="11"/>
  <c r="G68" i="11" s="1"/>
  <c r="F67" i="11"/>
  <c r="G67" i="11" s="1"/>
  <c r="F66" i="11"/>
  <c r="G66" i="11" s="1"/>
  <c r="F65" i="11"/>
  <c r="G65" i="11" s="1"/>
  <c r="F64" i="11"/>
  <c r="G64" i="11" s="1"/>
  <c r="F63" i="11"/>
  <c r="G63" i="11" s="1"/>
  <c r="F62" i="11"/>
  <c r="G62" i="11" s="1"/>
  <c r="F61" i="11"/>
  <c r="G61" i="11" s="1"/>
  <c r="F60" i="11"/>
  <c r="G60" i="11" s="1"/>
  <c r="F59" i="11"/>
  <c r="G59" i="11" s="1"/>
  <c r="F58" i="11"/>
  <c r="G58" i="11" s="1"/>
  <c r="F70" i="11"/>
  <c r="G70" i="11" s="1"/>
  <c r="F71" i="11"/>
  <c r="G71" i="11" s="1"/>
  <c r="F7" i="10"/>
  <c r="F81" i="11" l="1"/>
  <c r="G81" i="11" s="1"/>
  <c r="F73" i="11"/>
  <c r="G73" i="11" s="1"/>
  <c r="F82" i="11"/>
  <c r="G82" i="11" s="1"/>
  <c r="F74" i="11"/>
  <c r="G74" i="11" s="1"/>
  <c r="F83" i="11"/>
  <c r="G83" i="11" s="1"/>
  <c r="F75" i="11"/>
  <c r="G75" i="11" s="1"/>
  <c r="F84" i="11"/>
  <c r="G84" i="11" s="1"/>
  <c r="F76" i="11"/>
  <c r="G76" i="11" s="1"/>
  <c r="F85" i="11"/>
  <c r="G85" i="11" s="1"/>
  <c r="F77" i="11"/>
  <c r="G77" i="11" s="1"/>
  <c r="F78" i="11"/>
  <c r="G78" i="11" s="1"/>
  <c r="F8" i="10"/>
  <c r="F79" i="11"/>
  <c r="G79" i="11" s="1"/>
  <c r="F80" i="11"/>
  <c r="G80" i="11" s="1"/>
  <c r="F72" i="11"/>
  <c r="G72" i="11" s="1"/>
  <c r="F309" i="11"/>
  <c r="G309" i="11" s="1"/>
  <c r="F308" i="11"/>
  <c r="G308" i="11" s="1"/>
  <c r="F307" i="11"/>
  <c r="G307" i="11" s="1"/>
  <c r="F306" i="11"/>
  <c r="G306" i="11" s="1"/>
  <c r="F305" i="11"/>
  <c r="G305" i="11" s="1"/>
  <c r="F304" i="11"/>
  <c r="G304" i="11" s="1"/>
  <c r="F303" i="11"/>
  <c r="G303" i="11" s="1"/>
  <c r="F302" i="11"/>
  <c r="G302" i="11" s="1"/>
  <c r="F301" i="11"/>
  <c r="G301" i="11" s="1"/>
  <c r="F300" i="11"/>
  <c r="G300" i="11" s="1"/>
  <c r="F299" i="11"/>
  <c r="G299" i="11" s="1"/>
  <c r="F298" i="11"/>
  <c r="G298" i="11" s="1"/>
  <c r="F297" i="11"/>
  <c r="G297" i="11" s="1"/>
  <c r="F296" i="11"/>
  <c r="G296" i="11" s="1"/>
  <c r="F24" i="10"/>
  <c r="F194" i="11"/>
  <c r="G194" i="11" s="1"/>
  <c r="F186" i="11"/>
  <c r="G186" i="11" s="1"/>
  <c r="F195" i="11"/>
  <c r="G195" i="11" s="1"/>
  <c r="F187" i="11"/>
  <c r="G187" i="11" s="1"/>
  <c r="F196" i="11"/>
  <c r="G196" i="11" s="1"/>
  <c r="F188" i="11"/>
  <c r="G188" i="11" s="1"/>
  <c r="F191" i="11"/>
  <c r="G191" i="11" s="1"/>
  <c r="F197" i="11"/>
  <c r="G197" i="11" s="1"/>
  <c r="F192" i="11"/>
  <c r="G192" i="11" s="1"/>
  <c r="F193" i="11"/>
  <c r="G193" i="11" s="1"/>
  <c r="F184" i="11"/>
  <c r="G184" i="11" s="1"/>
  <c r="F189" i="11"/>
  <c r="G189" i="11" s="1"/>
  <c r="F190" i="11"/>
  <c r="G190" i="11" s="1"/>
  <c r="F185" i="11"/>
  <c r="G185" i="11" s="1"/>
  <c r="F16" i="10"/>
  <c r="F323" i="11" l="1"/>
  <c r="G323" i="11" s="1"/>
  <c r="F322" i="11"/>
  <c r="G322" i="11" s="1"/>
  <c r="F321" i="11"/>
  <c r="G321" i="11" s="1"/>
  <c r="F320" i="11"/>
  <c r="G320" i="11" s="1"/>
  <c r="F319" i="11"/>
  <c r="G319" i="11" s="1"/>
  <c r="F318" i="11"/>
  <c r="G318" i="11" s="1"/>
  <c r="F317" i="11"/>
  <c r="G317" i="11" s="1"/>
  <c r="F316" i="11"/>
  <c r="G316" i="11" s="1"/>
  <c r="F315" i="11"/>
  <c r="G315" i="11" s="1"/>
  <c r="F314" i="11"/>
  <c r="G314" i="11" s="1"/>
  <c r="F313" i="11"/>
  <c r="G313" i="11" s="1"/>
  <c r="F312" i="11"/>
  <c r="G312" i="11" s="1"/>
  <c r="F311" i="11"/>
  <c r="G311" i="11" s="1"/>
  <c r="F310" i="11"/>
  <c r="G310" i="11" s="1"/>
  <c r="F25" i="10"/>
  <c r="F97" i="11"/>
  <c r="G97" i="11" s="1"/>
  <c r="F89" i="11"/>
  <c r="G89" i="11" s="1"/>
  <c r="F98" i="11"/>
  <c r="G98" i="11" s="1"/>
  <c r="F90" i="11"/>
  <c r="G90" i="11" s="1"/>
  <c r="F99" i="11"/>
  <c r="G99" i="11" s="1"/>
  <c r="F91" i="11"/>
  <c r="G91" i="11" s="1"/>
  <c r="F92" i="11"/>
  <c r="G92" i="11" s="1"/>
  <c r="F9" i="10"/>
  <c r="F93" i="11"/>
  <c r="G93" i="11" s="1"/>
  <c r="F94" i="11"/>
  <c r="G94" i="11" s="1"/>
  <c r="F86" i="11"/>
  <c r="G86" i="11" s="1"/>
  <c r="F95" i="11"/>
  <c r="G95" i="11" s="1"/>
  <c r="F87" i="11"/>
  <c r="G87" i="11" s="1"/>
  <c r="F96" i="11"/>
  <c r="G96" i="11" s="1"/>
  <c r="F88" i="11"/>
  <c r="G88" i="11" s="1"/>
  <c r="F210" i="11"/>
  <c r="G210" i="11" s="1"/>
  <c r="F202" i="11"/>
  <c r="G202" i="11" s="1"/>
  <c r="F211" i="11"/>
  <c r="G211" i="11" s="1"/>
  <c r="F203" i="11"/>
  <c r="G203" i="11" s="1"/>
  <c r="F204" i="11"/>
  <c r="G204" i="11" s="1"/>
  <c r="F207" i="11"/>
  <c r="G207" i="11" s="1"/>
  <c r="F199" i="11"/>
  <c r="G199" i="11" s="1"/>
  <c r="F208" i="11"/>
  <c r="G208" i="11" s="1"/>
  <c r="F209" i="11"/>
  <c r="G209" i="11" s="1"/>
  <c r="F198" i="11"/>
  <c r="G198" i="11" s="1"/>
  <c r="F17" i="10"/>
  <c r="F205" i="11"/>
  <c r="G205" i="11" s="1"/>
  <c r="F200" i="11"/>
  <c r="G200" i="11" s="1"/>
  <c r="F206" i="11"/>
  <c r="G206" i="11" s="1"/>
  <c r="F201" i="11"/>
  <c r="G201" i="11" s="1"/>
  <c r="F218" i="11" l="1"/>
  <c r="G218" i="11" s="1"/>
  <c r="F219" i="11"/>
  <c r="G219" i="11" s="1"/>
  <c r="F220" i="11"/>
  <c r="G220" i="11" s="1"/>
  <c r="F212" i="11"/>
  <c r="G212" i="11" s="1"/>
  <c r="F223" i="11"/>
  <c r="G223" i="11" s="1"/>
  <c r="F215" i="11"/>
  <c r="G215" i="11" s="1"/>
  <c r="F224" i="11"/>
  <c r="G224" i="11" s="1"/>
  <c r="F213" i="11"/>
  <c r="G213" i="11" s="1"/>
  <c r="F225" i="11"/>
  <c r="F214" i="11"/>
  <c r="G214" i="11" s="1"/>
  <c r="F221" i="11"/>
  <c r="G221" i="11" s="1"/>
  <c r="F216" i="11"/>
  <c r="G216" i="11" s="1"/>
  <c r="F222" i="11"/>
  <c r="G222" i="11" s="1"/>
  <c r="F217" i="11"/>
  <c r="G217" i="11" s="1"/>
  <c r="F113" i="11"/>
  <c r="F112" i="11"/>
  <c r="G112" i="11" s="1"/>
  <c r="F111" i="11"/>
  <c r="G111" i="11" s="1"/>
  <c r="F110" i="11"/>
  <c r="G110" i="11" s="1"/>
  <c r="F109" i="11"/>
  <c r="G109" i="11" s="1"/>
  <c r="F108" i="11"/>
  <c r="G108" i="11" s="1"/>
  <c r="F107" i="11"/>
  <c r="G107" i="11" s="1"/>
  <c r="F106" i="11"/>
  <c r="G106" i="11" s="1"/>
  <c r="F105" i="11"/>
  <c r="G105" i="11" s="1"/>
  <c r="F104" i="11"/>
  <c r="G104" i="11" s="1"/>
  <c r="F103" i="11"/>
  <c r="G103" i="11" s="1"/>
  <c r="F100" i="11"/>
  <c r="G100" i="11" s="1"/>
  <c r="F101" i="11"/>
  <c r="G101" i="11" s="1"/>
  <c r="F102" i="11"/>
  <c r="G102" i="11" s="1"/>
  <c r="F337" i="11"/>
  <c r="F336" i="11"/>
  <c r="G336" i="11" s="1"/>
  <c r="F335" i="11"/>
  <c r="G335" i="11" s="1"/>
  <c r="F334" i="11"/>
  <c r="G334" i="11" s="1"/>
  <c r="F333" i="11"/>
  <c r="G333" i="11" s="1"/>
  <c r="F332" i="11"/>
  <c r="G332" i="11" s="1"/>
  <c r="F331" i="11"/>
  <c r="G331" i="11" s="1"/>
  <c r="F330" i="11"/>
  <c r="G330" i="11" s="1"/>
  <c r="F329" i="11"/>
  <c r="G329" i="11" s="1"/>
  <c r="F328" i="11"/>
  <c r="G328" i="11" s="1"/>
  <c r="F327" i="11"/>
  <c r="G327" i="11" s="1"/>
  <c r="F326" i="11"/>
  <c r="G326" i="11" s="1"/>
  <c r="F325" i="11"/>
  <c r="G325" i="11" s="1"/>
  <c r="F324" i="11"/>
  <c r="G324" i="11" s="1"/>
  <c r="G113" i="11" l="1"/>
  <c r="D2" i="12" s="1"/>
  <c r="C2" i="12"/>
  <c r="G337" i="11"/>
  <c r="D6" i="12" s="1"/>
  <c r="C6" i="12"/>
  <c r="G225" i="11"/>
  <c r="D3" i="12" s="1"/>
  <c r="E4" i="12" s="1"/>
  <c r="F4" i="12" s="1"/>
  <c r="C3" i="12"/>
  <c r="E3" i="12" l="1"/>
  <c r="F3" i="12" s="1"/>
</calcChain>
</file>

<file path=xl/sharedStrings.xml><?xml version="1.0" encoding="utf-8"?>
<sst xmlns="http://schemas.openxmlformats.org/spreadsheetml/2006/main" count="606" uniqueCount="401">
  <si>
    <t>How to use this schedule file</t>
  </si>
  <si>
    <t>Read this page once before you type anything. It takes about five minutes.</t>
  </si>
  <si>
    <t xml:space="preserve">  WHAT THIS FILE IS</t>
  </si>
  <si>
    <t>This file holds the schedule for the whole weekend.</t>
  </si>
  <si>
    <t>The app reads this file. Then it shows each person only their own schedule on their phone.</t>
  </si>
  <si>
    <t>If you follow the rules on this page, the app reads the file correctly.</t>
  </si>
  <si>
    <t>If you break the rules, the app may show someone the wrong time, or show them nothing at all.</t>
  </si>
  <si>
    <t xml:space="preserve">  STEP 1 — SET THE DATE</t>
  </si>
  <si>
    <t>Type the date of the Friday of your event in the yellow box.</t>
  </si>
  <si>
    <t>Event Friday date</t>
  </si>
  <si>
    <t>You only do this once. Every day tab works out its own date from this one box.</t>
  </si>
  <si>
    <t>It even handles the hours after midnight, so nothing lands on the wrong day.</t>
  </si>
  <si>
    <t xml:space="preserve">  STEP 2 — LEARN THE TABS</t>
  </si>
  <si>
    <t>The tabs are at the bottom of the window. Here is what each one holds.</t>
  </si>
  <si>
    <t>Instructions</t>
  </si>
  <si>
    <t>This page.</t>
  </si>
  <si>
    <t>Teams</t>
  </si>
  <si>
    <t>The eight teams. Also the show order, which you fill in later.</t>
  </si>
  <si>
    <t>People</t>
  </si>
  <si>
    <t>Every board member, liaison, judge, videographer and RAS rep.</t>
  </si>
  <si>
    <t>Roster</t>
  </si>
  <si>
    <t>Every dancer.</t>
  </si>
  <si>
    <t>Thursday, Friday,</t>
  </si>
  <si>
    <t>The schedule for each day. One row per person or group.</t>
  </si>
  <si>
    <t>Saturday, Sunday</t>
  </si>
  <si>
    <t>Sequences</t>
  </si>
  <si>
    <t>The recipe for anything that repeats team by team.</t>
  </si>
  <si>
    <t>Slot Times</t>
  </si>
  <si>
    <t>When each team starts its turn. Fix a running-late day here.</t>
  </si>
  <si>
    <t>Team Blocks</t>
  </si>
  <si>
    <t>Calculated for you. The team schedules the app reads. Never type here.</t>
  </si>
  <si>
    <t>Timeline</t>
  </si>
  <si>
    <t>Tells you whether the day still fits. Check it after any change.</t>
  </si>
  <si>
    <t>Airport</t>
  </si>
  <si>
    <t>Who is flying, when, and who is driving them.</t>
  </si>
  <si>
    <t xml:space="preserve">  STEP 3 — FILL IN THE TABS, IN THIS ORDER</t>
  </si>
  <si>
    <t>Do not skip ahead. Each tab uses what you typed in the ones before it.</t>
  </si>
  <si>
    <t>1. Teams</t>
  </si>
  <si>
    <t>Type each team name and short name. Leave Show Order empty for now.</t>
  </si>
  <si>
    <t>2. People</t>
  </si>
  <si>
    <t>Add one row for each board member, liaison, judge, videographer and RAS rep. Do not put dancers here.</t>
  </si>
  <si>
    <t>Fill in ID, Full Name, Group, Phone, Email and Type.</t>
  </si>
  <si>
    <t>If the person is a liaison, you must also pick their Team from the dropdown. If you skip this, they will not show up on any day tab.</t>
  </si>
  <si>
    <t>Never type in the Key column. It fills itself in.</t>
  </si>
  <si>
    <t>3. Roster</t>
  </si>
  <si>
    <t>Add one row for each dancer. Pick their team from the dropdown. Put Yes in the Captain? column for captains.</t>
  </si>
  <si>
    <t>4. Day tabs</t>
  </si>
  <si>
    <t>Fill in Thursday, Friday, Saturday and Sunday. See the next two sections.</t>
  </si>
  <si>
    <t>5. Show order</t>
  </si>
  <si>
    <t>After the draw, go back to Teams and type each team's number, 1 to 8. Saturday then fills itself in.</t>
  </si>
  <si>
    <t>6. Check it</t>
  </si>
  <si>
    <t>Use the checklist at the bottom of this page before you upload.</t>
  </si>
  <si>
    <t>Spell each name on the People tab the way you want it to appear on that person's phone. The day tabs copy it exactly.</t>
  </si>
  <si>
    <t xml:space="preserve">  STEP 4 — HOW TO ADD SOMETHING TO A DAY</t>
  </si>
  <si>
    <t>A day tab is a big grid. Times run across the top. Names run down the left side.</t>
  </si>
  <si>
    <t>1.  Find the person's row.</t>
  </si>
  <si>
    <t>2.  Find the column for the time they start.</t>
  </si>
  <si>
    <t>3.  Click that box and type what they are doing. The next section shows you how.</t>
  </si>
  <si>
    <t>4.  Select that box and all the boxes to its right, up to the time they finish.</t>
  </si>
  <si>
    <t xml:space="preserve">     Then click Merge. Now it is one wide box, and you can see how long it lasts.</t>
  </si>
  <si>
    <t>The wide box is only there so it is easy to read. The app reads the times you typed, not how wide the box is. So the times must be right.</t>
  </si>
  <si>
    <t xml:space="preserve">  STEP 5 — HOW TO WRITE ONE BOX</t>
  </si>
  <si>
    <t>Every box has three lines.</t>
  </si>
  <si>
    <t>To start a new line inside a box, press Alt+Enter. On a Mac, press Option+Enter.</t>
  </si>
  <si>
    <t>Line 1</t>
  </si>
  <si>
    <t>The start time and the end time.</t>
  </si>
  <si>
    <t>Line 2</t>
  </si>
  <si>
    <t>Where it happens.</t>
  </si>
  <si>
    <t>Line 3</t>
  </si>
  <si>
    <t>What to do. You can use more lines here if you need them.</t>
  </si>
  <si>
    <t>Here is a box done right:</t>
  </si>
  <si>
    <t>6:00 AM - 5:00 PM
HOTEL (REG ROOM)
Check in teams, help Head Liaisons with room setup</t>
  </si>
  <si>
    <t xml:space="preserve">  THE MOST IMPORTANT RULE</t>
  </si>
  <si>
    <t>Write AM or PM on BOTH times. Every time. No exceptions.</t>
  </si>
  <si>
    <t>Write 7:30 PM - 9:30 PM.  Do not write 7:30 - 9:30 PM.</t>
  </si>
  <si>
    <t>If you leave AM or PM off the first time, the app reads 7:30 PM as 7:30 in the morning.</t>
  </si>
  <si>
    <t>That is twelve hours wrong. Someone will miss the thing they were supposed to be at.</t>
  </si>
  <si>
    <t>This went wrong 192 times in last year's file. It is the easiest mistake to make and the hardest one to spot.</t>
  </si>
  <si>
    <t>RIGHT</t>
  </si>
  <si>
    <t>9:30 PM - 10:30 PM</t>
  </si>
  <si>
    <t>WRONG</t>
  </si>
  <si>
    <t>9:30 - 10:30            (no AM or PM at all)</t>
  </si>
  <si>
    <t>9:30 - 10:30 PM         (missing on the first time)</t>
  </si>
  <si>
    <t>9:30-10:30pm            (missing on the first time)</t>
  </si>
  <si>
    <t>after the show          (not a real time)</t>
  </si>
  <si>
    <t xml:space="preserve">  WHO GOES ON WHICH ROW</t>
  </si>
  <si>
    <t>BOARD MEMBERS</t>
  </si>
  <si>
    <t>Five rows for each position. Type the names yourself.</t>
  </si>
  <si>
    <t>TEAMS</t>
  </si>
  <si>
    <t>One row per team. Whatever you type here is for the whole team.</t>
  </si>
  <si>
    <t>JUDGES</t>
  </si>
  <si>
    <t>One row. All the judges move together, so one row is enough.</t>
  </si>
  <si>
    <t>VIDEOGRAPHERS</t>
  </si>
  <si>
    <t>One row. Same reason.</t>
  </si>
  <si>
    <t>RAS REPS</t>
  </si>
  <si>
    <t>Five rows. They move on their own, so each one gets a row.</t>
  </si>
  <si>
    <t>LIAISONS</t>
  </si>
  <si>
    <t>Five rows per team. Do NOT type names here. They come from the People tab.</t>
  </si>
  <si>
    <t>JUDGE LIAISONS</t>
  </si>
  <si>
    <t>Five rows. Type the names yourself.</t>
  </si>
  <si>
    <t>Every position has five rows even if you only need two. Leave the extra rows empty.</t>
  </si>
  <si>
    <t>That is on purpose. It keeps all four days lined up, so the same person is on the same row number every day.</t>
  </si>
  <si>
    <t xml:space="preserve">  SATURDAY WORKS DIFFERENTLY</t>
  </si>
  <si>
    <t>Saturday runs on the show order, so its rows are built around it.</t>
  </si>
  <si>
    <t>On Saturday the team rows do not say team names. They say Show Order 1 through Show Order 8. The liaison rows are in show order too.</t>
  </si>
  <si>
    <t>This means you can build all of Saturday before the draw happens.</t>
  </si>
  <si>
    <t>When you type the show order on the Teams tab, Saturday fills itself in. The team names appear, and the right liaisons appear underneath them.</t>
  </si>
  <si>
    <t>Until you do that, Saturday says "(not drawn)". That is normal. It is not an error.</t>
  </si>
  <si>
    <t xml:space="preserve">  THINGS THAT REPEAT TEAM BY TEAM</t>
  </si>
  <si>
    <t>Some parts of Saturday are the same thing, done by every team in turn.</t>
  </si>
  <si>
    <t>Practice is the clearest one. Every team reports to the lobby, loads vans, rehearses on</t>
  </si>
  <si>
    <t>stage, sits in the viewing room, rehearses off stage, and comes back. The same ten steps,</t>
  </si>
  <si>
    <t>spaced the same way. Only the start time is different.</t>
  </si>
  <si>
    <t>You do not type those out. You type the recipe once, plus the start times, and the rest</t>
  </si>
  <si>
    <t>works itself out. We call that a pipeline.</t>
  </si>
  <si>
    <t>Sequences tab</t>
  </si>
  <si>
    <t>The recipe. Each step, how many minutes after that team's start time it happens, how long it lasts, and where.</t>
  </si>
  <si>
    <t>Slot Times tab</t>
  </si>
  <si>
    <t>When each team goes. Slot 1 has an Anchor, which is a real clock time. Every slot after it is the one before it, plus a Gap.</t>
  </si>
  <si>
    <t>Team Blocks tab</t>
  </si>
  <si>
    <t>The answer, calculated for you. This is what the app reads. Never type on it.</t>
  </si>
  <si>
    <t>HOW TO FIX A RUNNING-LATE DAY</t>
  </si>
  <si>
    <t>Everyone is late</t>
  </si>
  <si>
    <t>Change the Anchor on Slot Times. Every team moves together.</t>
  </si>
  <si>
    <t>One team ran long</t>
  </si>
  <si>
    <t>Raise the Gap on the NEXT slot. That team and everyone after it move. Teams that already finished do not.</t>
  </si>
  <si>
    <t>Only one team</t>
  </si>
  <si>
    <t>Put minutes in that slot's Adjust box. Nobody else moves.</t>
  </si>
  <si>
    <t>You change one number instead of fifty. And two teams can never land on stage at the same time, because the spacing is arithmetic, not typing.</t>
  </si>
  <si>
    <t xml:space="preserve">  DOES THE DAY STILL FIT?</t>
  </si>
  <si>
    <t>Open the Timeline tab after any change. It is the only place that tells you.</t>
  </si>
  <si>
    <t>Some times are ANCHORS. Doors open and curtain never move. An audience is holding tickets.</t>
  </si>
  <si>
    <t>Everything else has to fit around them.</t>
  </si>
  <si>
    <t>Slack is the spare time between one thing finishing and the next one starting.</t>
  </si>
  <si>
    <t>OK</t>
  </si>
  <si>
    <t>There is room. Carry on.</t>
  </si>
  <si>
    <t>TIGHT</t>
  </si>
  <si>
    <t>It fits, but only just. Keep an eye on it.</t>
  </si>
  <si>
    <t>OVERLAP</t>
  </si>
  <si>
    <t>It does not fit any more. Nothing will fix this by itself. Shorten something, drop a step, or start earlier.</t>
  </si>
  <si>
    <t>A delay moves the rest of its own pipeline by itself. It does NOT push into the next one.</t>
  </si>
  <si>
    <t>That is on purpose. If a delay could push past curtain, this file would happily show you a</t>
  </si>
  <si>
    <t>show starting at 5:30 that cannot actually happen, and nobody would be told.</t>
  </si>
  <si>
    <t xml:space="preserve">  WHAT THE COLOURS MEAN</t>
  </si>
  <si>
    <t xml:space="preserve">   Yellow</t>
  </si>
  <si>
    <t>Type here.</t>
  </si>
  <si>
    <t xml:space="preserve">   Tan</t>
  </si>
  <si>
    <t>An example. Type over it.</t>
  </si>
  <si>
    <t xml:space="preserve">   Blue</t>
  </si>
  <si>
    <t>A group that moves as one. What you type is for everyone in it.</t>
  </si>
  <si>
    <t xml:space="preserve">   Grey</t>
  </si>
  <si>
    <t>A label. Do not change it.</t>
  </si>
  <si>
    <t xml:space="preserve">   White</t>
  </si>
  <si>
    <t>A schedule box. Type here.</t>
  </si>
  <si>
    <t xml:space="preserve">  WHAT THE WARNING WORDS MEAN</t>
  </si>
  <si>
    <t>If you see one of these in the file, something needs fixing.</t>
  </si>
  <si>
    <t>?? CHECK NAME</t>
  </si>
  <si>
    <t>This name is not spelled the same as on the People tab. Fix the spelling. Until you do, this row will not load into the app.</t>
  </si>
  <si>
    <t>(not drawn)</t>
  </si>
  <si>
    <t>The show order is not filled in yet. Go to the Teams tab and fill it in.</t>
  </si>
  <si>
    <t>DUPLICATE</t>
  </si>
  <si>
    <t>Two teams have been given the same show order number. Only one team can be in each slot.</t>
  </si>
  <si>
    <t xml:space="preserve">  DO NOT DO THESE THINGS</t>
  </si>
  <si>
    <t>•  Do not add rows. Do not delete rows. Do not move rows.</t>
  </si>
  <si>
    <t>•  Do not add or delete columns.</t>
  </si>
  <si>
    <t>•  Do not rename a tab.</t>
  </si>
  <si>
    <t>•  Do not change the words in the grey column on the left of a day tab.</t>
  </si>
  <si>
    <t>•  Do not type in the Key column on the People tab.</t>
  </si>
  <si>
    <t>•  Do not type over a formula. Click a box first — if you see an = sign in the bar at the top, leave that box alone.</t>
  </si>
  <si>
    <t>•  Do not put two different activities in one box. Use two boxes.</t>
  </si>
  <si>
    <t>•  Do not write a time in words, like "after lunch". Write a real time.</t>
  </si>
  <si>
    <t>These rules are here because the app matches people by row and by name. If rows move or names change, it matches the wrong person, or nobody.</t>
  </si>
  <si>
    <t xml:space="preserve">  CHECK THIS BEFORE YOU UPLOAD</t>
  </si>
  <si>
    <t>Go down this list every time. Fix anything you find.</t>
  </si>
  <si>
    <t xml:space="preserve">   1.  Every row on the Teams tab says OK in the Check column.</t>
  </si>
  <si>
    <t xml:space="preserve">   2.  Nowhere in the file does it say "?? CHECK NAME".</t>
  </si>
  <si>
    <t xml:space="preserve">   3.  Nowhere on Saturday does it say "(not drawn)".</t>
  </si>
  <si>
    <t xml:space="preserve">   4.  Every schedule box starts with a time.</t>
  </si>
  <si>
    <t xml:space="preserve">   5.  Every one of those times has AM or PM on BOTH ends.</t>
  </si>
  <si>
    <t xml:space="preserve">   6.  The date at the top of this page is the right Friday.</t>
  </si>
  <si>
    <t xml:space="preserve">  IF SOMETHING LOOKS BROKEN</t>
  </si>
  <si>
    <t>Do not try to fix it by deleting rows or columns.</t>
  </si>
  <si>
    <t>Ask whoever owns this file first.</t>
  </si>
  <si>
    <t>A broken file takes much longer to fix than a wrong time does.</t>
  </si>
  <si>
    <t>ID</t>
  </si>
  <si>
    <t>Full Name</t>
  </si>
  <si>
    <t>Group</t>
  </si>
  <si>
    <t>Team</t>
  </si>
  <si>
    <t>Phone</t>
  </si>
  <si>
    <t>Email</t>
  </si>
  <si>
    <t>Type</t>
  </si>
  <si>
    <t>Key (auto)</t>
  </si>
  <si>
    <t>BRD-01</t>
  </si>
  <si>
    <t>Example Director</t>
  </si>
  <si>
    <t>Directors</t>
  </si>
  <si>
    <t>555-0100</t>
  </si>
  <si>
    <t>director@example.edu</t>
  </si>
  <si>
    <t>board</t>
  </si>
  <si>
    <t>LIA-01</t>
  </si>
  <si>
    <t>Example Liaison One</t>
  </si>
  <si>
    <t>Liaisons</t>
  </si>
  <si>
    <t>UNC Taar Heel Raas</t>
  </si>
  <si>
    <t>555-0101</t>
  </si>
  <si>
    <t>lia1@example.edu</t>
  </si>
  <si>
    <t>liaison</t>
  </si>
  <si>
    <t>LIA-02</t>
  </si>
  <si>
    <t>Example Liaison Two</t>
  </si>
  <si>
    <t>555-0102</t>
  </si>
  <si>
    <t>lia2@example.edu</t>
  </si>
  <si>
    <t>LIA-03</t>
  </si>
  <si>
    <t>Example Liaison Three</t>
  </si>
  <si>
    <t>555-0103</t>
  </si>
  <si>
    <t>lia3@example.edu</t>
  </si>
  <si>
    <t>JDG-01</t>
  </si>
  <si>
    <t>Example Judge</t>
  </si>
  <si>
    <t>Judging</t>
  </si>
  <si>
    <t>555-0104</t>
  </si>
  <si>
    <t>judge@example.com</t>
  </si>
  <si>
    <t>judge</t>
  </si>
  <si>
    <t>VID-01</t>
  </si>
  <si>
    <t>Example Videographer</t>
  </si>
  <si>
    <t>External</t>
  </si>
  <si>
    <t>555-0105</t>
  </si>
  <si>
    <t>video@example.com</t>
  </si>
  <si>
    <t>videographer</t>
  </si>
  <si>
    <t>Set Type to "liaison" and pick a Team, and that person appears on every day tab automatically — the first five rows for a team become its liaisons 1 to 5.</t>
  </si>
  <si>
    <t>Key is computed. Do not type in it.</t>
  </si>
  <si>
    <t>Team Name</t>
  </si>
  <si>
    <t>Abbrev</t>
  </si>
  <si>
    <t>Show Order</t>
  </si>
  <si>
    <t>Check</t>
  </si>
  <si>
    <t>Captain(s)</t>
  </si>
  <si>
    <t>Liaison Contact</t>
  </si>
  <si>
    <t>TM-UNC</t>
  </si>
  <si>
    <t>UNC</t>
  </si>
  <si>
    <t>TM-ILL</t>
  </si>
  <si>
    <t>Illini Raas</t>
  </si>
  <si>
    <t>Illini</t>
  </si>
  <si>
    <t>TM-UTD</t>
  </si>
  <si>
    <t>UTD Taraas</t>
  </si>
  <si>
    <t>UTD</t>
  </si>
  <si>
    <t>TM-UVA</t>
  </si>
  <si>
    <t>UVA Hooraas</t>
  </si>
  <si>
    <t>UVA</t>
  </si>
  <si>
    <t>TM-UMD</t>
  </si>
  <si>
    <t>UMD Entouraas</t>
  </si>
  <si>
    <t>UMD</t>
  </si>
  <si>
    <t>TM-UMI</t>
  </si>
  <si>
    <t>Michigan Wolveraas</t>
  </si>
  <si>
    <t>UMich</t>
  </si>
  <si>
    <t>TM-MSU</t>
  </si>
  <si>
    <t>MSU Raasparty</t>
  </si>
  <si>
    <t>MSU</t>
  </si>
  <si>
    <t>TM-GT</t>
  </si>
  <si>
    <t>GT Ramblin Raas</t>
  </si>
  <si>
    <t>GT</t>
  </si>
  <si>
    <t>Show Order is the running order, 1-8. Leave it blank until the draw — Saturday's grid is built against slots, not teams, so it can be filled in before you know who is where.</t>
  </si>
  <si>
    <t>Fill this column in and Saturday resolves itself: every "Show Order N" row picks up the team sitting in slot N, and the app imports it as that team's schedule.</t>
  </si>
  <si>
    <t>Check flags a slot given to two teams. Every row must read OK before you upload.</t>
  </si>
  <si>
    <t>First Name</t>
  </si>
  <si>
    <t>Last Name</t>
  </si>
  <si>
    <t>Captain?</t>
  </si>
  <si>
    <t>Dietary Restrictions</t>
  </si>
  <si>
    <t>T-Shirt Size</t>
  </si>
  <si>
    <t>Example</t>
  </si>
  <si>
    <t>Dancer</t>
  </si>
  <si>
    <t>555-0110</t>
  </si>
  <si>
    <t>dancer@example.edu</t>
  </si>
  <si>
    <t>No</t>
  </si>
  <si>
    <t>Vegetarian</t>
  </si>
  <si>
    <t>M</t>
  </si>
  <si>
    <t>One row per dancer, Team as a column — replaces last year's eight per-team tabs. Captain? replaces the asterisk on the first name.</t>
  </si>
  <si>
    <t>Name</t>
  </si>
  <si>
    <t>Senior Advisors</t>
  </si>
  <si>
    <t>Logistics</t>
  </si>
  <si>
    <t>Hospitality</t>
  </si>
  <si>
    <t>Creative</t>
  </si>
  <si>
    <t>Registration</t>
  </si>
  <si>
    <t>Head Liaisons</t>
  </si>
  <si>
    <t>PR</t>
  </si>
  <si>
    <t>Fundraising</t>
  </si>
  <si>
    <t>Campus Wellness</t>
  </si>
  <si>
    <t>FreshReps</t>
  </si>
  <si>
    <t>TEAMS  —  anything the whole team does goes on its own row</t>
  </si>
  <si>
    <t>JUDGES, VIDEOGRAPHERS &amp; RAS REPS</t>
  </si>
  <si>
    <t>Judges</t>
  </si>
  <si>
    <t>All Judges</t>
  </si>
  <si>
    <t>ROLE-JUDGES</t>
  </si>
  <si>
    <t>Videographers</t>
  </si>
  <si>
    <t>All Videographers</t>
  </si>
  <si>
    <t>ROLE-VIDEO</t>
  </si>
  <si>
    <t>RAS Reps</t>
  </si>
  <si>
    <t>LIAISONS  —  names come from the People tab, not typed here</t>
  </si>
  <si>
    <t>Judge Liaisons</t>
  </si>
  <si>
    <t>SHOW ORDER SLOTS  —  fill Show Order on the Teams tab and these resolve to teams</t>
  </si>
  <si>
    <t>Show Order 1</t>
  </si>
  <si>
    <t>Show Order 2</t>
  </si>
  <si>
    <t>Show Order 3</t>
  </si>
  <si>
    <t>Show Order 4</t>
  </si>
  <si>
    <t>Show Order 5</t>
  </si>
  <si>
    <t>Show Order 6</t>
  </si>
  <si>
    <t>Show Order 7</t>
  </si>
  <si>
    <t>Show Order 8</t>
  </si>
  <si>
    <t>LIAISONS  —  in show order; names come from the People tab</t>
  </si>
  <si>
    <t>Sequence</t>
  </si>
  <si>
    <t>Step</t>
  </si>
  <si>
    <t>Offset (min)</t>
  </si>
  <si>
    <t>Length (min)</t>
  </si>
  <si>
    <t>Location</t>
  </si>
  <si>
    <t>Day</t>
  </si>
  <si>
    <t>Offsets are measured from…</t>
  </si>
  <si>
    <t>Saturday Practice</t>
  </si>
  <si>
    <t>Report to Lobby</t>
  </si>
  <si>
    <t>Courtyard Marriott — Lobby</t>
  </si>
  <si>
    <t>Saturday</t>
  </si>
  <si>
    <t>when that team reports to the hotel lobby</t>
  </si>
  <si>
    <t>Load Vans</t>
  </si>
  <si>
    <t>Courtyard Marriott — Garage</t>
  </si>
  <si>
    <t>Leave Hotel</t>
  </si>
  <si>
    <t>In transit</t>
  </si>
  <si>
    <t>On-Stage Rehearsal</t>
  </si>
  <si>
    <t>IU Auditorium — Stage</t>
  </si>
  <si>
    <t>Walk to Viewing</t>
  </si>
  <si>
    <t>IU Auditorium</t>
  </si>
  <si>
    <t>Viewing Room</t>
  </si>
  <si>
    <t>IU Auditorium — Viewing Room</t>
  </si>
  <si>
    <t>Walk to Off-Stage</t>
  </si>
  <si>
    <t>Intramural Fieldhouse</t>
  </si>
  <si>
    <t>Off-Stage Rehearsal</t>
  </si>
  <si>
    <t>Load Vans (return)</t>
  </si>
  <si>
    <t>Leave Fieldhouse</t>
  </si>
  <si>
    <t>Saturday Photos</t>
  </si>
  <si>
    <t>Staircase (Team Boomerang)</t>
  </si>
  <si>
    <t>IU Auditorium — Staircase</t>
  </si>
  <si>
    <t>that team's staircase photo time</t>
  </si>
  <si>
    <t>Balcony (Team Photo)</t>
  </si>
  <si>
    <t>IU Auditorium — Balcony</t>
  </si>
  <si>
    <t>Show Backstage</t>
  </si>
  <si>
    <t>Leave Audience Seats</t>
  </si>
  <si>
    <t>IU Auditorium — House</t>
  </si>
  <si>
    <t>that team's ON STAGE time  (offsets are negative before it)</t>
  </si>
  <si>
    <t>Dressing Room</t>
  </si>
  <si>
    <t>IU Auditorium — Dressing Room</t>
  </si>
  <si>
    <t>Pre-Prop</t>
  </si>
  <si>
    <t>IU Auditorium — Pre-Prop</t>
  </si>
  <si>
    <t>ON STAGE</t>
  </si>
  <si>
    <t>Post-Prop to Audience</t>
  </si>
  <si>
    <t>IU Auditorium — Post-Prop</t>
  </si>
  <si>
    <t>This is the recipe. It barely changes year to year — only the times on Slot Times do.</t>
  </si>
  <si>
    <t>Offset is minutes from the reference time in the last column. It can be negative, which means before it.</t>
  </si>
  <si>
    <t>Blank yellow rows are spare capacity. Leave them empty.</t>
  </si>
  <si>
    <t>Slot</t>
  </si>
  <si>
    <t>Anchor</t>
  </si>
  <si>
    <t>Gap before (min)</t>
  </si>
  <si>
    <t>Adjust (min)</t>
  </si>
  <si>
    <t>Reference time</t>
  </si>
  <si>
    <t>Team (from the draw)</t>
  </si>
  <si>
    <t>Anchor is when slot 1 starts. Every slot after it is the one before plus its Gap.</t>
  </si>
  <si>
    <t>RUNNING LATE?  Whole pipeline late — change the Anchor. One team ran long — raise the Gap on the NEXT slot. Everything after moves; everything already finished does not.</t>
  </si>
  <si>
    <t>Adjust shifts one slot on its own without moving anyone else. Use it sparingly.</t>
  </si>
  <si>
    <t>Check the Timeline tab after any change.</t>
  </si>
  <si>
    <t>Start</t>
  </si>
  <si>
    <t>End</t>
  </si>
  <si>
    <t>EVERY CELL ON THIS TAB IS CALCULATED. Do not type here.</t>
  </si>
  <si>
    <t>This is what the app imports. Change Sequences or Slot Times and these rows update themselves.</t>
  </si>
  <si>
    <t>Item</t>
  </si>
  <si>
    <t>Starts</t>
  </si>
  <si>
    <t>Ends</t>
  </si>
  <si>
    <t>Slack before (min)</t>
  </si>
  <si>
    <t>Status</t>
  </si>
  <si>
    <t>Warn under (min)</t>
  </si>
  <si>
    <t>Pipeline</t>
  </si>
  <si>
    <t>Doors Open</t>
  </si>
  <si>
    <t>ANCHOR</t>
  </si>
  <si>
    <t>—</t>
  </si>
  <si>
    <t>Curtain — show starts</t>
  </si>
  <si>
    <t>anchored to Curtain</t>
  </si>
  <si>
    <t>ANCHOR rows do not move. Doors open and curtain are fixed — an audience is holding tickets.</t>
  </si>
  <si>
    <t>Slack is the gap between one thing ending and the next starting.</t>
  </si>
  <si>
    <t>OVERLAP means the day no longer fits. Nothing will fix that by itself — shorten a pipeline, drop a step, or start earlier.</t>
  </si>
  <si>
    <t>Delays cascade inside a pipeline on their own. They do NOT cross into the next one. That is deliberate: crossing an anchor would produce a schedule that adds up but cannot happen.</t>
  </si>
  <si>
    <t>Direction</t>
  </si>
  <si>
    <t>Date</t>
  </si>
  <si>
    <t>Applies To</t>
  </si>
  <si>
    <t># People</t>
  </si>
  <si>
    <t>Flight #</t>
  </si>
  <si>
    <t>Flight Time</t>
  </si>
  <si>
    <t>Pickup / Leave Time</t>
  </si>
  <si>
    <t>Arrive</t>
  </si>
  <si>
    <t>Driver(s)</t>
  </si>
  <si>
    <t>Vehicle(s)</t>
  </si>
  <si>
    <t>Driver Phone</t>
  </si>
  <si>
    <t>Arrival</t>
  </si>
  <si>
    <t>Team: UMD Entouraas</t>
  </si>
  <si>
    <t>AA4352</t>
  </si>
  <si>
    <t>Example Liaison</t>
  </si>
  <si>
    <t>Minibus</t>
  </si>
  <si>
    <t>Person: Example Dancer</t>
  </si>
  <si>
    <t>UA2646</t>
  </si>
  <si>
    <t>Personal car</t>
  </si>
  <si>
    <t>Applies To uses the app's assignment grammar: "Team: &lt;name&gt;", "Person: &lt;name&gt;", or "Role: &lt;name&gt;". Flights group people across teams, which is why this stays its own tab — one row per travel party, not per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</si>
</sst>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mmm\ d\,\ yyyy"/>
    <numFmt numFmtId="165" formatCode="ddd\ mmm\ d"/>
  </numFmts>
  <fonts count="10" x14ac:knownFonts="1">
    <font>
      <sz val="11"/>
      <color theme="1"/>
      <name val="Calibri"/>
      <family val="2"/>
      <scheme val="minor"/>
    </font>
    <font>
      <b/>
      <sz val="16"/>
      <name val="Arial"/>
      <family val="2"/>
    </font>
    <font>
      <sz val="9"/>
      <color rgb="FF808080"/>
      <name val="Arial"/>
      <family val="2"/>
    </font>
    <font>
      <b/>
      <sz val="12"/>
      <color rgb="FFFFFFFF"/>
      <name val="Arial"/>
      <family val="2"/>
    </font>
    <font>
      <sz val="10"/>
      <name val="Arial"/>
      <family val="2"/>
    </font>
    <font>
      <b/>
      <sz val="10"/>
      <name val="Arial"/>
      <family val="2"/>
    </font>
    <font>
      <sz val="10"/>
      <color rgb="FF0000FF"/>
      <name val="Arial"/>
      <family val="2"/>
    </font>
    <font>
      <b/>
      <sz val="10"/>
      <color rgb="FFC00000"/>
      <name val="Arial"/>
      <family val="2"/>
    </font>
    <font>
      <sz val="10"/>
      <name val="Courier New"/>
      <family val="1"/>
    </font>
    <font>
      <b/>
      <sz val="10"/>
      <color rgb="FFFFFFFF"/>
      <name val="Arial"/>
      <family val="2"/>
    </font>
  </fonts>
  <fills count="8">
    <fill>
      <patternFill patternType="none"/>
    </fill>
    <fill>
      <patternFill patternType="gray125"/>
    </fill>
    <fill>
      <patternFill patternType="solid">
        <fgColor rgb="FF2F4F4F"/>
      </patternFill>
    </fill>
    <fill>
      <patternFill patternType="solid">
        <fgColor rgb="FFFFFF00"/>
      </patternFill>
    </fill>
    <fill>
      <patternFill patternType="solid">
        <fgColor rgb="FFFFF2CC"/>
      </patternFill>
    </fill>
    <fill>
      <patternFill patternType="solid">
        <fgColor rgb="FFDCE9F5"/>
      </patternFill>
    </fill>
    <fill>
      <patternFill patternType="solid">
        <fgColor rgb="FFF2F2F2"/>
      </patternFill>
    </fill>
    <fill>
      <patternFill patternType="solid">
        <fgColor rgb="FFD9D9D9"/>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67">
    <xf numFmtId="0" fontId="0" fillId="0" borderId="0" xfId="0"/>
    <xf numFmtId="0" fontId="5" fillId="0" borderId="0" xfId="0" applyFont="1" applyAlignment="1">
      <alignment vertical="top" wrapText="1"/>
    </xf>
    <xf numFmtId="164" fontId="6" fillId="3" borderId="1" xfId="0" applyNumberFormat="1" applyFont="1" applyFill="1" applyBorder="1" applyAlignment="1">
      <alignment vertical="top" wrapText="1"/>
    </xf>
    <xf numFmtId="0" fontId="4" fillId="0" borderId="0" xfId="0" applyFont="1" applyAlignment="1">
      <alignment vertical="top" wrapText="1"/>
    </xf>
    <xf numFmtId="0" fontId="8" fillId="4" borderId="1" xfId="0" applyFont="1" applyFill="1" applyBorder="1" applyAlignment="1">
      <alignment horizontal="left" vertical="top" wrapText="1"/>
    </xf>
    <xf numFmtId="0" fontId="8" fillId="0" borderId="0" xfId="0" applyFont="1" applyAlignment="1">
      <alignment vertical="top" wrapText="1"/>
    </xf>
    <xf numFmtId="0" fontId="7" fillId="0" borderId="0" xfId="0" applyFont="1" applyAlignment="1">
      <alignment vertical="top" wrapText="1"/>
    </xf>
    <xf numFmtId="0" fontId="5" fillId="3" borderId="1" xfId="0" applyFont="1" applyFill="1" applyBorder="1" applyAlignment="1">
      <alignment vertical="center"/>
    </xf>
    <xf numFmtId="0" fontId="5" fillId="4" borderId="1" xfId="0" applyFont="1" applyFill="1" applyBorder="1" applyAlignment="1">
      <alignment vertical="center"/>
    </xf>
    <xf numFmtId="0" fontId="5" fillId="5" borderId="1" xfId="0" applyFont="1" applyFill="1" applyBorder="1" applyAlignment="1">
      <alignment vertical="center"/>
    </xf>
    <xf numFmtId="0" fontId="5" fillId="6" borderId="1" xfId="0" applyFont="1" applyFill="1" applyBorder="1" applyAlignment="1">
      <alignment vertical="center"/>
    </xf>
    <xf numFmtId="0" fontId="5" fillId="0" borderId="1" xfId="0" applyFont="1" applyBorder="1" applyAlignment="1">
      <alignment vertical="center"/>
    </xf>
    <xf numFmtId="0" fontId="9" fillId="2" borderId="1" xfId="0" applyFont="1" applyFill="1" applyBorder="1" applyAlignment="1">
      <alignment horizontal="center" vertical="center"/>
    </xf>
    <xf numFmtId="0" fontId="6" fillId="4" borderId="1" xfId="0" applyFont="1" applyFill="1" applyBorder="1"/>
    <xf numFmtId="0" fontId="2" fillId="0" borderId="1" xfId="0" applyFont="1" applyBorder="1" applyAlignment="1">
      <alignment horizontal="center" vertical="center"/>
    </xf>
    <xf numFmtId="0" fontId="0" fillId="3" borderId="1" xfId="0" applyFill="1" applyBorder="1"/>
    <xf numFmtId="0" fontId="0" fillId="0" borderId="1" xfId="0" applyBorder="1"/>
    <xf numFmtId="0" fontId="2" fillId="0" borderId="0" xfId="0" applyFont="1"/>
    <xf numFmtId="0" fontId="6" fillId="0" borderId="1" xfId="0" applyFont="1" applyBorder="1"/>
    <xf numFmtId="0" fontId="6" fillId="3" borderId="1" xfId="0" applyFont="1" applyFill="1" applyBorder="1" applyAlignment="1">
      <alignment horizontal="center" vertical="center"/>
    </xf>
    <xf numFmtId="0" fontId="4" fillId="0" borderId="1" xfId="0" applyFont="1" applyBorder="1" applyAlignment="1">
      <alignment horizontal="center" vertical="center"/>
    </xf>
    <xf numFmtId="0" fontId="4" fillId="3" borderId="1" xfId="0" applyFont="1" applyFill="1" applyBorder="1"/>
    <xf numFmtId="0" fontId="0" fillId="7" borderId="1" xfId="0" applyFill="1" applyBorder="1"/>
    <xf numFmtId="18" fontId="5" fillId="7" borderId="1" xfId="0" applyNumberFormat="1" applyFont="1" applyFill="1" applyBorder="1" applyAlignment="1">
      <alignment horizontal="center" vertical="center" textRotation="90"/>
    </xf>
    <xf numFmtId="0" fontId="6" fillId="3" borderId="1" xfId="0" applyFont="1" applyFill="1" applyBorder="1" applyAlignment="1">
      <alignment vertical="center"/>
    </xf>
    <xf numFmtId="0" fontId="4" fillId="0" borderId="1" xfId="0" applyFont="1" applyBorder="1" applyAlignment="1">
      <alignment horizontal="left" vertical="top" wrapText="1"/>
    </xf>
    <xf numFmtId="0" fontId="6" fillId="0" borderId="1" xfId="0" applyFont="1" applyBorder="1" applyAlignment="1">
      <alignment vertical="center"/>
    </xf>
    <xf numFmtId="0" fontId="4" fillId="5" borderId="1" xfId="0" applyFont="1" applyFill="1" applyBorder="1" applyAlignment="1">
      <alignment horizontal="left" vertical="top" wrapText="1"/>
    </xf>
    <xf numFmtId="0" fontId="4" fillId="0" borderId="1" xfId="0" applyFont="1" applyBorder="1" applyAlignment="1">
      <alignment vertical="center"/>
    </xf>
    <xf numFmtId="0" fontId="6" fillId="4" borderId="1" xfId="0" applyFont="1" applyFill="1" applyBorder="1" applyAlignment="1">
      <alignment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18" fontId="6" fillId="3" borderId="1" xfId="0" applyNumberFormat="1" applyFont="1" applyFill="1" applyBorder="1" applyAlignment="1">
      <alignment horizontal="center" vertical="center"/>
    </xf>
    <xf numFmtId="0" fontId="0" fillId="6" borderId="1" xfId="0" applyFill="1" applyBorder="1"/>
    <xf numFmtId="18" fontId="4" fillId="0" borderId="1" xfId="0" applyNumberFormat="1" applyFont="1" applyBorder="1" applyAlignment="1">
      <alignment horizontal="center" vertical="center"/>
    </xf>
    <xf numFmtId="0" fontId="4" fillId="0" borderId="1" xfId="0" applyFont="1" applyBorder="1"/>
    <xf numFmtId="0" fontId="7" fillId="0" borderId="0" xfId="0" applyFont="1"/>
    <xf numFmtId="0" fontId="5" fillId="0" borderId="0" xfId="0" applyFont="1"/>
    <xf numFmtId="1" fontId="4" fillId="0" borderId="1" xfId="0" applyNumberFormat="1" applyFont="1" applyBorder="1" applyAlignment="1">
      <alignment horizontal="center" vertical="center"/>
    </xf>
    <xf numFmtId="0" fontId="6" fillId="3" borderId="0" xfId="0" applyFont="1" applyFill="1" applyAlignment="1">
      <alignment horizontal="center" vertical="center"/>
    </xf>
    <xf numFmtId="0" fontId="5" fillId="0" borderId="1" xfId="0" applyFont="1" applyBorder="1"/>
    <xf numFmtId="0" fontId="7" fillId="0" borderId="1"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xf numFmtId="165" fontId="6" fillId="4" borderId="1" xfId="0" applyNumberFormat="1" applyFont="1" applyFill="1" applyBorder="1"/>
    <xf numFmtId="18" fontId="6" fillId="4" borderId="1" xfId="0" applyNumberFormat="1" applyFont="1" applyFill="1" applyBorder="1"/>
    <xf numFmtId="0" fontId="5" fillId="6" borderId="1" xfId="0" applyFont="1" applyFill="1" applyBorder="1" applyAlignment="1">
      <alignment vertical="center" wrapText="1"/>
    </xf>
    <xf numFmtId="0" fontId="0" fillId="0" borderId="4" xfId="0" applyBorder="1"/>
    <xf numFmtId="0" fontId="0" fillId="0" borderId="5" xfId="0" applyBorder="1"/>
    <xf numFmtId="0" fontId="4" fillId="0" borderId="0" xfId="0" applyFont="1" applyAlignment="1">
      <alignment vertical="top"/>
    </xf>
    <xf numFmtId="0" fontId="0" fillId="0" borderId="0" xfId="0"/>
    <xf numFmtId="0" fontId="3" fillId="2" borderId="0" xfId="0" applyFont="1" applyFill="1" applyAlignment="1">
      <alignment vertical="center"/>
    </xf>
    <xf numFmtId="0" fontId="2" fillId="0" borderId="0" xfId="0" applyFont="1" applyAlignment="1">
      <alignment vertical="top"/>
    </xf>
    <xf numFmtId="0" fontId="7" fillId="0" borderId="0" xfId="0" applyFont="1" applyAlignment="1">
      <alignment vertical="top"/>
    </xf>
    <xf numFmtId="0" fontId="1" fillId="0" borderId="0" xfId="0" applyFont="1" applyAlignment="1">
      <alignment vertical="top"/>
    </xf>
    <xf numFmtId="0" fontId="5" fillId="0" borderId="0" xfId="0" applyFont="1" applyAlignment="1">
      <alignment vertical="top"/>
    </xf>
    <xf numFmtId="165" fontId="9" fillId="2" borderId="0" xfId="0" applyNumberFormat="1" applyFont="1" applyFill="1" applyAlignment="1">
      <alignment horizontal="center" vertical="center"/>
    </xf>
    <xf numFmtId="0" fontId="0" fillId="2" borderId="0" xfId="0" applyFill="1"/>
    <xf numFmtId="0" fontId="5" fillId="7" borderId="1" xfId="0" applyFont="1" applyFill="1" applyBorder="1"/>
    <xf numFmtId="0" fontId="0" fillId="0" borderId="2" xfId="0" applyBorder="1"/>
    <xf numFmtId="0" fontId="0" fillId="0" borderId="3" xfId="0" applyBorder="1"/>
    <xf numFmtId="0" fontId="5" fillId="6" borderId="1" xfId="0" applyFont="1" applyFill="1" applyBorder="1" applyAlignment="1">
      <alignment vertical="center"/>
    </xf>
    <xf numFmtId="0" fontId="4" fillId="4" borderId="1" xfId="0" applyFont="1" applyFill="1" applyBorder="1" applyAlignment="1">
      <alignment horizontal="left" vertical="top" wrapText="1"/>
    </xf>
    <xf numFmtId="0" fontId="0" fillId="4" borderId="2" xfId="0" applyFill="1" applyBorder="1"/>
    <xf numFmtId="0" fontId="0" fillId="4" borderId="3" xfId="0" applyFill="1" applyBorder="1"/>
    <xf numFmtId="0" fontId="6" fillId="0" borderId="1" xfId="0" applyFont="1" applyBorder="1" applyAlignment="1">
      <alignment horizontal="center" vertical="center"/>
    </xf>
    <xf numFmtId="0" fontId="2"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86"/>
  <sheetViews>
    <sheetView showGridLines="0" topLeftCell="A146" workbookViewId="0"/>
  </sheetViews>
  <sheetFormatPr baseColWidth="10" defaultColWidth="8.83203125" defaultRowHeight="15" x14ac:dyDescent="0.2"/>
  <cols>
    <col min="1" max="1" width="3" customWidth="1"/>
    <col min="2" max="2" width="30" customWidth="1"/>
    <col min="3" max="3" width="92" customWidth="1"/>
  </cols>
  <sheetData>
    <row r="2" spans="2:3" ht="24" customHeight="1" x14ac:dyDescent="0.2">
      <c r="B2" s="54" t="s">
        <v>0</v>
      </c>
      <c r="C2" s="50"/>
    </row>
    <row r="3" spans="2:3" x14ac:dyDescent="0.2">
      <c r="B3" s="52" t="s">
        <v>1</v>
      </c>
      <c r="C3" s="50"/>
    </row>
    <row r="5" spans="2:3" ht="22" customHeight="1" x14ac:dyDescent="0.2">
      <c r="B5" s="51" t="s">
        <v>2</v>
      </c>
      <c r="C5" s="50"/>
    </row>
    <row r="6" spans="2:3" x14ac:dyDescent="0.2">
      <c r="B6" s="49" t="s">
        <v>3</v>
      </c>
      <c r="C6" s="50"/>
    </row>
    <row r="7" spans="2:3" x14ac:dyDescent="0.2">
      <c r="B7" s="49" t="s">
        <v>4</v>
      </c>
      <c r="C7" s="50"/>
    </row>
    <row r="8" spans="2:3" x14ac:dyDescent="0.2">
      <c r="B8" s="49"/>
      <c r="C8" s="50"/>
    </row>
    <row r="9" spans="2:3" x14ac:dyDescent="0.2">
      <c r="B9" s="49" t="s">
        <v>5</v>
      </c>
      <c r="C9" s="50"/>
    </row>
    <row r="10" spans="2:3" x14ac:dyDescent="0.2">
      <c r="B10" s="49" t="s">
        <v>6</v>
      </c>
      <c r="C10" s="50"/>
    </row>
    <row r="12" spans="2:3" ht="22" customHeight="1" x14ac:dyDescent="0.2">
      <c r="B12" s="51" t="s">
        <v>7</v>
      </c>
      <c r="C12" s="50"/>
    </row>
    <row r="13" spans="2:3" x14ac:dyDescent="0.2">
      <c r="B13" s="55" t="s">
        <v>8</v>
      </c>
      <c r="C13" s="50"/>
    </row>
    <row r="14" spans="2:3" x14ac:dyDescent="0.2">
      <c r="B14" s="1" t="s">
        <v>9</v>
      </c>
      <c r="C14" s="2">
        <v>46241</v>
      </c>
    </row>
    <row r="15" spans="2:3" x14ac:dyDescent="0.2">
      <c r="B15" s="52" t="s">
        <v>10</v>
      </c>
      <c r="C15" s="50"/>
    </row>
    <row r="16" spans="2:3" x14ac:dyDescent="0.2">
      <c r="B16" s="52" t="s">
        <v>11</v>
      </c>
      <c r="C16" s="50"/>
    </row>
    <row r="18" spans="2:3" ht="22" customHeight="1" x14ac:dyDescent="0.2">
      <c r="B18" s="51" t="s">
        <v>12</v>
      </c>
      <c r="C18" s="50"/>
    </row>
    <row r="19" spans="2:3" x14ac:dyDescent="0.2">
      <c r="B19" s="49" t="s">
        <v>13</v>
      </c>
      <c r="C19" s="50"/>
    </row>
    <row r="20" spans="2:3" x14ac:dyDescent="0.2">
      <c r="B20" s="49"/>
      <c r="C20" s="50"/>
    </row>
    <row r="21" spans="2:3" x14ac:dyDescent="0.2">
      <c r="B21" s="1" t="s">
        <v>14</v>
      </c>
      <c r="C21" s="3" t="s">
        <v>15</v>
      </c>
    </row>
    <row r="22" spans="2:3" x14ac:dyDescent="0.2">
      <c r="B22" s="1" t="s">
        <v>16</v>
      </c>
      <c r="C22" s="3" t="s">
        <v>17</v>
      </c>
    </row>
    <row r="23" spans="2:3" x14ac:dyDescent="0.2">
      <c r="B23" s="1" t="s">
        <v>18</v>
      </c>
      <c r="C23" s="3" t="s">
        <v>19</v>
      </c>
    </row>
    <row r="24" spans="2:3" x14ac:dyDescent="0.2">
      <c r="B24" s="1" t="s">
        <v>20</v>
      </c>
      <c r="C24" s="3" t="s">
        <v>21</v>
      </c>
    </row>
    <row r="25" spans="2:3" x14ac:dyDescent="0.2">
      <c r="B25" s="1" t="s">
        <v>22</v>
      </c>
      <c r="C25" s="3" t="s">
        <v>23</v>
      </c>
    </row>
    <row r="26" spans="2:3" x14ac:dyDescent="0.2">
      <c r="B26" s="1" t="s">
        <v>24</v>
      </c>
      <c r="C26" s="3"/>
    </row>
    <row r="27" spans="2:3" x14ac:dyDescent="0.2">
      <c r="B27" s="1" t="s">
        <v>25</v>
      </c>
      <c r="C27" s="3" t="s">
        <v>26</v>
      </c>
    </row>
    <row r="28" spans="2:3" x14ac:dyDescent="0.2">
      <c r="B28" s="1" t="s">
        <v>27</v>
      </c>
      <c r="C28" s="3" t="s">
        <v>28</v>
      </c>
    </row>
    <row r="29" spans="2:3" x14ac:dyDescent="0.2">
      <c r="B29" s="1" t="s">
        <v>29</v>
      </c>
      <c r="C29" s="3" t="s">
        <v>30</v>
      </c>
    </row>
    <row r="30" spans="2:3" x14ac:dyDescent="0.2">
      <c r="B30" s="1" t="s">
        <v>31</v>
      </c>
      <c r="C30" s="3" t="s">
        <v>32</v>
      </c>
    </row>
    <row r="31" spans="2:3" x14ac:dyDescent="0.2">
      <c r="B31" s="1" t="s">
        <v>33</v>
      </c>
      <c r="C31" s="3" t="s">
        <v>34</v>
      </c>
    </row>
    <row r="33" spans="2:3" ht="22" customHeight="1" x14ac:dyDescent="0.2">
      <c r="B33" s="51" t="s">
        <v>35</v>
      </c>
      <c r="C33" s="50"/>
    </row>
    <row r="34" spans="2:3" x14ac:dyDescent="0.2">
      <c r="B34" s="53" t="s">
        <v>36</v>
      </c>
      <c r="C34" s="50"/>
    </row>
    <row r="35" spans="2:3" x14ac:dyDescent="0.2">
      <c r="B35" s="49"/>
      <c r="C35" s="50"/>
    </row>
    <row r="36" spans="2:3" ht="14" customHeight="1" x14ac:dyDescent="0.2">
      <c r="B36" s="1" t="s">
        <v>37</v>
      </c>
      <c r="C36" s="3" t="s">
        <v>38</v>
      </c>
    </row>
    <row r="37" spans="2:3" ht="26" customHeight="1" x14ac:dyDescent="0.2">
      <c r="B37" s="1" t="s">
        <v>39</v>
      </c>
      <c r="C37" s="3" t="s">
        <v>40</v>
      </c>
    </row>
    <row r="38" spans="2:3" ht="14" customHeight="1" x14ac:dyDescent="0.2">
      <c r="B38" s="1"/>
      <c r="C38" s="3" t="s">
        <v>41</v>
      </c>
    </row>
    <row r="39" spans="2:3" ht="26" customHeight="1" x14ac:dyDescent="0.2">
      <c r="B39" s="1"/>
      <c r="C39" s="3" t="s">
        <v>42</v>
      </c>
    </row>
    <row r="40" spans="2:3" ht="14" customHeight="1" x14ac:dyDescent="0.2">
      <c r="B40" s="1"/>
      <c r="C40" s="3" t="s">
        <v>43</v>
      </c>
    </row>
    <row r="41" spans="2:3" ht="26" customHeight="1" x14ac:dyDescent="0.2">
      <c r="B41" s="1" t="s">
        <v>44</v>
      </c>
      <c r="C41" s="3" t="s">
        <v>45</v>
      </c>
    </row>
    <row r="42" spans="2:3" ht="14" customHeight="1" x14ac:dyDescent="0.2">
      <c r="B42" s="1" t="s">
        <v>46</v>
      </c>
      <c r="C42" s="3" t="s">
        <v>47</v>
      </c>
    </row>
    <row r="43" spans="2:3" ht="26" customHeight="1" x14ac:dyDescent="0.2">
      <c r="B43" s="1" t="s">
        <v>48</v>
      </c>
      <c r="C43" s="3" t="s">
        <v>49</v>
      </c>
    </row>
    <row r="44" spans="2:3" ht="14" customHeight="1" x14ac:dyDescent="0.2">
      <c r="B44" s="1" t="s">
        <v>50</v>
      </c>
      <c r="C44" s="3" t="s">
        <v>51</v>
      </c>
    </row>
    <row r="45" spans="2:3" x14ac:dyDescent="0.2">
      <c r="B45" s="49"/>
      <c r="C45" s="50"/>
    </row>
    <row r="46" spans="2:3" x14ac:dyDescent="0.2">
      <c r="B46" s="52" t="s">
        <v>52</v>
      </c>
      <c r="C46" s="50"/>
    </row>
    <row r="48" spans="2:3" ht="22" customHeight="1" x14ac:dyDescent="0.2">
      <c r="B48" s="51" t="s">
        <v>53</v>
      </c>
      <c r="C48" s="50"/>
    </row>
    <row r="49" spans="2:3" x14ac:dyDescent="0.2">
      <c r="B49" s="49" t="s">
        <v>54</v>
      </c>
      <c r="C49" s="50"/>
    </row>
    <row r="50" spans="2:3" x14ac:dyDescent="0.2">
      <c r="B50" s="49"/>
      <c r="C50" s="50"/>
    </row>
    <row r="51" spans="2:3" x14ac:dyDescent="0.2">
      <c r="B51" s="49" t="s">
        <v>55</v>
      </c>
      <c r="C51" s="50"/>
    </row>
    <row r="52" spans="2:3" x14ac:dyDescent="0.2">
      <c r="B52" s="49" t="s">
        <v>56</v>
      </c>
      <c r="C52" s="50"/>
    </row>
    <row r="53" spans="2:3" x14ac:dyDescent="0.2">
      <c r="B53" s="49" t="s">
        <v>57</v>
      </c>
      <c r="C53" s="50"/>
    </row>
    <row r="54" spans="2:3" x14ac:dyDescent="0.2">
      <c r="B54" s="49" t="s">
        <v>58</v>
      </c>
      <c r="C54" s="50"/>
    </row>
    <row r="55" spans="2:3" x14ac:dyDescent="0.2">
      <c r="B55" s="49" t="s">
        <v>59</v>
      </c>
      <c r="C55" s="50"/>
    </row>
    <row r="56" spans="2:3" x14ac:dyDescent="0.2">
      <c r="B56" s="49"/>
      <c r="C56" s="50"/>
    </row>
    <row r="57" spans="2:3" x14ac:dyDescent="0.2">
      <c r="B57" s="52" t="s">
        <v>60</v>
      </c>
      <c r="C57" s="50"/>
    </row>
    <row r="59" spans="2:3" ht="22" customHeight="1" x14ac:dyDescent="0.2">
      <c r="B59" s="51" t="s">
        <v>61</v>
      </c>
      <c r="C59" s="50"/>
    </row>
    <row r="60" spans="2:3" x14ac:dyDescent="0.2">
      <c r="B60" s="55" t="s">
        <v>62</v>
      </c>
      <c r="C60" s="50"/>
    </row>
    <row r="61" spans="2:3" x14ac:dyDescent="0.2">
      <c r="B61" s="52" t="s">
        <v>63</v>
      </c>
      <c r="C61" s="50"/>
    </row>
    <row r="62" spans="2:3" x14ac:dyDescent="0.2">
      <c r="B62" s="49"/>
      <c r="C62" s="50"/>
    </row>
    <row r="63" spans="2:3" x14ac:dyDescent="0.2">
      <c r="B63" s="1" t="s">
        <v>64</v>
      </c>
      <c r="C63" s="3" t="s">
        <v>65</v>
      </c>
    </row>
    <row r="64" spans="2:3" x14ac:dyDescent="0.2">
      <c r="B64" s="1" t="s">
        <v>66</v>
      </c>
      <c r="C64" s="3" t="s">
        <v>67</v>
      </c>
    </row>
    <row r="65" spans="2:3" x14ac:dyDescent="0.2">
      <c r="B65" s="1" t="s">
        <v>68</v>
      </c>
      <c r="C65" s="3" t="s">
        <v>69</v>
      </c>
    </row>
    <row r="66" spans="2:3" x14ac:dyDescent="0.2">
      <c r="B66" s="49"/>
      <c r="C66" s="50"/>
    </row>
    <row r="67" spans="2:3" x14ac:dyDescent="0.2">
      <c r="B67" s="55" t="s">
        <v>70</v>
      </c>
      <c r="C67" s="50"/>
    </row>
    <row r="68" spans="2:3" ht="48" customHeight="1" x14ac:dyDescent="0.2">
      <c r="C68" s="4" t="s">
        <v>71</v>
      </c>
    </row>
    <row r="70" spans="2:3" ht="22" customHeight="1" x14ac:dyDescent="0.2">
      <c r="B70" s="51" t="s">
        <v>72</v>
      </c>
      <c r="C70" s="50"/>
    </row>
    <row r="71" spans="2:3" x14ac:dyDescent="0.2">
      <c r="B71" s="53" t="s">
        <v>73</v>
      </c>
      <c r="C71" s="50"/>
    </row>
    <row r="72" spans="2:3" x14ac:dyDescent="0.2">
      <c r="B72" s="49"/>
      <c r="C72" s="50"/>
    </row>
    <row r="73" spans="2:3" x14ac:dyDescent="0.2">
      <c r="B73" s="49" t="s">
        <v>74</v>
      </c>
      <c r="C73" s="50"/>
    </row>
    <row r="74" spans="2:3" x14ac:dyDescent="0.2">
      <c r="B74" s="49"/>
      <c r="C74" s="50"/>
    </row>
    <row r="75" spans="2:3" x14ac:dyDescent="0.2">
      <c r="B75" s="49" t="s">
        <v>75</v>
      </c>
      <c r="C75" s="50"/>
    </row>
    <row r="76" spans="2:3" x14ac:dyDescent="0.2">
      <c r="B76" s="49" t="s">
        <v>76</v>
      </c>
      <c r="C76" s="50"/>
    </row>
    <row r="77" spans="2:3" x14ac:dyDescent="0.2">
      <c r="B77" s="49"/>
      <c r="C77" s="50"/>
    </row>
    <row r="78" spans="2:3" x14ac:dyDescent="0.2">
      <c r="B78" s="52" t="s">
        <v>77</v>
      </c>
      <c r="C78" s="50"/>
    </row>
    <row r="79" spans="2:3" x14ac:dyDescent="0.2">
      <c r="B79" s="49"/>
      <c r="C79" s="50"/>
    </row>
    <row r="80" spans="2:3" x14ac:dyDescent="0.2">
      <c r="B80" s="1" t="s">
        <v>78</v>
      </c>
      <c r="C80" s="5" t="s">
        <v>79</v>
      </c>
    </row>
    <row r="81" spans="2:3" x14ac:dyDescent="0.2">
      <c r="B81" s="6" t="s">
        <v>80</v>
      </c>
      <c r="C81" s="5" t="s">
        <v>81</v>
      </c>
    </row>
    <row r="82" spans="2:3" x14ac:dyDescent="0.2">
      <c r="B82" s="6" t="s">
        <v>80</v>
      </c>
      <c r="C82" s="5" t="s">
        <v>82</v>
      </c>
    </row>
    <row r="83" spans="2:3" x14ac:dyDescent="0.2">
      <c r="B83" s="6" t="s">
        <v>80</v>
      </c>
      <c r="C83" s="5" t="s">
        <v>83</v>
      </c>
    </row>
    <row r="84" spans="2:3" x14ac:dyDescent="0.2">
      <c r="B84" s="6" t="s">
        <v>80</v>
      </c>
      <c r="C84" s="5" t="s">
        <v>84</v>
      </c>
    </row>
    <row r="86" spans="2:3" ht="22" customHeight="1" x14ac:dyDescent="0.2">
      <c r="B86" s="51" t="s">
        <v>85</v>
      </c>
      <c r="C86" s="50"/>
    </row>
    <row r="87" spans="2:3" ht="14" customHeight="1" x14ac:dyDescent="0.2">
      <c r="B87" s="1" t="s">
        <v>86</v>
      </c>
      <c r="C87" s="3" t="s">
        <v>87</v>
      </c>
    </row>
    <row r="88" spans="2:3" ht="14" customHeight="1" x14ac:dyDescent="0.2">
      <c r="B88" s="1" t="s">
        <v>88</v>
      </c>
      <c r="C88" s="3" t="s">
        <v>89</v>
      </c>
    </row>
    <row r="89" spans="2:3" ht="14" customHeight="1" x14ac:dyDescent="0.2">
      <c r="B89" s="1" t="s">
        <v>90</v>
      </c>
      <c r="C89" s="3" t="s">
        <v>91</v>
      </c>
    </row>
    <row r="90" spans="2:3" ht="14" customHeight="1" x14ac:dyDescent="0.2">
      <c r="B90" s="1" t="s">
        <v>92</v>
      </c>
      <c r="C90" s="3" t="s">
        <v>93</v>
      </c>
    </row>
    <row r="91" spans="2:3" ht="14" customHeight="1" x14ac:dyDescent="0.2">
      <c r="B91" s="1" t="s">
        <v>94</v>
      </c>
      <c r="C91" s="3" t="s">
        <v>95</v>
      </c>
    </row>
    <row r="92" spans="2:3" ht="14" customHeight="1" x14ac:dyDescent="0.2">
      <c r="B92" s="1" t="s">
        <v>96</v>
      </c>
      <c r="C92" s="3" t="s">
        <v>97</v>
      </c>
    </row>
    <row r="93" spans="2:3" ht="14" customHeight="1" x14ac:dyDescent="0.2">
      <c r="B93" s="1" t="s">
        <v>98</v>
      </c>
      <c r="C93" s="3" t="s">
        <v>99</v>
      </c>
    </row>
    <row r="94" spans="2:3" x14ac:dyDescent="0.2">
      <c r="B94" s="49"/>
      <c r="C94" s="50"/>
    </row>
    <row r="95" spans="2:3" x14ac:dyDescent="0.2">
      <c r="B95" s="49" t="s">
        <v>100</v>
      </c>
      <c r="C95" s="50"/>
    </row>
    <row r="96" spans="2:3" x14ac:dyDescent="0.2">
      <c r="B96" s="52" t="s">
        <v>101</v>
      </c>
      <c r="C96" s="50"/>
    </row>
    <row r="98" spans="2:3" ht="22" customHeight="1" x14ac:dyDescent="0.2">
      <c r="B98" s="51" t="s">
        <v>102</v>
      </c>
      <c r="C98" s="50"/>
    </row>
    <row r="99" spans="2:3" x14ac:dyDescent="0.2">
      <c r="B99" s="55" t="s">
        <v>103</v>
      </c>
      <c r="C99" s="50"/>
    </row>
    <row r="100" spans="2:3" x14ac:dyDescent="0.2">
      <c r="B100" s="49"/>
      <c r="C100" s="50"/>
    </row>
    <row r="101" spans="2:3" x14ac:dyDescent="0.2">
      <c r="B101" s="49" t="s">
        <v>104</v>
      </c>
      <c r="C101" s="50"/>
    </row>
    <row r="102" spans="2:3" x14ac:dyDescent="0.2">
      <c r="B102" s="49"/>
      <c r="C102" s="50"/>
    </row>
    <row r="103" spans="2:3" x14ac:dyDescent="0.2">
      <c r="B103" s="49" t="s">
        <v>105</v>
      </c>
      <c r="C103" s="50"/>
    </row>
    <row r="104" spans="2:3" x14ac:dyDescent="0.2">
      <c r="B104" s="49"/>
      <c r="C104" s="50"/>
    </row>
    <row r="105" spans="2:3" x14ac:dyDescent="0.2">
      <c r="B105" s="49" t="s">
        <v>106</v>
      </c>
      <c r="C105" s="50"/>
    </row>
    <row r="106" spans="2:3" x14ac:dyDescent="0.2">
      <c r="B106" s="49"/>
      <c r="C106" s="50"/>
    </row>
    <row r="107" spans="2:3" x14ac:dyDescent="0.2">
      <c r="B107" s="52" t="s">
        <v>107</v>
      </c>
      <c r="C107" s="50"/>
    </row>
    <row r="109" spans="2:3" ht="22" customHeight="1" x14ac:dyDescent="0.2">
      <c r="B109" s="51" t="s">
        <v>108</v>
      </c>
      <c r="C109" s="50"/>
    </row>
    <row r="110" spans="2:3" x14ac:dyDescent="0.2">
      <c r="B110" s="55" t="s">
        <v>109</v>
      </c>
      <c r="C110" s="50"/>
    </row>
    <row r="111" spans="2:3" x14ac:dyDescent="0.2">
      <c r="B111" s="49"/>
      <c r="C111" s="50"/>
    </row>
    <row r="112" spans="2:3" x14ac:dyDescent="0.2">
      <c r="B112" s="49" t="s">
        <v>110</v>
      </c>
      <c r="C112" s="50"/>
    </row>
    <row r="113" spans="2:3" x14ac:dyDescent="0.2">
      <c r="B113" s="49" t="s">
        <v>111</v>
      </c>
      <c r="C113" s="50"/>
    </row>
    <row r="114" spans="2:3" x14ac:dyDescent="0.2">
      <c r="B114" s="49" t="s">
        <v>112</v>
      </c>
      <c r="C114" s="50"/>
    </row>
    <row r="115" spans="2:3" x14ac:dyDescent="0.2">
      <c r="B115" s="49"/>
      <c r="C115" s="50"/>
    </row>
    <row r="116" spans="2:3" x14ac:dyDescent="0.2">
      <c r="B116" s="49" t="s">
        <v>113</v>
      </c>
      <c r="C116" s="50"/>
    </row>
    <row r="117" spans="2:3" x14ac:dyDescent="0.2">
      <c r="B117" s="49" t="s">
        <v>114</v>
      </c>
      <c r="C117" s="50"/>
    </row>
    <row r="118" spans="2:3" x14ac:dyDescent="0.2">
      <c r="B118" s="49"/>
      <c r="C118" s="50"/>
    </row>
    <row r="119" spans="2:3" ht="26" customHeight="1" x14ac:dyDescent="0.2">
      <c r="B119" s="1" t="s">
        <v>115</v>
      </c>
      <c r="C119" s="3" t="s">
        <v>116</v>
      </c>
    </row>
    <row r="120" spans="2:3" ht="26" customHeight="1" x14ac:dyDescent="0.2">
      <c r="B120" s="1" t="s">
        <v>117</v>
      </c>
      <c r="C120" s="3" t="s">
        <v>118</v>
      </c>
    </row>
    <row r="121" spans="2:3" ht="26" customHeight="1" x14ac:dyDescent="0.2">
      <c r="B121" s="1" t="s">
        <v>119</v>
      </c>
      <c r="C121" s="3" t="s">
        <v>120</v>
      </c>
    </row>
    <row r="122" spans="2:3" x14ac:dyDescent="0.2">
      <c r="B122" s="49"/>
      <c r="C122" s="50"/>
    </row>
    <row r="123" spans="2:3" x14ac:dyDescent="0.2">
      <c r="B123" s="55" t="s">
        <v>121</v>
      </c>
      <c r="C123" s="50"/>
    </row>
    <row r="124" spans="2:3" x14ac:dyDescent="0.2">
      <c r="B124" s="49"/>
      <c r="C124" s="50"/>
    </row>
    <row r="125" spans="2:3" ht="14" customHeight="1" x14ac:dyDescent="0.2">
      <c r="B125" s="1" t="s">
        <v>122</v>
      </c>
      <c r="C125" s="3" t="s">
        <v>123</v>
      </c>
    </row>
    <row r="126" spans="2:3" ht="26" customHeight="1" x14ac:dyDescent="0.2">
      <c r="B126" s="1" t="s">
        <v>124</v>
      </c>
      <c r="C126" s="3" t="s">
        <v>125</v>
      </c>
    </row>
    <row r="127" spans="2:3" ht="14" customHeight="1" x14ac:dyDescent="0.2">
      <c r="B127" s="1" t="s">
        <v>126</v>
      </c>
      <c r="C127" s="3" t="s">
        <v>127</v>
      </c>
    </row>
    <row r="128" spans="2:3" x14ac:dyDescent="0.2">
      <c r="B128" s="49"/>
      <c r="C128" s="50"/>
    </row>
    <row r="129" spans="2:3" x14ac:dyDescent="0.2">
      <c r="B129" s="52" t="s">
        <v>128</v>
      </c>
      <c r="C129" s="50"/>
    </row>
    <row r="131" spans="2:3" ht="22" customHeight="1" x14ac:dyDescent="0.2">
      <c r="B131" s="51" t="s">
        <v>129</v>
      </c>
      <c r="C131" s="50"/>
    </row>
    <row r="132" spans="2:3" x14ac:dyDescent="0.2">
      <c r="B132" s="55" t="s">
        <v>130</v>
      </c>
      <c r="C132" s="50"/>
    </row>
    <row r="133" spans="2:3" x14ac:dyDescent="0.2">
      <c r="B133" s="49"/>
      <c r="C133" s="50"/>
    </row>
    <row r="134" spans="2:3" x14ac:dyDescent="0.2">
      <c r="B134" s="49" t="s">
        <v>131</v>
      </c>
      <c r="C134" s="50"/>
    </row>
    <row r="135" spans="2:3" x14ac:dyDescent="0.2">
      <c r="B135" s="49" t="s">
        <v>132</v>
      </c>
      <c r="C135" s="50"/>
    </row>
    <row r="136" spans="2:3" x14ac:dyDescent="0.2">
      <c r="B136" s="49"/>
      <c r="C136" s="50"/>
    </row>
    <row r="137" spans="2:3" x14ac:dyDescent="0.2">
      <c r="B137" s="49" t="s">
        <v>133</v>
      </c>
      <c r="C137" s="50"/>
    </row>
    <row r="138" spans="2:3" x14ac:dyDescent="0.2">
      <c r="B138" s="49"/>
      <c r="C138" s="50"/>
    </row>
    <row r="139" spans="2:3" x14ac:dyDescent="0.2">
      <c r="B139" s="1" t="s">
        <v>134</v>
      </c>
      <c r="C139" s="3" t="s">
        <v>135</v>
      </c>
    </row>
    <row r="140" spans="2:3" x14ac:dyDescent="0.2">
      <c r="B140" s="1" t="s">
        <v>136</v>
      </c>
      <c r="C140" s="3" t="s">
        <v>137</v>
      </c>
    </row>
    <row r="141" spans="2:3" ht="26" customHeight="1" x14ac:dyDescent="0.2">
      <c r="B141" s="6" t="s">
        <v>138</v>
      </c>
      <c r="C141" s="3" t="s">
        <v>139</v>
      </c>
    </row>
    <row r="142" spans="2:3" x14ac:dyDescent="0.2">
      <c r="B142" s="49"/>
      <c r="C142" s="50"/>
    </row>
    <row r="143" spans="2:3" x14ac:dyDescent="0.2">
      <c r="B143" s="49" t="s">
        <v>140</v>
      </c>
      <c r="C143" s="50"/>
    </row>
    <row r="144" spans="2:3" x14ac:dyDescent="0.2">
      <c r="B144" s="49" t="s">
        <v>141</v>
      </c>
      <c r="C144" s="50"/>
    </row>
    <row r="145" spans="2:3" x14ac:dyDescent="0.2">
      <c r="B145" s="52" t="s">
        <v>142</v>
      </c>
      <c r="C145" s="50"/>
    </row>
    <row r="147" spans="2:3" ht="22" customHeight="1" x14ac:dyDescent="0.2">
      <c r="B147" s="51" t="s">
        <v>143</v>
      </c>
      <c r="C147" s="50"/>
    </row>
    <row r="148" spans="2:3" x14ac:dyDescent="0.2">
      <c r="B148" s="7" t="s">
        <v>144</v>
      </c>
      <c r="C148" s="3" t="s">
        <v>145</v>
      </c>
    </row>
    <row r="149" spans="2:3" x14ac:dyDescent="0.2">
      <c r="B149" s="8" t="s">
        <v>146</v>
      </c>
      <c r="C149" s="3" t="s">
        <v>147</v>
      </c>
    </row>
    <row r="150" spans="2:3" x14ac:dyDescent="0.2">
      <c r="B150" s="9" t="s">
        <v>148</v>
      </c>
      <c r="C150" s="3" t="s">
        <v>149</v>
      </c>
    </row>
    <row r="151" spans="2:3" x14ac:dyDescent="0.2">
      <c r="B151" s="10" t="s">
        <v>150</v>
      </c>
      <c r="C151" s="3" t="s">
        <v>151</v>
      </c>
    </row>
    <row r="152" spans="2:3" x14ac:dyDescent="0.2">
      <c r="B152" s="11" t="s">
        <v>152</v>
      </c>
      <c r="C152" s="3" t="s">
        <v>153</v>
      </c>
    </row>
    <row r="154" spans="2:3" ht="22" customHeight="1" x14ac:dyDescent="0.2">
      <c r="B154" s="51" t="s">
        <v>154</v>
      </c>
      <c r="C154" s="50"/>
    </row>
    <row r="155" spans="2:3" x14ac:dyDescent="0.2">
      <c r="B155" s="49" t="s">
        <v>155</v>
      </c>
      <c r="C155" s="50"/>
    </row>
    <row r="156" spans="2:3" x14ac:dyDescent="0.2">
      <c r="B156" s="49"/>
      <c r="C156" s="50"/>
    </row>
    <row r="157" spans="2:3" ht="26" customHeight="1" x14ac:dyDescent="0.2">
      <c r="B157" s="6" t="s">
        <v>156</v>
      </c>
      <c r="C157" s="3" t="s">
        <v>157</v>
      </c>
    </row>
    <row r="158" spans="2:3" ht="14" customHeight="1" x14ac:dyDescent="0.2">
      <c r="B158" s="6" t="s">
        <v>158</v>
      </c>
      <c r="C158" s="3" t="s">
        <v>159</v>
      </c>
    </row>
    <row r="159" spans="2:3" ht="26" customHeight="1" x14ac:dyDescent="0.2">
      <c r="B159" s="6" t="s">
        <v>160</v>
      </c>
      <c r="C159" s="3" t="s">
        <v>161</v>
      </c>
    </row>
    <row r="161" spans="2:3" ht="22" customHeight="1" x14ac:dyDescent="0.2">
      <c r="B161" s="51" t="s">
        <v>162</v>
      </c>
      <c r="C161" s="50"/>
    </row>
    <row r="162" spans="2:3" x14ac:dyDescent="0.2">
      <c r="B162" s="49" t="s">
        <v>163</v>
      </c>
      <c r="C162" s="50"/>
    </row>
    <row r="163" spans="2:3" x14ac:dyDescent="0.2">
      <c r="B163" s="49" t="s">
        <v>164</v>
      </c>
      <c r="C163" s="50"/>
    </row>
    <row r="164" spans="2:3" x14ac:dyDescent="0.2">
      <c r="B164" s="49" t="s">
        <v>165</v>
      </c>
      <c r="C164" s="50"/>
    </row>
    <row r="165" spans="2:3" x14ac:dyDescent="0.2">
      <c r="B165" s="49" t="s">
        <v>166</v>
      </c>
      <c r="C165" s="50"/>
    </row>
    <row r="166" spans="2:3" x14ac:dyDescent="0.2">
      <c r="B166" s="49" t="s">
        <v>167</v>
      </c>
      <c r="C166" s="50"/>
    </row>
    <row r="167" spans="2:3" x14ac:dyDescent="0.2">
      <c r="B167" s="49" t="s">
        <v>168</v>
      </c>
      <c r="C167" s="50"/>
    </row>
    <row r="168" spans="2:3" x14ac:dyDescent="0.2">
      <c r="B168" s="49" t="s">
        <v>169</v>
      </c>
      <c r="C168" s="50"/>
    </row>
    <row r="169" spans="2:3" x14ac:dyDescent="0.2">
      <c r="B169" s="49" t="s">
        <v>170</v>
      </c>
      <c r="C169" s="50"/>
    </row>
    <row r="170" spans="2:3" x14ac:dyDescent="0.2">
      <c r="B170" s="49"/>
      <c r="C170" s="50"/>
    </row>
    <row r="171" spans="2:3" x14ac:dyDescent="0.2">
      <c r="B171" s="52" t="s">
        <v>171</v>
      </c>
      <c r="C171" s="50"/>
    </row>
    <row r="173" spans="2:3" ht="22" customHeight="1" x14ac:dyDescent="0.2">
      <c r="B173" s="51" t="s">
        <v>172</v>
      </c>
      <c r="C173" s="50"/>
    </row>
    <row r="174" spans="2:3" x14ac:dyDescent="0.2">
      <c r="B174" s="55" t="s">
        <v>173</v>
      </c>
      <c r="C174" s="50"/>
    </row>
    <row r="175" spans="2:3" x14ac:dyDescent="0.2">
      <c r="B175" s="49"/>
      <c r="C175" s="50"/>
    </row>
    <row r="176" spans="2:3" x14ac:dyDescent="0.2">
      <c r="B176" s="49" t="s">
        <v>174</v>
      </c>
      <c r="C176" s="50"/>
    </row>
    <row r="177" spans="2:3" x14ac:dyDescent="0.2">
      <c r="B177" s="49" t="s">
        <v>175</v>
      </c>
      <c r="C177" s="50"/>
    </row>
    <row r="178" spans="2:3" x14ac:dyDescent="0.2">
      <c r="B178" s="49" t="s">
        <v>176</v>
      </c>
      <c r="C178" s="50"/>
    </row>
    <row r="179" spans="2:3" x14ac:dyDescent="0.2">
      <c r="B179" s="49" t="s">
        <v>177</v>
      </c>
      <c r="C179" s="50"/>
    </row>
    <row r="180" spans="2:3" x14ac:dyDescent="0.2">
      <c r="B180" s="49" t="s">
        <v>178</v>
      </c>
      <c r="C180" s="50"/>
    </row>
    <row r="181" spans="2:3" x14ac:dyDescent="0.2">
      <c r="B181" s="49" t="s">
        <v>179</v>
      </c>
      <c r="C181" s="50"/>
    </row>
    <row r="183" spans="2:3" ht="22" customHeight="1" x14ac:dyDescent="0.2">
      <c r="B183" s="51" t="s">
        <v>180</v>
      </c>
      <c r="C183" s="50"/>
    </row>
    <row r="184" spans="2:3" x14ac:dyDescent="0.2">
      <c r="B184" s="53" t="s">
        <v>181</v>
      </c>
      <c r="C184" s="50"/>
    </row>
    <row r="185" spans="2:3" x14ac:dyDescent="0.2">
      <c r="B185" s="49" t="s">
        <v>182</v>
      </c>
      <c r="C185" s="50"/>
    </row>
    <row r="186" spans="2:3" x14ac:dyDescent="0.2">
      <c r="B186" s="49" t="s">
        <v>183</v>
      </c>
      <c r="C186" s="50"/>
    </row>
  </sheetData>
  <mergeCells count="115">
    <mergeCell ref="B100:C100"/>
    <mergeCell ref="B165:C165"/>
    <mergeCell ref="B115:C115"/>
    <mergeCell ref="B155:C155"/>
    <mergeCell ref="B102:C102"/>
    <mergeCell ref="B12:C12"/>
    <mergeCell ref="B77:C77"/>
    <mergeCell ref="B86:C86"/>
    <mergeCell ref="B67:C67"/>
    <mergeCell ref="B61:C61"/>
    <mergeCell ref="B101:C101"/>
    <mergeCell ref="B13:C13"/>
    <mergeCell ref="B78:C78"/>
    <mergeCell ref="B112:C112"/>
    <mergeCell ref="B16:C16"/>
    <mergeCell ref="B50:C50"/>
    <mergeCell ref="B163:C163"/>
    <mergeCell ref="B110:C110"/>
    <mergeCell ref="B113:C113"/>
    <mergeCell ref="B178:C178"/>
    <mergeCell ref="B49:C49"/>
    <mergeCell ref="B55:C55"/>
    <mergeCell ref="B183:C183"/>
    <mergeCell ref="B177:C177"/>
    <mergeCell ref="B33:C33"/>
    <mergeCell ref="B104:C104"/>
    <mergeCell ref="B51:C51"/>
    <mergeCell ref="B164:C164"/>
    <mergeCell ref="B154:C154"/>
    <mergeCell ref="B35:C35"/>
    <mergeCell ref="B106:C106"/>
    <mergeCell ref="B129:C129"/>
    <mergeCell ref="B138:C138"/>
    <mergeCell ref="B173:C173"/>
    <mergeCell ref="B167:C167"/>
    <mergeCell ref="B161:C161"/>
    <mergeCell ref="B145:C145"/>
    <mergeCell ref="B181:C181"/>
    <mergeCell ref="B175:C175"/>
    <mergeCell ref="B147:C147"/>
    <mergeCell ref="B74:C74"/>
    <mergeCell ref="B114:C114"/>
    <mergeCell ref="B123:C123"/>
    <mergeCell ref="B3:C3"/>
    <mergeCell ref="B156:C156"/>
    <mergeCell ref="B66:C66"/>
    <mergeCell ref="B131:C131"/>
    <mergeCell ref="B18:C18"/>
    <mergeCell ref="B180:C180"/>
    <mergeCell ref="B2:C2"/>
    <mergeCell ref="B117:C117"/>
    <mergeCell ref="B179:C179"/>
    <mergeCell ref="B132:C132"/>
    <mergeCell ref="B53:C53"/>
    <mergeCell ref="B166:C166"/>
    <mergeCell ref="B116:C116"/>
    <mergeCell ref="B103:C103"/>
    <mergeCell ref="B174:C174"/>
    <mergeCell ref="B107:C107"/>
    <mergeCell ref="B60:C60"/>
    <mergeCell ref="B57:C57"/>
    <mergeCell ref="B170:C170"/>
    <mergeCell ref="B162:C162"/>
    <mergeCell ref="B171:C171"/>
    <mergeCell ref="B19:C19"/>
    <mergeCell ref="B34:C34"/>
    <mergeCell ref="B99:C99"/>
    <mergeCell ref="B186:C186"/>
    <mergeCell ref="B168:C168"/>
    <mergeCell ref="B118:C118"/>
    <mergeCell ref="B6:C6"/>
    <mergeCell ref="B15:C15"/>
    <mergeCell ref="B142:C142"/>
    <mergeCell ref="B95:C95"/>
    <mergeCell ref="B169:C169"/>
    <mergeCell ref="B79:C79"/>
    <mergeCell ref="B144:C144"/>
    <mergeCell ref="B54:C54"/>
    <mergeCell ref="B7:C7"/>
    <mergeCell ref="B72:C72"/>
    <mergeCell ref="B185:C185"/>
    <mergeCell ref="B134:C134"/>
    <mergeCell ref="B122:C122"/>
    <mergeCell ref="B56:C56"/>
    <mergeCell ref="B71:C71"/>
    <mergeCell ref="B96:C96"/>
    <mergeCell ref="B184:C184"/>
    <mergeCell ref="B105:C105"/>
    <mergeCell ref="B176:C176"/>
    <mergeCell ref="B52:C52"/>
    <mergeCell ref="B98:C98"/>
    <mergeCell ref="B9:C9"/>
    <mergeCell ref="B143:C143"/>
    <mergeCell ref="B124:C124"/>
    <mergeCell ref="B5:C5"/>
    <mergeCell ref="B20:C20"/>
    <mergeCell ref="B76:C76"/>
    <mergeCell ref="B133:C133"/>
    <mergeCell ref="B45:C45"/>
    <mergeCell ref="B94:C94"/>
    <mergeCell ref="B75:C75"/>
    <mergeCell ref="B135:C135"/>
    <mergeCell ref="B109:C109"/>
    <mergeCell ref="B62:C62"/>
    <mergeCell ref="B59:C59"/>
    <mergeCell ref="B46:C46"/>
    <mergeCell ref="B70:C70"/>
    <mergeCell ref="B48:C48"/>
    <mergeCell ref="B136:C136"/>
    <mergeCell ref="B111:C111"/>
    <mergeCell ref="B8:C8"/>
    <mergeCell ref="B73:C73"/>
    <mergeCell ref="B128:C128"/>
    <mergeCell ref="B10:C10"/>
    <mergeCell ref="B137:C1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4" customWidth="1"/>
    <col min="3" max="3" width="20" customWidth="1"/>
    <col min="4" max="4" width="22" customWidth="1"/>
    <col min="5" max="5" width="16" customWidth="1"/>
    <col min="6" max="6" width="26" customWidth="1"/>
    <col min="7" max="7" width="12" customWidth="1"/>
    <col min="8" max="8" width="22" customWidth="1"/>
  </cols>
  <sheetData>
    <row r="1" spans="1:8" x14ac:dyDescent="0.2">
      <c r="A1" s="12" t="s">
        <v>184</v>
      </c>
      <c r="B1" s="12" t="s">
        <v>185</v>
      </c>
      <c r="C1" s="12" t="s">
        <v>186</v>
      </c>
      <c r="D1" s="12" t="s">
        <v>187</v>
      </c>
      <c r="E1" s="12" t="s">
        <v>188</v>
      </c>
      <c r="F1" s="12" t="s">
        <v>189</v>
      </c>
      <c r="G1" s="12" t="s">
        <v>190</v>
      </c>
      <c r="H1" s="12" t="s">
        <v>191</v>
      </c>
    </row>
    <row r="2" spans="1:8" x14ac:dyDescent="0.2">
      <c r="A2" s="13" t="s">
        <v>192</v>
      </c>
      <c r="B2" s="13" t="s">
        <v>193</v>
      </c>
      <c r="C2" s="13" t="s">
        <v>194</v>
      </c>
      <c r="D2" s="13"/>
      <c r="E2" s="13" t="s">
        <v>195</v>
      </c>
      <c r="F2" s="13" t="s">
        <v>196</v>
      </c>
      <c r="G2" s="13" t="s">
        <v>197</v>
      </c>
      <c r="H2" s="14" t="str">
        <f>IF(OR($G2&lt;&gt;"liaison",$D2=""),"",$D2&amp;"#"&amp;COUNTIFS($D$2:$D2,$D2,$G$2:$G2,"liaison"))</f>
        <v/>
      </c>
    </row>
    <row r="3" spans="1:8" x14ac:dyDescent="0.2">
      <c r="A3" s="13" t="s">
        <v>198</v>
      </c>
      <c r="B3" s="13" t="s">
        <v>199</v>
      </c>
      <c r="C3" s="13" t="s">
        <v>200</v>
      </c>
      <c r="D3" s="13" t="s">
        <v>201</v>
      </c>
      <c r="E3" s="13" t="s">
        <v>202</v>
      </c>
      <c r="F3" s="13" t="s">
        <v>203</v>
      </c>
      <c r="G3" s="13" t="s">
        <v>204</v>
      </c>
      <c r="H3" s="14" t="str">
        <f>IF(OR($G3&lt;&gt;"liaison",$D3=""),"",$D3&amp;"#"&amp;COUNTIFS($D$2:$D3,$D3,$G$2:$G3,"liaison"))</f>
        <v>UNC Taar Heel Raas#1</v>
      </c>
    </row>
    <row r="4" spans="1:8" x14ac:dyDescent="0.2">
      <c r="A4" s="13" t="s">
        <v>205</v>
      </c>
      <c r="B4" s="13" t="s">
        <v>206</v>
      </c>
      <c r="C4" s="13" t="s">
        <v>200</v>
      </c>
      <c r="D4" s="13" t="s">
        <v>201</v>
      </c>
      <c r="E4" s="13" t="s">
        <v>207</v>
      </c>
      <c r="F4" s="13" t="s">
        <v>208</v>
      </c>
      <c r="G4" s="13" t="s">
        <v>204</v>
      </c>
      <c r="H4" s="14" t="str">
        <f>IF(OR($G4&lt;&gt;"liaison",$D4=""),"",$D4&amp;"#"&amp;COUNTIFS($D$2:$D4,$D4,$G$2:$G4,"liaison"))</f>
        <v>UNC Taar Heel Raas#2</v>
      </c>
    </row>
    <row r="5" spans="1:8" x14ac:dyDescent="0.2">
      <c r="A5" s="13" t="s">
        <v>209</v>
      </c>
      <c r="B5" s="13" t="s">
        <v>210</v>
      </c>
      <c r="C5" s="13" t="s">
        <v>200</v>
      </c>
      <c r="D5" s="13" t="s">
        <v>201</v>
      </c>
      <c r="E5" s="13" t="s">
        <v>211</v>
      </c>
      <c r="F5" s="13" t="s">
        <v>212</v>
      </c>
      <c r="G5" s="13" t="s">
        <v>204</v>
      </c>
      <c r="H5" s="14" t="str">
        <f>IF(OR($G5&lt;&gt;"liaison",$D5=""),"",$D5&amp;"#"&amp;COUNTIFS($D$2:$D5,$D5,$G$2:$G5,"liaison"))</f>
        <v>UNC Taar Heel Raas#3</v>
      </c>
    </row>
    <row r="6" spans="1:8" x14ac:dyDescent="0.2">
      <c r="A6" s="13" t="s">
        <v>213</v>
      </c>
      <c r="B6" s="13" t="s">
        <v>214</v>
      </c>
      <c r="C6" s="13" t="s">
        <v>215</v>
      </c>
      <c r="D6" s="13"/>
      <c r="E6" s="13" t="s">
        <v>216</v>
      </c>
      <c r="F6" s="13" t="s">
        <v>217</v>
      </c>
      <c r="G6" s="13" t="s">
        <v>218</v>
      </c>
      <c r="H6" s="14" t="str">
        <f>IF(OR($G6&lt;&gt;"liaison",$D6=""),"",$D6&amp;"#"&amp;COUNTIFS($D$2:$D6,$D6,$G$2:$G6,"liaison"))</f>
        <v/>
      </c>
    </row>
    <row r="7" spans="1:8" x14ac:dyDescent="0.2">
      <c r="A7" s="13" t="s">
        <v>219</v>
      </c>
      <c r="B7" s="13" t="s">
        <v>220</v>
      </c>
      <c r="C7" s="13" t="s">
        <v>221</v>
      </c>
      <c r="D7" s="13"/>
      <c r="E7" s="13" t="s">
        <v>222</v>
      </c>
      <c r="F7" s="13" t="s">
        <v>223</v>
      </c>
      <c r="G7" s="13" t="s">
        <v>224</v>
      </c>
      <c r="H7" s="14" t="str">
        <f>IF(OR($G7&lt;&gt;"liaison",$D7=""),"",$D7&amp;"#"&amp;COUNTIFS($D$2:$D7,$D7,$G$2:$G7,"liaison"))</f>
        <v/>
      </c>
    </row>
    <row r="8" spans="1:8" x14ac:dyDescent="0.2">
      <c r="A8" s="15"/>
      <c r="B8" s="16"/>
      <c r="C8" s="16"/>
      <c r="D8" s="16"/>
      <c r="E8" s="16"/>
      <c r="F8" s="16"/>
      <c r="G8" s="16"/>
      <c r="H8" s="14" t="str">
        <f>IF(OR($G8&lt;&gt;"liaison",$D8=""),"",$D8&amp;"#"&amp;COUNTIFS($D$2:$D8,$D8,$G$2:$G8,"liaison"))</f>
        <v/>
      </c>
    </row>
    <row r="9" spans="1:8" x14ac:dyDescent="0.2">
      <c r="A9" s="16"/>
      <c r="B9" s="16"/>
      <c r="C9" s="16"/>
      <c r="D9" s="16"/>
      <c r="E9" s="16"/>
      <c r="F9" s="16"/>
      <c r="G9" s="16"/>
      <c r="H9" s="14" t="str">
        <f>IF(OR($G9&lt;&gt;"liaison",$D9=""),"",$D9&amp;"#"&amp;COUNTIFS($D$2:$D9,$D9,$G$2:$G9,"liaison"))</f>
        <v/>
      </c>
    </row>
    <row r="10" spans="1:8" x14ac:dyDescent="0.2">
      <c r="A10" s="16"/>
      <c r="B10" s="16"/>
      <c r="C10" s="16"/>
      <c r="D10" s="16"/>
      <c r="E10" s="16"/>
      <c r="F10" s="16"/>
      <c r="G10" s="16"/>
      <c r="H10" s="14" t="str">
        <f>IF(OR($G10&lt;&gt;"liaison",$D10=""),"",$D10&amp;"#"&amp;COUNTIFS($D$2:$D10,$D10,$G$2:$G10,"liaison"))</f>
        <v/>
      </c>
    </row>
    <row r="11" spans="1:8" x14ac:dyDescent="0.2">
      <c r="A11" s="16"/>
      <c r="B11" s="16"/>
      <c r="C11" s="16"/>
      <c r="D11" s="16"/>
      <c r="E11" s="16"/>
      <c r="F11" s="16"/>
      <c r="G11" s="16"/>
      <c r="H11" s="14" t="str">
        <f>IF(OR($G11&lt;&gt;"liaison",$D11=""),"",$D11&amp;"#"&amp;COUNTIFS($D$2:$D11,$D11,$G$2:$G11,"liaison"))</f>
        <v/>
      </c>
    </row>
    <row r="12" spans="1:8" x14ac:dyDescent="0.2">
      <c r="A12" s="16"/>
      <c r="B12" s="16"/>
      <c r="C12" s="16"/>
      <c r="D12" s="16"/>
      <c r="E12" s="16"/>
      <c r="F12" s="16"/>
      <c r="G12" s="16"/>
      <c r="H12" s="14" t="str">
        <f>IF(OR($G12&lt;&gt;"liaison",$D12=""),"",$D12&amp;"#"&amp;COUNTIFS($D$2:$D12,$D12,$G$2:$G12,"liaison"))</f>
        <v/>
      </c>
    </row>
    <row r="13" spans="1:8" x14ac:dyDescent="0.2">
      <c r="A13" s="16"/>
      <c r="B13" s="16"/>
      <c r="C13" s="16"/>
      <c r="D13" s="16"/>
      <c r="E13" s="16"/>
      <c r="F13" s="16"/>
      <c r="G13" s="16"/>
      <c r="H13" s="14" t="str">
        <f>IF(OR($G13&lt;&gt;"liaison",$D13=""),"",$D13&amp;"#"&amp;COUNTIFS($D$2:$D13,$D13,$G$2:$G13,"liaison"))</f>
        <v/>
      </c>
    </row>
    <row r="14" spans="1:8" x14ac:dyDescent="0.2">
      <c r="A14" s="16"/>
      <c r="B14" s="16"/>
      <c r="C14" s="16"/>
      <c r="D14" s="16"/>
      <c r="E14" s="16"/>
      <c r="F14" s="16"/>
      <c r="G14" s="16"/>
      <c r="H14" s="14" t="str">
        <f>IF(OR($G14&lt;&gt;"liaison",$D14=""),"",$D14&amp;"#"&amp;COUNTIFS($D$2:$D14,$D14,$G$2:$G14,"liaison"))</f>
        <v/>
      </c>
    </row>
    <row r="15" spans="1:8" x14ac:dyDescent="0.2">
      <c r="A15" s="16"/>
      <c r="B15" s="16"/>
      <c r="C15" s="16"/>
      <c r="D15" s="16"/>
      <c r="E15" s="16"/>
      <c r="F15" s="16"/>
      <c r="G15" s="16"/>
      <c r="H15" s="14" t="str">
        <f>IF(OR($G15&lt;&gt;"liaison",$D15=""),"",$D15&amp;"#"&amp;COUNTIFS($D$2:$D15,$D15,$G$2:$G15,"liaison"))</f>
        <v/>
      </c>
    </row>
    <row r="16" spans="1:8" x14ac:dyDescent="0.2">
      <c r="A16" s="16"/>
      <c r="B16" s="16"/>
      <c r="C16" s="16"/>
      <c r="D16" s="16"/>
      <c r="E16" s="16"/>
      <c r="F16" s="16"/>
      <c r="G16" s="16"/>
      <c r="H16" s="14" t="str">
        <f>IF(OR($G16&lt;&gt;"liaison",$D16=""),"",$D16&amp;"#"&amp;COUNTIFS($D$2:$D16,$D16,$G$2:$G16,"liaison"))</f>
        <v/>
      </c>
    </row>
    <row r="17" spans="1:8" x14ac:dyDescent="0.2">
      <c r="A17" s="16"/>
      <c r="B17" s="16"/>
      <c r="C17" s="16"/>
      <c r="D17" s="16"/>
      <c r="E17" s="16"/>
      <c r="F17" s="16"/>
      <c r="G17" s="16"/>
      <c r="H17" s="14" t="str">
        <f>IF(OR($G17&lt;&gt;"liaison",$D17=""),"",$D17&amp;"#"&amp;COUNTIFS($D$2:$D17,$D17,$G$2:$G17,"liaison"))</f>
        <v/>
      </c>
    </row>
    <row r="18" spans="1:8" x14ac:dyDescent="0.2">
      <c r="A18" s="16"/>
      <c r="B18" s="16"/>
      <c r="C18" s="16"/>
      <c r="D18" s="16"/>
      <c r="E18" s="16"/>
      <c r="F18" s="16"/>
      <c r="G18" s="16"/>
      <c r="H18" s="14" t="str">
        <f>IF(OR($G18&lt;&gt;"liaison",$D18=""),"",$D18&amp;"#"&amp;COUNTIFS($D$2:$D18,$D18,$G$2:$G18,"liaison"))</f>
        <v/>
      </c>
    </row>
    <row r="19" spans="1:8" x14ac:dyDescent="0.2">
      <c r="A19" s="16"/>
      <c r="B19" s="16"/>
      <c r="C19" s="16"/>
      <c r="D19" s="16"/>
      <c r="E19" s="16"/>
      <c r="F19" s="16"/>
      <c r="G19" s="16"/>
      <c r="H19" s="14" t="str">
        <f>IF(OR($G19&lt;&gt;"liaison",$D19=""),"",$D19&amp;"#"&amp;COUNTIFS($D$2:$D19,$D19,$G$2:$G19,"liaison"))</f>
        <v/>
      </c>
    </row>
    <row r="20" spans="1:8" x14ac:dyDescent="0.2">
      <c r="A20" s="16"/>
      <c r="B20" s="16"/>
      <c r="C20" s="16"/>
      <c r="D20" s="16"/>
      <c r="E20" s="16"/>
      <c r="F20" s="16"/>
      <c r="G20" s="16"/>
      <c r="H20" s="14" t="str">
        <f>IF(OR($G20&lt;&gt;"liaison",$D20=""),"",$D20&amp;"#"&amp;COUNTIFS($D$2:$D20,$D20,$G$2:$G20,"liaison"))</f>
        <v/>
      </c>
    </row>
    <row r="21" spans="1:8" x14ac:dyDescent="0.2">
      <c r="A21" s="16"/>
      <c r="B21" s="16"/>
      <c r="C21" s="16"/>
      <c r="D21" s="16"/>
      <c r="E21" s="16"/>
      <c r="F21" s="16"/>
      <c r="G21" s="16"/>
      <c r="H21" s="14" t="str">
        <f>IF(OR($G21&lt;&gt;"liaison",$D21=""),"",$D21&amp;"#"&amp;COUNTIFS($D$2:$D21,$D21,$G$2:$G21,"liaison"))</f>
        <v/>
      </c>
    </row>
    <row r="22" spans="1:8" x14ac:dyDescent="0.2">
      <c r="A22" s="16"/>
      <c r="B22" s="16"/>
      <c r="C22" s="16"/>
      <c r="D22" s="16"/>
      <c r="E22" s="16"/>
      <c r="F22" s="16"/>
      <c r="G22" s="16"/>
      <c r="H22" s="14" t="str">
        <f>IF(OR($G22&lt;&gt;"liaison",$D22=""),"",$D22&amp;"#"&amp;COUNTIFS($D$2:$D22,$D22,$G$2:$G22,"liaison"))</f>
        <v/>
      </c>
    </row>
    <row r="23" spans="1:8" x14ac:dyDescent="0.2">
      <c r="A23" s="16"/>
      <c r="B23" s="16"/>
      <c r="C23" s="16"/>
      <c r="D23" s="16"/>
      <c r="E23" s="16"/>
      <c r="F23" s="16"/>
      <c r="G23" s="16"/>
      <c r="H23" s="14" t="str">
        <f>IF(OR($G23&lt;&gt;"liaison",$D23=""),"",$D23&amp;"#"&amp;COUNTIFS($D$2:$D23,$D23,$G$2:$G23,"liaison"))</f>
        <v/>
      </c>
    </row>
    <row r="24" spans="1:8" x14ac:dyDescent="0.2">
      <c r="A24" s="16"/>
      <c r="B24" s="16"/>
      <c r="C24" s="16"/>
      <c r="D24" s="16"/>
      <c r="E24" s="16"/>
      <c r="F24" s="16"/>
      <c r="G24" s="16"/>
      <c r="H24" s="14" t="str">
        <f>IF(OR($G24&lt;&gt;"liaison",$D24=""),"",$D24&amp;"#"&amp;COUNTIFS($D$2:$D24,$D24,$G$2:$G24,"liaison"))</f>
        <v/>
      </c>
    </row>
    <row r="25" spans="1:8" x14ac:dyDescent="0.2">
      <c r="A25" s="16"/>
      <c r="B25" s="16"/>
      <c r="C25" s="16"/>
      <c r="D25" s="16"/>
      <c r="E25" s="16"/>
      <c r="F25" s="16"/>
      <c r="G25" s="16"/>
      <c r="H25" s="14" t="str">
        <f>IF(OR($G25&lt;&gt;"liaison",$D25=""),"",$D25&amp;"#"&amp;COUNTIFS($D$2:$D25,$D25,$G$2:$G25,"liaison"))</f>
        <v/>
      </c>
    </row>
    <row r="26" spans="1:8" x14ac:dyDescent="0.2">
      <c r="A26" s="16"/>
      <c r="B26" s="16"/>
      <c r="C26" s="16"/>
      <c r="D26" s="16"/>
      <c r="E26" s="16"/>
      <c r="F26" s="16"/>
      <c r="G26" s="16"/>
      <c r="H26" s="14" t="str">
        <f>IF(OR($G26&lt;&gt;"liaison",$D26=""),"",$D26&amp;"#"&amp;COUNTIFS($D$2:$D26,$D26,$G$2:$G26,"liaison"))</f>
        <v/>
      </c>
    </row>
    <row r="27" spans="1:8" x14ac:dyDescent="0.2">
      <c r="A27" s="16"/>
      <c r="B27" s="16"/>
      <c r="C27" s="16"/>
      <c r="D27" s="16"/>
      <c r="E27" s="16"/>
      <c r="F27" s="16"/>
      <c r="G27" s="16"/>
      <c r="H27" s="14" t="str">
        <f>IF(OR($G27&lt;&gt;"liaison",$D27=""),"",$D27&amp;"#"&amp;COUNTIFS($D$2:$D27,$D27,$G$2:$G27,"liaison"))</f>
        <v/>
      </c>
    </row>
    <row r="28" spans="1:8" x14ac:dyDescent="0.2">
      <c r="A28" s="16"/>
      <c r="B28" s="16"/>
      <c r="C28" s="16"/>
      <c r="D28" s="16"/>
      <c r="E28" s="16"/>
      <c r="F28" s="16"/>
      <c r="G28" s="16"/>
      <c r="H28" s="14" t="str">
        <f>IF(OR($G28&lt;&gt;"liaison",$D28=""),"",$D28&amp;"#"&amp;COUNTIFS($D$2:$D28,$D28,$G$2:$G28,"liaison"))</f>
        <v/>
      </c>
    </row>
    <row r="29" spans="1:8" x14ac:dyDescent="0.2">
      <c r="A29" s="16"/>
      <c r="B29" s="16"/>
      <c r="C29" s="16"/>
      <c r="D29" s="16"/>
      <c r="E29" s="16"/>
      <c r="F29" s="16"/>
      <c r="G29" s="16"/>
      <c r="H29" s="14" t="str">
        <f>IF(OR($G29&lt;&gt;"liaison",$D29=""),"",$D29&amp;"#"&amp;COUNTIFS($D$2:$D29,$D29,$G$2:$G29,"liaison"))</f>
        <v/>
      </c>
    </row>
    <row r="30" spans="1:8" x14ac:dyDescent="0.2">
      <c r="A30" s="16"/>
      <c r="B30" s="16"/>
      <c r="C30" s="16"/>
      <c r="D30" s="16"/>
      <c r="E30" s="16"/>
      <c r="F30" s="16"/>
      <c r="G30" s="16"/>
      <c r="H30" s="14" t="str">
        <f>IF(OR($G30&lt;&gt;"liaison",$D30=""),"",$D30&amp;"#"&amp;COUNTIFS($D$2:$D30,$D30,$G$2:$G30,"liaison"))</f>
        <v/>
      </c>
    </row>
    <row r="31" spans="1:8" x14ac:dyDescent="0.2">
      <c r="A31" s="16"/>
      <c r="B31" s="16"/>
      <c r="C31" s="16"/>
      <c r="D31" s="16"/>
      <c r="E31" s="16"/>
      <c r="F31" s="16"/>
      <c r="G31" s="16"/>
      <c r="H31" s="14" t="str">
        <f>IF(OR($G31&lt;&gt;"liaison",$D31=""),"",$D31&amp;"#"&amp;COUNTIFS($D$2:$D31,$D31,$G$2:$G31,"liaison"))</f>
        <v/>
      </c>
    </row>
    <row r="32" spans="1:8" x14ac:dyDescent="0.2">
      <c r="A32" s="16"/>
      <c r="B32" s="16"/>
      <c r="C32" s="16"/>
      <c r="D32" s="16"/>
      <c r="E32" s="16"/>
      <c r="F32" s="16"/>
      <c r="G32" s="16"/>
      <c r="H32" s="14" t="str">
        <f>IF(OR($G32&lt;&gt;"liaison",$D32=""),"",$D32&amp;"#"&amp;COUNTIFS($D$2:$D32,$D32,$G$2:$G32,"liaison"))</f>
        <v/>
      </c>
    </row>
    <row r="33" spans="1:8" x14ac:dyDescent="0.2">
      <c r="A33" s="16"/>
      <c r="B33" s="16"/>
      <c r="C33" s="16"/>
      <c r="D33" s="16"/>
      <c r="E33" s="16"/>
      <c r="F33" s="16"/>
      <c r="G33" s="16"/>
      <c r="H33" s="14" t="str">
        <f>IF(OR($G33&lt;&gt;"liaison",$D33=""),"",$D33&amp;"#"&amp;COUNTIFS($D$2:$D33,$D33,$G$2:$G33,"liaison"))</f>
        <v/>
      </c>
    </row>
    <row r="34" spans="1:8" x14ac:dyDescent="0.2">
      <c r="A34" s="16"/>
      <c r="B34" s="16"/>
      <c r="C34" s="16"/>
      <c r="D34" s="16"/>
      <c r="E34" s="16"/>
      <c r="F34" s="16"/>
      <c r="G34" s="16"/>
      <c r="H34" s="14" t="str">
        <f>IF(OR($G34&lt;&gt;"liaison",$D34=""),"",$D34&amp;"#"&amp;COUNTIFS($D$2:$D34,$D34,$G$2:$G34,"liaison"))</f>
        <v/>
      </c>
    </row>
    <row r="35" spans="1:8" x14ac:dyDescent="0.2">
      <c r="A35" s="16"/>
      <c r="B35" s="16"/>
      <c r="C35" s="16"/>
      <c r="D35" s="16"/>
      <c r="E35" s="16"/>
      <c r="F35" s="16"/>
      <c r="G35" s="16"/>
      <c r="H35" s="14" t="str">
        <f>IF(OR($G35&lt;&gt;"liaison",$D35=""),"",$D35&amp;"#"&amp;COUNTIFS($D$2:$D35,$D35,$G$2:$G35,"liaison"))</f>
        <v/>
      </c>
    </row>
    <row r="36" spans="1:8" x14ac:dyDescent="0.2">
      <c r="A36" s="16"/>
      <c r="B36" s="16"/>
      <c r="C36" s="16"/>
      <c r="D36" s="16"/>
      <c r="E36" s="16"/>
      <c r="F36" s="16"/>
      <c r="G36" s="16"/>
      <c r="H36" s="14" t="str">
        <f>IF(OR($G36&lt;&gt;"liaison",$D36=""),"",$D36&amp;"#"&amp;COUNTIFS($D$2:$D36,$D36,$G$2:$G36,"liaison"))</f>
        <v/>
      </c>
    </row>
    <row r="37" spans="1:8" x14ac:dyDescent="0.2">
      <c r="A37" s="16"/>
      <c r="B37" s="16"/>
      <c r="C37" s="16"/>
      <c r="D37" s="16"/>
      <c r="E37" s="16"/>
      <c r="F37" s="16"/>
      <c r="G37" s="16"/>
      <c r="H37" s="14" t="str">
        <f>IF(OR($G37&lt;&gt;"liaison",$D37=""),"",$D37&amp;"#"&amp;COUNTIFS($D$2:$D37,$D37,$G$2:$G37,"liaison"))</f>
        <v/>
      </c>
    </row>
    <row r="38" spans="1:8" x14ac:dyDescent="0.2">
      <c r="A38" s="16"/>
      <c r="B38" s="16"/>
      <c r="C38" s="16"/>
      <c r="D38" s="16"/>
      <c r="E38" s="16"/>
      <c r="F38" s="16"/>
      <c r="G38" s="16"/>
      <c r="H38" s="14" t="str">
        <f>IF(OR($G38&lt;&gt;"liaison",$D38=""),"",$D38&amp;"#"&amp;COUNTIFS($D$2:$D38,$D38,$G$2:$G38,"liaison"))</f>
        <v/>
      </c>
    </row>
    <row r="39" spans="1:8" x14ac:dyDescent="0.2">
      <c r="A39" s="16"/>
      <c r="B39" s="16"/>
      <c r="C39" s="16"/>
      <c r="D39" s="16"/>
      <c r="E39" s="16"/>
      <c r="F39" s="16"/>
      <c r="G39" s="16"/>
      <c r="H39" s="14" t="str">
        <f>IF(OR($G39&lt;&gt;"liaison",$D39=""),"",$D39&amp;"#"&amp;COUNTIFS($D$2:$D39,$D39,$G$2:$G39,"liaison"))</f>
        <v/>
      </c>
    </row>
    <row r="40" spans="1:8" x14ac:dyDescent="0.2">
      <c r="A40" s="16"/>
      <c r="B40" s="16"/>
      <c r="C40" s="16"/>
      <c r="D40" s="16"/>
      <c r="E40" s="16"/>
      <c r="F40" s="16"/>
      <c r="G40" s="16"/>
      <c r="H40" s="14" t="str">
        <f>IF(OR($G40&lt;&gt;"liaison",$D40=""),"",$D40&amp;"#"&amp;COUNTIFS($D$2:$D40,$D40,$G$2:$G40,"liaison"))</f>
        <v/>
      </c>
    </row>
    <row r="41" spans="1:8" x14ac:dyDescent="0.2">
      <c r="A41" s="16"/>
      <c r="B41" s="16"/>
      <c r="C41" s="16"/>
      <c r="D41" s="16"/>
      <c r="E41" s="16"/>
      <c r="F41" s="16"/>
      <c r="G41" s="16"/>
      <c r="H41" s="14" t="str">
        <f>IF(OR($G41&lt;&gt;"liaison",$D41=""),"",$D41&amp;"#"&amp;COUNTIFS($D$2:$D41,$D41,$G$2:$G41,"liaison"))</f>
        <v/>
      </c>
    </row>
    <row r="42" spans="1:8" x14ac:dyDescent="0.2">
      <c r="A42" s="16"/>
      <c r="B42" s="16"/>
      <c r="C42" s="16"/>
      <c r="D42" s="16"/>
      <c r="E42" s="16"/>
      <c r="F42" s="16"/>
      <c r="G42" s="16"/>
      <c r="H42" s="14" t="str">
        <f>IF(OR($G42&lt;&gt;"liaison",$D42=""),"",$D42&amp;"#"&amp;COUNTIFS($D$2:$D42,$D42,$G$2:$G42,"liaison"))</f>
        <v/>
      </c>
    </row>
    <row r="43" spans="1:8" x14ac:dyDescent="0.2">
      <c r="A43" s="16"/>
      <c r="B43" s="16"/>
      <c r="C43" s="16"/>
      <c r="D43" s="16"/>
      <c r="E43" s="16"/>
      <c r="F43" s="16"/>
      <c r="G43" s="16"/>
      <c r="H43" s="14" t="str">
        <f>IF(OR($G43&lt;&gt;"liaison",$D43=""),"",$D43&amp;"#"&amp;COUNTIFS($D$2:$D43,$D43,$G$2:$G43,"liaison"))</f>
        <v/>
      </c>
    </row>
    <row r="44" spans="1:8" x14ac:dyDescent="0.2">
      <c r="A44" s="16"/>
      <c r="B44" s="16"/>
      <c r="C44" s="16"/>
      <c r="D44" s="16"/>
      <c r="E44" s="16"/>
      <c r="F44" s="16"/>
      <c r="G44" s="16"/>
      <c r="H44" s="14" t="str">
        <f>IF(OR($G44&lt;&gt;"liaison",$D44=""),"",$D44&amp;"#"&amp;COUNTIFS($D$2:$D44,$D44,$G$2:$G44,"liaison"))</f>
        <v/>
      </c>
    </row>
    <row r="45" spans="1:8" x14ac:dyDescent="0.2">
      <c r="A45" s="16"/>
      <c r="B45" s="16"/>
      <c r="C45" s="16"/>
      <c r="D45" s="16"/>
      <c r="E45" s="16"/>
      <c r="F45" s="16"/>
      <c r="G45" s="16"/>
      <c r="H45" s="14" t="str">
        <f>IF(OR($G45&lt;&gt;"liaison",$D45=""),"",$D45&amp;"#"&amp;COUNTIFS($D$2:$D45,$D45,$G$2:$G45,"liaison"))</f>
        <v/>
      </c>
    </row>
    <row r="46" spans="1:8" x14ac:dyDescent="0.2">
      <c r="A46" s="16"/>
      <c r="B46" s="16"/>
      <c r="C46" s="16"/>
      <c r="D46" s="16"/>
      <c r="E46" s="16"/>
      <c r="F46" s="16"/>
      <c r="G46" s="16"/>
      <c r="H46" s="14" t="str">
        <f>IF(OR($G46&lt;&gt;"liaison",$D46=""),"",$D46&amp;"#"&amp;COUNTIFS($D$2:$D46,$D46,$G$2:$G46,"liaison"))</f>
        <v/>
      </c>
    </row>
    <row r="47" spans="1:8" x14ac:dyDescent="0.2">
      <c r="A47" s="16"/>
      <c r="B47" s="16"/>
      <c r="C47" s="16"/>
      <c r="D47" s="16"/>
      <c r="E47" s="16"/>
      <c r="F47" s="16"/>
      <c r="G47" s="16"/>
      <c r="H47" s="14" t="str">
        <f>IF(OR($G47&lt;&gt;"liaison",$D47=""),"",$D47&amp;"#"&amp;COUNTIFS($D$2:$D47,$D47,$G$2:$G47,"liaison"))</f>
        <v/>
      </c>
    </row>
    <row r="48" spans="1:8" x14ac:dyDescent="0.2">
      <c r="A48" s="16"/>
      <c r="B48" s="16"/>
      <c r="C48" s="16"/>
      <c r="D48" s="16"/>
      <c r="E48" s="16"/>
      <c r="F48" s="16"/>
      <c r="G48" s="16"/>
      <c r="H48" s="14" t="str">
        <f>IF(OR($G48&lt;&gt;"liaison",$D48=""),"",$D48&amp;"#"&amp;COUNTIFS($D$2:$D48,$D48,$G$2:$G48,"liaison"))</f>
        <v/>
      </c>
    </row>
    <row r="49" spans="1:8" x14ac:dyDescent="0.2">
      <c r="A49" s="16"/>
      <c r="B49" s="16"/>
      <c r="C49" s="16"/>
      <c r="D49" s="16"/>
      <c r="E49" s="16"/>
      <c r="F49" s="16"/>
      <c r="G49" s="16"/>
      <c r="H49" s="14" t="str">
        <f>IF(OR($G49&lt;&gt;"liaison",$D49=""),"",$D49&amp;"#"&amp;COUNTIFS($D$2:$D49,$D49,$G$2:$G49,"liaison"))</f>
        <v/>
      </c>
    </row>
    <row r="50" spans="1:8" x14ac:dyDescent="0.2">
      <c r="A50" s="16"/>
      <c r="B50" s="16"/>
      <c r="C50" s="16"/>
      <c r="D50" s="16"/>
      <c r="E50" s="16"/>
      <c r="F50" s="16"/>
      <c r="G50" s="16"/>
      <c r="H50" s="14" t="str">
        <f>IF(OR($G50&lt;&gt;"liaison",$D50=""),"",$D50&amp;"#"&amp;COUNTIFS($D$2:$D50,$D50,$G$2:$G50,"liaison"))</f>
        <v/>
      </c>
    </row>
    <row r="51" spans="1:8" x14ac:dyDescent="0.2">
      <c r="A51" s="16"/>
      <c r="B51" s="16"/>
      <c r="C51" s="16"/>
      <c r="D51" s="16"/>
      <c r="E51" s="16"/>
      <c r="F51" s="16"/>
      <c r="G51" s="16"/>
      <c r="H51" s="14" t="str">
        <f>IF(OR($G51&lt;&gt;"liaison",$D51=""),"",$D51&amp;"#"&amp;COUNTIFS($D$2:$D51,$D51,$G$2:$G51,"liaison"))</f>
        <v/>
      </c>
    </row>
    <row r="52" spans="1:8" x14ac:dyDescent="0.2">
      <c r="A52" s="16"/>
      <c r="B52" s="16"/>
      <c r="C52" s="16"/>
      <c r="D52" s="16"/>
      <c r="E52" s="16"/>
      <c r="F52" s="16"/>
      <c r="G52" s="16"/>
      <c r="H52" s="14" t="str">
        <f>IF(OR($G52&lt;&gt;"liaison",$D52=""),"",$D52&amp;"#"&amp;COUNTIFS($D$2:$D52,$D52,$G$2:$G52,"liaison"))</f>
        <v/>
      </c>
    </row>
    <row r="53" spans="1:8" x14ac:dyDescent="0.2">
      <c r="A53" s="16"/>
      <c r="B53" s="16"/>
      <c r="C53" s="16"/>
      <c r="D53" s="16"/>
      <c r="E53" s="16"/>
      <c r="F53" s="16"/>
      <c r="G53" s="16"/>
      <c r="H53" s="14" t="str">
        <f>IF(OR($G53&lt;&gt;"liaison",$D53=""),"",$D53&amp;"#"&amp;COUNTIFS($D$2:$D53,$D53,$G$2:$G53,"liaison"))</f>
        <v/>
      </c>
    </row>
    <row r="54" spans="1:8" x14ac:dyDescent="0.2">
      <c r="A54" s="16"/>
      <c r="B54" s="16"/>
      <c r="C54" s="16"/>
      <c r="D54" s="16"/>
      <c r="E54" s="16"/>
      <c r="F54" s="16"/>
      <c r="G54" s="16"/>
      <c r="H54" s="14" t="str">
        <f>IF(OR($G54&lt;&gt;"liaison",$D54=""),"",$D54&amp;"#"&amp;COUNTIFS($D$2:$D54,$D54,$G$2:$G54,"liaison"))</f>
        <v/>
      </c>
    </row>
    <row r="55" spans="1:8" x14ac:dyDescent="0.2">
      <c r="A55" s="16"/>
      <c r="B55" s="16"/>
      <c r="C55" s="16"/>
      <c r="D55" s="16"/>
      <c r="E55" s="16"/>
      <c r="F55" s="16"/>
      <c r="G55" s="16"/>
      <c r="H55" s="14" t="str">
        <f>IF(OR($G55&lt;&gt;"liaison",$D55=""),"",$D55&amp;"#"&amp;COUNTIFS($D$2:$D55,$D55,$G$2:$G55,"liaison"))</f>
        <v/>
      </c>
    </row>
    <row r="56" spans="1:8" x14ac:dyDescent="0.2">
      <c r="A56" s="16"/>
      <c r="B56" s="16"/>
      <c r="C56" s="16"/>
      <c r="D56" s="16"/>
      <c r="E56" s="16"/>
      <c r="F56" s="16"/>
      <c r="G56" s="16"/>
      <c r="H56" s="14" t="str">
        <f>IF(OR($G56&lt;&gt;"liaison",$D56=""),"",$D56&amp;"#"&amp;COUNTIFS($D$2:$D56,$D56,$G$2:$G56,"liaison"))</f>
        <v/>
      </c>
    </row>
    <row r="57" spans="1:8" x14ac:dyDescent="0.2">
      <c r="A57" s="16"/>
      <c r="B57" s="16"/>
      <c r="C57" s="16"/>
      <c r="D57" s="16"/>
      <c r="E57" s="16"/>
      <c r="F57" s="16"/>
      <c r="G57" s="16"/>
      <c r="H57" s="14" t="str">
        <f>IF(OR($G57&lt;&gt;"liaison",$D57=""),"",$D57&amp;"#"&amp;COUNTIFS($D$2:$D57,$D57,$G$2:$G57,"liaison"))</f>
        <v/>
      </c>
    </row>
    <row r="58" spans="1:8" x14ac:dyDescent="0.2">
      <c r="A58" s="16"/>
      <c r="B58" s="16"/>
      <c r="C58" s="16"/>
      <c r="D58" s="16"/>
      <c r="E58" s="16"/>
      <c r="F58" s="16"/>
      <c r="G58" s="16"/>
      <c r="H58" s="14" t="str">
        <f>IF(OR($G58&lt;&gt;"liaison",$D58=""),"",$D58&amp;"#"&amp;COUNTIFS($D$2:$D58,$D58,$G$2:$G58,"liaison"))</f>
        <v/>
      </c>
    </row>
    <row r="59" spans="1:8" x14ac:dyDescent="0.2">
      <c r="A59" s="16"/>
      <c r="B59" s="16"/>
      <c r="C59" s="16"/>
      <c r="D59" s="16"/>
      <c r="E59" s="16"/>
      <c r="F59" s="16"/>
      <c r="G59" s="16"/>
      <c r="H59" s="14" t="str">
        <f>IF(OR($G59&lt;&gt;"liaison",$D59=""),"",$D59&amp;"#"&amp;COUNTIFS($D$2:$D59,$D59,$G$2:$G59,"liaison"))</f>
        <v/>
      </c>
    </row>
    <row r="60" spans="1:8" x14ac:dyDescent="0.2">
      <c r="A60" s="16"/>
      <c r="B60" s="16"/>
      <c r="C60" s="16"/>
      <c r="D60" s="16"/>
      <c r="E60" s="16"/>
      <c r="F60" s="16"/>
      <c r="G60" s="16"/>
      <c r="H60" s="14" t="str">
        <f>IF(OR($G60&lt;&gt;"liaison",$D60=""),"",$D60&amp;"#"&amp;COUNTIFS($D$2:$D60,$D60,$G$2:$G60,"liaison"))</f>
        <v/>
      </c>
    </row>
    <row r="61" spans="1:8" x14ac:dyDescent="0.2">
      <c r="A61" s="16"/>
      <c r="B61" s="16"/>
      <c r="C61" s="16"/>
      <c r="D61" s="16"/>
      <c r="E61" s="16"/>
      <c r="F61" s="16"/>
      <c r="G61" s="16"/>
      <c r="H61" s="14" t="str">
        <f>IF(OR($G61&lt;&gt;"liaison",$D61=""),"",$D61&amp;"#"&amp;COUNTIFS($D$2:$D61,$D61,$G$2:$G61,"liaison"))</f>
        <v/>
      </c>
    </row>
    <row r="62" spans="1:8" x14ac:dyDescent="0.2">
      <c r="A62" s="16"/>
      <c r="B62" s="16"/>
      <c r="C62" s="16"/>
      <c r="D62" s="16"/>
      <c r="E62" s="16"/>
      <c r="F62" s="16"/>
      <c r="G62" s="16"/>
      <c r="H62" s="14" t="str">
        <f>IF(OR($G62&lt;&gt;"liaison",$D62=""),"",$D62&amp;"#"&amp;COUNTIFS($D$2:$D62,$D62,$G$2:$G62,"liaison"))</f>
        <v/>
      </c>
    </row>
    <row r="63" spans="1:8" x14ac:dyDescent="0.2">
      <c r="A63" s="16"/>
      <c r="B63" s="16"/>
      <c r="C63" s="16"/>
      <c r="D63" s="16"/>
      <c r="E63" s="16"/>
      <c r="F63" s="16"/>
      <c r="G63" s="16"/>
      <c r="H63" s="14" t="str">
        <f>IF(OR($G63&lt;&gt;"liaison",$D63=""),"",$D63&amp;"#"&amp;COUNTIFS($D$2:$D63,$D63,$G$2:$G63,"liaison"))</f>
        <v/>
      </c>
    </row>
    <row r="64" spans="1:8" x14ac:dyDescent="0.2">
      <c r="A64" s="16"/>
      <c r="B64" s="16"/>
      <c r="C64" s="16"/>
      <c r="D64" s="16"/>
      <c r="E64" s="16"/>
      <c r="F64" s="16"/>
      <c r="G64" s="16"/>
      <c r="H64" s="14" t="str">
        <f>IF(OR($G64&lt;&gt;"liaison",$D64=""),"",$D64&amp;"#"&amp;COUNTIFS($D$2:$D64,$D64,$G$2:$G64,"liaison"))</f>
        <v/>
      </c>
    </row>
    <row r="65" spans="1:8" x14ac:dyDescent="0.2">
      <c r="A65" s="16"/>
      <c r="B65" s="16"/>
      <c r="C65" s="16"/>
      <c r="D65" s="16"/>
      <c r="E65" s="16"/>
      <c r="F65" s="16"/>
      <c r="G65" s="16"/>
      <c r="H65" s="14" t="str">
        <f>IF(OR($G65&lt;&gt;"liaison",$D65=""),"",$D65&amp;"#"&amp;COUNTIFS($D$2:$D65,$D65,$G$2:$G65,"liaison"))</f>
        <v/>
      </c>
    </row>
    <row r="66" spans="1:8" x14ac:dyDescent="0.2">
      <c r="A66" s="16"/>
      <c r="B66" s="16"/>
      <c r="C66" s="16"/>
      <c r="D66" s="16"/>
      <c r="E66" s="16"/>
      <c r="F66" s="16"/>
      <c r="G66" s="16"/>
      <c r="H66" s="14" t="str">
        <f>IF(OR($G66&lt;&gt;"liaison",$D66=""),"",$D66&amp;"#"&amp;COUNTIFS($D$2:$D66,$D66,$G$2:$G66,"liaison"))</f>
        <v/>
      </c>
    </row>
    <row r="67" spans="1:8" x14ac:dyDescent="0.2">
      <c r="A67" s="16"/>
      <c r="B67" s="16"/>
      <c r="C67" s="16"/>
      <c r="D67" s="16"/>
      <c r="E67" s="16"/>
      <c r="F67" s="16"/>
      <c r="G67" s="16"/>
      <c r="H67" s="14" t="str">
        <f>IF(OR($G67&lt;&gt;"liaison",$D67=""),"",$D67&amp;"#"&amp;COUNTIFS($D$2:$D67,$D67,$G$2:$G67,"liaison"))</f>
        <v/>
      </c>
    </row>
    <row r="68" spans="1:8" x14ac:dyDescent="0.2">
      <c r="A68" s="16"/>
      <c r="B68" s="16"/>
      <c r="C68" s="16"/>
      <c r="D68" s="16"/>
      <c r="E68" s="16"/>
      <c r="F68" s="16"/>
      <c r="G68" s="16"/>
      <c r="H68" s="14" t="str">
        <f>IF(OR($G68&lt;&gt;"liaison",$D68=""),"",$D68&amp;"#"&amp;COUNTIFS($D$2:$D68,$D68,$G$2:$G68,"liaison"))</f>
        <v/>
      </c>
    </row>
    <row r="69" spans="1:8" x14ac:dyDescent="0.2">
      <c r="A69" s="16"/>
      <c r="B69" s="16"/>
      <c r="C69" s="16"/>
      <c r="D69" s="16"/>
      <c r="E69" s="16"/>
      <c r="F69" s="16"/>
      <c r="G69" s="16"/>
      <c r="H69" s="14" t="str">
        <f>IF(OR($G69&lt;&gt;"liaison",$D69=""),"",$D69&amp;"#"&amp;COUNTIFS($D$2:$D69,$D69,$G$2:$G69,"liaison"))</f>
        <v/>
      </c>
    </row>
    <row r="70" spans="1:8" x14ac:dyDescent="0.2">
      <c r="A70" s="16"/>
      <c r="B70" s="16"/>
      <c r="C70" s="16"/>
      <c r="D70" s="16"/>
      <c r="E70" s="16"/>
      <c r="F70" s="16"/>
      <c r="G70" s="16"/>
      <c r="H70" s="14" t="str">
        <f>IF(OR($G70&lt;&gt;"liaison",$D70=""),"",$D70&amp;"#"&amp;COUNTIFS($D$2:$D70,$D70,$G$2:$G70,"liaison"))</f>
        <v/>
      </c>
    </row>
    <row r="71" spans="1:8" x14ac:dyDescent="0.2">
      <c r="A71" s="16"/>
      <c r="B71" s="16"/>
      <c r="C71" s="16"/>
      <c r="D71" s="16"/>
      <c r="E71" s="16"/>
      <c r="F71" s="16"/>
      <c r="G71" s="16"/>
      <c r="H71" s="14" t="str">
        <f>IF(OR($G71&lt;&gt;"liaison",$D71=""),"",$D71&amp;"#"&amp;COUNTIFS($D$2:$D71,$D71,$G$2:$G71,"liaison"))</f>
        <v/>
      </c>
    </row>
    <row r="72" spans="1:8" x14ac:dyDescent="0.2">
      <c r="A72" s="16"/>
      <c r="B72" s="16"/>
      <c r="C72" s="16"/>
      <c r="D72" s="16"/>
      <c r="E72" s="16"/>
      <c r="F72" s="16"/>
      <c r="G72" s="16"/>
      <c r="H72" s="14" t="str">
        <f>IF(OR($G72&lt;&gt;"liaison",$D72=""),"",$D72&amp;"#"&amp;COUNTIFS($D$2:$D72,$D72,$G$2:$G72,"liaison"))</f>
        <v/>
      </c>
    </row>
    <row r="73" spans="1:8" x14ac:dyDescent="0.2">
      <c r="A73" s="16"/>
      <c r="B73" s="16"/>
      <c r="C73" s="16"/>
      <c r="D73" s="16"/>
      <c r="E73" s="16"/>
      <c r="F73" s="16"/>
      <c r="G73" s="16"/>
      <c r="H73" s="14" t="str">
        <f>IF(OR($G73&lt;&gt;"liaison",$D73=""),"",$D73&amp;"#"&amp;COUNTIFS($D$2:$D73,$D73,$G$2:$G73,"liaison"))</f>
        <v/>
      </c>
    </row>
    <row r="74" spans="1:8" x14ac:dyDescent="0.2">
      <c r="A74" s="16"/>
      <c r="B74" s="16"/>
      <c r="C74" s="16"/>
      <c r="D74" s="16"/>
      <c r="E74" s="16"/>
      <c r="F74" s="16"/>
      <c r="G74" s="16"/>
      <c r="H74" s="14" t="str">
        <f>IF(OR($G74&lt;&gt;"liaison",$D74=""),"",$D74&amp;"#"&amp;COUNTIFS($D$2:$D74,$D74,$G$2:$G74,"liaison"))</f>
        <v/>
      </c>
    </row>
    <row r="75" spans="1:8" x14ac:dyDescent="0.2">
      <c r="A75" s="16"/>
      <c r="B75" s="16"/>
      <c r="C75" s="16"/>
      <c r="D75" s="16"/>
      <c r="E75" s="16"/>
      <c r="F75" s="16"/>
      <c r="G75" s="16"/>
      <c r="H75" s="14" t="str">
        <f>IF(OR($G75&lt;&gt;"liaison",$D75=""),"",$D75&amp;"#"&amp;COUNTIFS($D$2:$D75,$D75,$G$2:$G75,"liaison"))</f>
        <v/>
      </c>
    </row>
    <row r="76" spans="1:8" x14ac:dyDescent="0.2">
      <c r="A76" s="16"/>
      <c r="B76" s="16"/>
      <c r="C76" s="16"/>
      <c r="D76" s="16"/>
      <c r="E76" s="16"/>
      <c r="F76" s="16"/>
      <c r="G76" s="16"/>
      <c r="H76" s="14" t="str">
        <f>IF(OR($G76&lt;&gt;"liaison",$D76=""),"",$D76&amp;"#"&amp;COUNTIFS($D$2:$D76,$D76,$G$2:$G76,"liaison"))</f>
        <v/>
      </c>
    </row>
    <row r="77" spans="1:8" x14ac:dyDescent="0.2">
      <c r="A77" s="16"/>
      <c r="B77" s="16"/>
      <c r="C77" s="16"/>
      <c r="D77" s="16"/>
      <c r="E77" s="16"/>
      <c r="F77" s="16"/>
      <c r="G77" s="16"/>
      <c r="H77" s="14" t="str">
        <f>IF(OR($G77&lt;&gt;"liaison",$D77=""),"",$D77&amp;"#"&amp;COUNTIFS($D$2:$D77,$D77,$G$2:$G77,"liaison"))</f>
        <v/>
      </c>
    </row>
    <row r="78" spans="1:8" x14ac:dyDescent="0.2">
      <c r="A78" s="16"/>
      <c r="B78" s="16"/>
      <c r="C78" s="16"/>
      <c r="D78" s="16"/>
      <c r="E78" s="16"/>
      <c r="F78" s="16"/>
      <c r="G78" s="16"/>
      <c r="H78" s="14" t="str">
        <f>IF(OR($G78&lt;&gt;"liaison",$D78=""),"",$D78&amp;"#"&amp;COUNTIFS($D$2:$D78,$D78,$G$2:$G78,"liaison"))</f>
        <v/>
      </c>
    </row>
    <row r="79" spans="1:8" x14ac:dyDescent="0.2">
      <c r="A79" s="16"/>
      <c r="B79" s="16"/>
      <c r="C79" s="16"/>
      <c r="D79" s="16"/>
      <c r="E79" s="16"/>
      <c r="F79" s="16"/>
      <c r="G79" s="16"/>
      <c r="H79" s="14" t="str">
        <f>IF(OR($G79&lt;&gt;"liaison",$D79=""),"",$D79&amp;"#"&amp;COUNTIFS($D$2:$D79,$D79,$G$2:$G79,"liaison"))</f>
        <v/>
      </c>
    </row>
    <row r="80" spans="1:8" x14ac:dyDescent="0.2">
      <c r="A80" s="16"/>
      <c r="B80" s="16"/>
      <c r="C80" s="16"/>
      <c r="D80" s="16"/>
      <c r="E80" s="16"/>
      <c r="F80" s="16"/>
      <c r="G80" s="16"/>
      <c r="H80" s="14" t="str">
        <f>IF(OR($G80&lt;&gt;"liaison",$D80=""),"",$D80&amp;"#"&amp;COUNTIFS($D$2:$D80,$D80,$G$2:$G80,"liaison"))</f>
        <v/>
      </c>
    </row>
    <row r="81" spans="1:8" x14ac:dyDescent="0.2">
      <c r="A81" s="16"/>
      <c r="B81" s="16"/>
      <c r="C81" s="16"/>
      <c r="D81" s="16"/>
      <c r="E81" s="16"/>
      <c r="F81" s="16"/>
      <c r="G81" s="16"/>
      <c r="H81" s="14" t="str">
        <f>IF(OR($G81&lt;&gt;"liaison",$D81=""),"",$D81&amp;"#"&amp;COUNTIFS($D$2:$D81,$D81,$G$2:$G81,"liaison"))</f>
        <v/>
      </c>
    </row>
    <row r="82" spans="1:8" x14ac:dyDescent="0.2">
      <c r="A82" s="16"/>
      <c r="B82" s="16"/>
      <c r="C82" s="16"/>
      <c r="D82" s="16"/>
      <c r="E82" s="16"/>
      <c r="F82" s="16"/>
      <c r="G82" s="16"/>
      <c r="H82" s="14" t="str">
        <f>IF(OR($G82&lt;&gt;"liaison",$D82=""),"",$D82&amp;"#"&amp;COUNTIFS($D$2:$D82,$D82,$G$2:$G82,"liaison"))</f>
        <v/>
      </c>
    </row>
    <row r="83" spans="1:8" x14ac:dyDescent="0.2">
      <c r="A83" s="16"/>
      <c r="B83" s="16"/>
      <c r="C83" s="16"/>
      <c r="D83" s="16"/>
      <c r="E83" s="16"/>
      <c r="F83" s="16"/>
      <c r="G83" s="16"/>
      <c r="H83" s="14" t="str">
        <f>IF(OR($G83&lt;&gt;"liaison",$D83=""),"",$D83&amp;"#"&amp;COUNTIFS($D$2:$D83,$D83,$G$2:$G83,"liaison"))</f>
        <v/>
      </c>
    </row>
    <row r="84" spans="1:8" x14ac:dyDescent="0.2">
      <c r="A84" s="16"/>
      <c r="B84" s="16"/>
      <c r="C84" s="16"/>
      <c r="D84" s="16"/>
      <c r="E84" s="16"/>
      <c r="F84" s="16"/>
      <c r="G84" s="16"/>
      <c r="H84" s="14" t="str">
        <f>IF(OR($G84&lt;&gt;"liaison",$D84=""),"",$D84&amp;"#"&amp;COUNTIFS($D$2:$D84,$D84,$G$2:$G84,"liaison"))</f>
        <v/>
      </c>
    </row>
    <row r="85" spans="1:8" x14ac:dyDescent="0.2">
      <c r="A85" s="16"/>
      <c r="B85" s="16"/>
      <c r="C85" s="16"/>
      <c r="D85" s="16"/>
      <c r="E85" s="16"/>
      <c r="F85" s="16"/>
      <c r="G85" s="16"/>
      <c r="H85" s="14" t="str">
        <f>IF(OR($G85&lt;&gt;"liaison",$D85=""),"",$D85&amp;"#"&amp;COUNTIFS($D$2:$D85,$D85,$G$2:$G85,"liaison"))</f>
        <v/>
      </c>
    </row>
    <row r="86" spans="1:8" x14ac:dyDescent="0.2">
      <c r="A86" s="16"/>
      <c r="B86" s="16"/>
      <c r="C86" s="16"/>
      <c r="D86" s="16"/>
      <c r="E86" s="16"/>
      <c r="F86" s="16"/>
      <c r="G86" s="16"/>
      <c r="H86" s="14" t="str">
        <f>IF(OR($G86&lt;&gt;"liaison",$D86=""),"",$D86&amp;"#"&amp;COUNTIFS($D$2:$D86,$D86,$G$2:$G86,"liaison"))</f>
        <v/>
      </c>
    </row>
    <row r="87" spans="1:8" x14ac:dyDescent="0.2">
      <c r="A87" s="16"/>
      <c r="B87" s="16"/>
      <c r="C87" s="16"/>
      <c r="D87" s="16"/>
      <c r="E87" s="16"/>
      <c r="F87" s="16"/>
      <c r="G87" s="16"/>
      <c r="H87" s="14" t="str">
        <f>IF(OR($G87&lt;&gt;"liaison",$D87=""),"",$D87&amp;"#"&amp;COUNTIFS($D$2:$D87,$D87,$G$2:$G87,"liaison"))</f>
        <v/>
      </c>
    </row>
    <row r="88" spans="1:8" x14ac:dyDescent="0.2">
      <c r="A88" s="16"/>
      <c r="B88" s="16"/>
      <c r="C88" s="16"/>
      <c r="D88" s="16"/>
      <c r="E88" s="16"/>
      <c r="F88" s="16"/>
      <c r="G88" s="16"/>
      <c r="H88" s="14" t="str">
        <f>IF(OR($G88&lt;&gt;"liaison",$D88=""),"",$D88&amp;"#"&amp;COUNTIFS($D$2:$D88,$D88,$G$2:$G88,"liaison"))</f>
        <v/>
      </c>
    </row>
    <row r="89" spans="1:8" x14ac:dyDescent="0.2">
      <c r="A89" s="16"/>
      <c r="B89" s="16"/>
      <c r="C89" s="16"/>
      <c r="D89" s="16"/>
      <c r="E89" s="16"/>
      <c r="F89" s="16"/>
      <c r="G89" s="16"/>
      <c r="H89" s="14" t="str">
        <f>IF(OR($G89&lt;&gt;"liaison",$D89=""),"",$D89&amp;"#"&amp;COUNTIFS($D$2:$D89,$D89,$G$2:$G89,"liaison"))</f>
        <v/>
      </c>
    </row>
    <row r="90" spans="1:8" x14ac:dyDescent="0.2">
      <c r="A90" s="16"/>
      <c r="B90" s="16"/>
      <c r="C90" s="16"/>
      <c r="D90" s="16"/>
      <c r="E90" s="16"/>
      <c r="F90" s="16"/>
      <c r="G90" s="16"/>
      <c r="H90" s="14" t="str">
        <f>IF(OR($G90&lt;&gt;"liaison",$D90=""),"",$D90&amp;"#"&amp;COUNTIFS($D$2:$D90,$D90,$G$2:$G90,"liaison"))</f>
        <v/>
      </c>
    </row>
    <row r="91" spans="1:8" x14ac:dyDescent="0.2">
      <c r="A91" s="16"/>
      <c r="B91" s="16"/>
      <c r="C91" s="16"/>
      <c r="D91" s="16"/>
      <c r="E91" s="16"/>
      <c r="F91" s="16"/>
      <c r="G91" s="16"/>
      <c r="H91" s="14" t="str">
        <f>IF(OR($G91&lt;&gt;"liaison",$D91=""),"",$D91&amp;"#"&amp;COUNTIFS($D$2:$D91,$D91,$G$2:$G91,"liaison"))</f>
        <v/>
      </c>
    </row>
    <row r="92" spans="1:8" x14ac:dyDescent="0.2">
      <c r="A92" s="16"/>
      <c r="B92" s="16"/>
      <c r="C92" s="16"/>
      <c r="D92" s="16"/>
      <c r="E92" s="16"/>
      <c r="F92" s="16"/>
      <c r="G92" s="16"/>
      <c r="H92" s="14" t="str">
        <f>IF(OR($G92&lt;&gt;"liaison",$D92=""),"",$D92&amp;"#"&amp;COUNTIFS($D$2:$D92,$D92,$G$2:$G92,"liaison"))</f>
        <v/>
      </c>
    </row>
    <row r="93" spans="1:8" x14ac:dyDescent="0.2">
      <c r="A93" s="16"/>
      <c r="B93" s="16"/>
      <c r="C93" s="16"/>
      <c r="D93" s="16"/>
      <c r="E93" s="16"/>
      <c r="F93" s="16"/>
      <c r="G93" s="16"/>
      <c r="H93" s="14" t="str">
        <f>IF(OR($G93&lt;&gt;"liaison",$D93=""),"",$D93&amp;"#"&amp;COUNTIFS($D$2:$D93,$D93,$G$2:$G93,"liaison"))</f>
        <v/>
      </c>
    </row>
    <row r="94" spans="1:8" x14ac:dyDescent="0.2">
      <c r="A94" s="16"/>
      <c r="B94" s="16"/>
      <c r="C94" s="16"/>
      <c r="D94" s="16"/>
      <c r="E94" s="16"/>
      <c r="F94" s="16"/>
      <c r="G94" s="16"/>
      <c r="H94" s="14" t="str">
        <f>IF(OR($G94&lt;&gt;"liaison",$D94=""),"",$D94&amp;"#"&amp;COUNTIFS($D$2:$D94,$D94,$G$2:$G94,"liaison"))</f>
        <v/>
      </c>
    </row>
    <row r="95" spans="1:8" x14ac:dyDescent="0.2">
      <c r="A95" s="16"/>
      <c r="B95" s="16"/>
      <c r="C95" s="16"/>
      <c r="D95" s="16"/>
      <c r="E95" s="16"/>
      <c r="F95" s="16"/>
      <c r="G95" s="16"/>
      <c r="H95" s="14" t="str">
        <f>IF(OR($G95&lt;&gt;"liaison",$D95=""),"",$D95&amp;"#"&amp;COUNTIFS($D$2:$D95,$D95,$G$2:$G95,"liaison"))</f>
        <v/>
      </c>
    </row>
    <row r="96" spans="1:8" x14ac:dyDescent="0.2">
      <c r="A96" s="16"/>
      <c r="B96" s="16"/>
      <c r="C96" s="16"/>
      <c r="D96" s="16"/>
      <c r="E96" s="16"/>
      <c r="F96" s="16"/>
      <c r="G96" s="16"/>
      <c r="H96" s="14" t="str">
        <f>IF(OR($G96&lt;&gt;"liaison",$D96=""),"",$D96&amp;"#"&amp;COUNTIFS($D$2:$D96,$D96,$G$2:$G96,"liaison"))</f>
        <v/>
      </c>
    </row>
    <row r="97" spans="1:8" x14ac:dyDescent="0.2">
      <c r="A97" s="16"/>
      <c r="B97" s="16"/>
      <c r="C97" s="16"/>
      <c r="D97" s="16"/>
      <c r="E97" s="16"/>
      <c r="F97" s="16"/>
      <c r="G97" s="16"/>
      <c r="H97" s="14" t="str">
        <f>IF(OR($G97&lt;&gt;"liaison",$D97=""),"",$D97&amp;"#"&amp;COUNTIFS($D$2:$D97,$D97,$G$2:$G97,"liaison"))</f>
        <v/>
      </c>
    </row>
    <row r="98" spans="1:8" x14ac:dyDescent="0.2">
      <c r="A98" s="16"/>
      <c r="B98" s="16"/>
      <c r="C98" s="16"/>
      <c r="D98" s="16"/>
      <c r="E98" s="16"/>
      <c r="F98" s="16"/>
      <c r="G98" s="16"/>
      <c r="H98" s="14" t="str">
        <f>IF(OR($G98&lt;&gt;"liaison",$D98=""),"",$D98&amp;"#"&amp;COUNTIFS($D$2:$D98,$D98,$G$2:$G98,"liaison"))</f>
        <v/>
      </c>
    </row>
    <row r="99" spans="1:8" x14ac:dyDescent="0.2">
      <c r="A99" s="16"/>
      <c r="B99" s="16"/>
      <c r="C99" s="16"/>
      <c r="D99" s="16"/>
      <c r="E99" s="16"/>
      <c r="F99" s="16"/>
      <c r="G99" s="16"/>
      <c r="H99" s="14" t="str">
        <f>IF(OR($G99&lt;&gt;"liaison",$D99=""),"",$D99&amp;"#"&amp;COUNTIFS($D$2:$D99,$D99,$G$2:$G99,"liaison"))</f>
        <v/>
      </c>
    </row>
    <row r="100" spans="1:8" x14ac:dyDescent="0.2">
      <c r="A100" s="16"/>
      <c r="B100" s="16"/>
      <c r="C100" s="16"/>
      <c r="D100" s="16"/>
      <c r="E100" s="16"/>
      <c r="F100" s="16"/>
      <c r="G100" s="16"/>
      <c r="H100" s="14" t="str">
        <f>IF(OR($G100&lt;&gt;"liaison",$D100=""),"",$D100&amp;"#"&amp;COUNTIFS($D$2:$D100,$D100,$G$2:$G100,"liaison"))</f>
        <v/>
      </c>
    </row>
    <row r="101" spans="1:8" x14ac:dyDescent="0.2">
      <c r="A101" s="16"/>
      <c r="B101" s="16"/>
      <c r="C101" s="16"/>
      <c r="D101" s="16"/>
      <c r="E101" s="16"/>
      <c r="F101" s="16"/>
      <c r="G101" s="16"/>
      <c r="H101" s="14" t="str">
        <f>IF(OR($G101&lt;&gt;"liaison",$D101=""),"",$D101&amp;"#"&amp;COUNTIFS($D$2:$D101,$D101,$G$2:$G101,"liaison"))</f>
        <v/>
      </c>
    </row>
    <row r="102" spans="1:8" x14ac:dyDescent="0.2">
      <c r="A102" s="16"/>
      <c r="B102" s="16"/>
      <c r="C102" s="16"/>
      <c r="D102" s="16"/>
      <c r="E102" s="16"/>
      <c r="F102" s="16"/>
      <c r="G102" s="16"/>
      <c r="H102" s="14" t="str">
        <f>IF(OR($G102&lt;&gt;"liaison",$D102=""),"",$D102&amp;"#"&amp;COUNTIFS($D$2:$D102,$D102,$G$2:$G102,"liaison"))</f>
        <v/>
      </c>
    </row>
    <row r="103" spans="1:8" x14ac:dyDescent="0.2">
      <c r="A103" s="16"/>
      <c r="B103" s="16"/>
      <c r="C103" s="16"/>
      <c r="D103" s="16"/>
      <c r="E103" s="16"/>
      <c r="F103" s="16"/>
      <c r="G103" s="16"/>
      <c r="H103" s="14" t="str">
        <f>IF(OR($G103&lt;&gt;"liaison",$D103=""),"",$D103&amp;"#"&amp;COUNTIFS($D$2:$D103,$D103,$G$2:$G103,"liaison"))</f>
        <v/>
      </c>
    </row>
    <row r="104" spans="1:8" x14ac:dyDescent="0.2">
      <c r="A104" s="16"/>
      <c r="B104" s="16"/>
      <c r="C104" s="16"/>
      <c r="D104" s="16"/>
      <c r="E104" s="16"/>
      <c r="F104" s="16"/>
      <c r="G104" s="16"/>
      <c r="H104" s="14" t="str">
        <f>IF(OR($G104&lt;&gt;"liaison",$D104=""),"",$D104&amp;"#"&amp;COUNTIFS($D$2:$D104,$D104,$G$2:$G104,"liaison"))</f>
        <v/>
      </c>
    </row>
    <row r="105" spans="1:8" x14ac:dyDescent="0.2">
      <c r="A105" s="16"/>
      <c r="B105" s="16"/>
      <c r="C105" s="16"/>
      <c r="D105" s="16"/>
      <c r="E105" s="16"/>
      <c r="F105" s="16"/>
      <c r="G105" s="16"/>
      <c r="H105" s="14" t="str">
        <f>IF(OR($G105&lt;&gt;"liaison",$D105=""),"",$D105&amp;"#"&amp;COUNTIFS($D$2:$D105,$D105,$G$2:$G105,"liaison"))</f>
        <v/>
      </c>
    </row>
    <row r="106" spans="1:8" x14ac:dyDescent="0.2">
      <c r="A106" s="16"/>
      <c r="B106" s="16"/>
      <c r="C106" s="16"/>
      <c r="D106" s="16"/>
      <c r="E106" s="16"/>
      <c r="F106" s="16"/>
      <c r="G106" s="16"/>
      <c r="H106" s="14" t="str">
        <f>IF(OR($G106&lt;&gt;"liaison",$D106=""),"",$D106&amp;"#"&amp;COUNTIFS($D$2:$D106,$D106,$G$2:$G106,"liaison"))</f>
        <v/>
      </c>
    </row>
    <row r="107" spans="1:8" x14ac:dyDescent="0.2">
      <c r="A107" s="16"/>
      <c r="B107" s="16"/>
      <c r="C107" s="16"/>
      <c r="D107" s="16"/>
      <c r="E107" s="16"/>
      <c r="F107" s="16"/>
      <c r="G107" s="16"/>
      <c r="H107" s="14" t="str">
        <f>IF(OR($G107&lt;&gt;"liaison",$D107=""),"",$D107&amp;"#"&amp;COUNTIFS($D$2:$D107,$D107,$G$2:$G107,"liaison"))</f>
        <v/>
      </c>
    </row>
    <row r="108" spans="1:8" x14ac:dyDescent="0.2">
      <c r="A108" s="16"/>
      <c r="B108" s="16"/>
      <c r="C108" s="16"/>
      <c r="D108" s="16"/>
      <c r="E108" s="16"/>
      <c r="F108" s="16"/>
      <c r="G108" s="16"/>
      <c r="H108" s="14" t="str">
        <f>IF(OR($G108&lt;&gt;"liaison",$D108=""),"",$D108&amp;"#"&amp;COUNTIFS($D$2:$D108,$D108,$G$2:$G108,"liaison"))</f>
        <v/>
      </c>
    </row>
    <row r="109" spans="1:8" x14ac:dyDescent="0.2">
      <c r="A109" s="16"/>
      <c r="B109" s="16"/>
      <c r="C109" s="16"/>
      <c r="D109" s="16"/>
      <c r="E109" s="16"/>
      <c r="F109" s="16"/>
      <c r="G109" s="16"/>
      <c r="H109" s="14" t="str">
        <f>IF(OR($G109&lt;&gt;"liaison",$D109=""),"",$D109&amp;"#"&amp;COUNTIFS($D$2:$D109,$D109,$G$2:$G109,"liaison"))</f>
        <v/>
      </c>
    </row>
    <row r="110" spans="1:8" x14ac:dyDescent="0.2">
      <c r="A110" s="16"/>
      <c r="B110" s="16"/>
      <c r="C110" s="16"/>
      <c r="D110" s="16"/>
      <c r="E110" s="16"/>
      <c r="F110" s="16"/>
      <c r="G110" s="16"/>
      <c r="H110" s="14" t="str">
        <f>IF(OR($G110&lt;&gt;"liaison",$D110=""),"",$D110&amp;"#"&amp;COUNTIFS($D$2:$D110,$D110,$G$2:$G110,"liaison"))</f>
        <v/>
      </c>
    </row>
    <row r="111" spans="1:8" x14ac:dyDescent="0.2">
      <c r="A111" s="16"/>
      <c r="B111" s="16"/>
      <c r="C111" s="16"/>
      <c r="D111" s="16"/>
      <c r="E111" s="16"/>
      <c r="F111" s="16"/>
      <c r="G111" s="16"/>
      <c r="H111" s="14" t="str">
        <f>IF(OR($G111&lt;&gt;"liaison",$D111=""),"",$D111&amp;"#"&amp;COUNTIFS($D$2:$D111,$D111,$G$2:$G111,"liaison"))</f>
        <v/>
      </c>
    </row>
    <row r="112" spans="1:8" x14ac:dyDescent="0.2">
      <c r="A112" s="16"/>
      <c r="B112" s="16"/>
      <c r="C112" s="16"/>
      <c r="D112" s="16"/>
      <c r="E112" s="16"/>
      <c r="F112" s="16"/>
      <c r="G112" s="16"/>
      <c r="H112" s="14" t="str">
        <f>IF(OR($G112&lt;&gt;"liaison",$D112=""),"",$D112&amp;"#"&amp;COUNTIFS($D$2:$D112,$D112,$G$2:$G112,"liaison"))</f>
        <v/>
      </c>
    </row>
    <row r="113" spans="1:8" x14ac:dyDescent="0.2">
      <c r="A113" s="16"/>
      <c r="B113" s="16"/>
      <c r="C113" s="16"/>
      <c r="D113" s="16"/>
      <c r="E113" s="16"/>
      <c r="F113" s="16"/>
      <c r="G113" s="16"/>
      <c r="H113" s="14" t="str">
        <f>IF(OR($G113&lt;&gt;"liaison",$D113=""),"",$D113&amp;"#"&amp;COUNTIFS($D$2:$D113,$D113,$G$2:$G113,"liaison"))</f>
        <v/>
      </c>
    </row>
    <row r="114" spans="1:8" x14ac:dyDescent="0.2">
      <c r="A114" s="16"/>
      <c r="B114" s="16"/>
      <c r="C114" s="16"/>
      <c r="D114" s="16"/>
      <c r="E114" s="16"/>
      <c r="F114" s="16"/>
      <c r="G114" s="16"/>
      <c r="H114" s="14" t="str">
        <f>IF(OR($G114&lt;&gt;"liaison",$D114=""),"",$D114&amp;"#"&amp;COUNTIFS($D$2:$D114,$D114,$G$2:$G114,"liaison"))</f>
        <v/>
      </c>
    </row>
    <row r="115" spans="1:8" x14ac:dyDescent="0.2">
      <c r="A115" s="16"/>
      <c r="B115" s="16"/>
      <c r="C115" s="16"/>
      <c r="D115" s="16"/>
      <c r="E115" s="16"/>
      <c r="F115" s="16"/>
      <c r="G115" s="16"/>
      <c r="H115" s="14" t="str">
        <f>IF(OR($G115&lt;&gt;"liaison",$D115=""),"",$D115&amp;"#"&amp;COUNTIFS($D$2:$D115,$D115,$G$2:$G115,"liaison"))</f>
        <v/>
      </c>
    </row>
    <row r="116" spans="1:8" x14ac:dyDescent="0.2">
      <c r="A116" s="16"/>
      <c r="B116" s="16"/>
      <c r="C116" s="16"/>
      <c r="D116" s="16"/>
      <c r="E116" s="16"/>
      <c r="F116" s="16"/>
      <c r="G116" s="16"/>
      <c r="H116" s="14" t="str">
        <f>IF(OR($G116&lt;&gt;"liaison",$D116=""),"",$D116&amp;"#"&amp;COUNTIFS($D$2:$D116,$D116,$G$2:$G116,"liaison"))</f>
        <v/>
      </c>
    </row>
    <row r="117" spans="1:8" x14ac:dyDescent="0.2">
      <c r="A117" s="16"/>
      <c r="B117" s="16"/>
      <c r="C117" s="16"/>
      <c r="D117" s="16"/>
      <c r="E117" s="16"/>
      <c r="F117" s="16"/>
      <c r="G117" s="16"/>
      <c r="H117" s="14" t="str">
        <f>IF(OR($G117&lt;&gt;"liaison",$D117=""),"",$D117&amp;"#"&amp;COUNTIFS($D$2:$D117,$D117,$G$2:$G117,"liaison"))</f>
        <v/>
      </c>
    </row>
    <row r="118" spans="1:8" x14ac:dyDescent="0.2">
      <c r="A118" s="16"/>
      <c r="B118" s="16"/>
      <c r="C118" s="16"/>
      <c r="D118" s="16"/>
      <c r="E118" s="16"/>
      <c r="F118" s="16"/>
      <c r="G118" s="16"/>
      <c r="H118" s="14" t="str">
        <f>IF(OR($G118&lt;&gt;"liaison",$D118=""),"",$D118&amp;"#"&amp;COUNTIFS($D$2:$D118,$D118,$G$2:$G118,"liaison"))</f>
        <v/>
      </c>
    </row>
    <row r="119" spans="1:8" x14ac:dyDescent="0.2">
      <c r="A119" s="16"/>
      <c r="B119" s="16"/>
      <c r="C119" s="16"/>
      <c r="D119" s="16"/>
      <c r="E119" s="16"/>
      <c r="F119" s="16"/>
      <c r="G119" s="16"/>
      <c r="H119" s="14" t="str">
        <f>IF(OR($G119&lt;&gt;"liaison",$D119=""),"",$D119&amp;"#"&amp;COUNTIFS($D$2:$D119,$D119,$G$2:$G119,"liaison"))</f>
        <v/>
      </c>
    </row>
    <row r="120" spans="1:8" x14ac:dyDescent="0.2">
      <c r="A120" s="16"/>
      <c r="B120" s="16"/>
      <c r="C120" s="16"/>
      <c r="D120" s="16"/>
      <c r="E120" s="16"/>
      <c r="F120" s="16"/>
      <c r="G120" s="16"/>
      <c r="H120" s="14" t="str">
        <f>IF(OR($G120&lt;&gt;"liaison",$D120=""),"",$D120&amp;"#"&amp;COUNTIFS($D$2:$D120,$D120,$G$2:$G120,"liaison"))</f>
        <v/>
      </c>
    </row>
    <row r="121" spans="1:8" x14ac:dyDescent="0.2">
      <c r="A121" s="16"/>
      <c r="B121" s="16"/>
      <c r="C121" s="16"/>
      <c r="D121" s="16"/>
      <c r="E121" s="16"/>
      <c r="F121" s="16"/>
      <c r="G121" s="16"/>
      <c r="H121" s="14" t="str">
        <f>IF(OR($G121&lt;&gt;"liaison",$D121=""),"",$D121&amp;"#"&amp;COUNTIFS($D$2:$D121,$D121,$G$2:$G121,"liaison"))</f>
        <v/>
      </c>
    </row>
    <row r="122" spans="1:8" x14ac:dyDescent="0.2">
      <c r="A122" s="16"/>
      <c r="B122" s="16"/>
      <c r="C122" s="16"/>
      <c r="D122" s="16"/>
      <c r="E122" s="16"/>
      <c r="F122" s="16"/>
      <c r="G122" s="16"/>
      <c r="H122" s="14" t="str">
        <f>IF(OR($G122&lt;&gt;"liaison",$D122=""),"",$D122&amp;"#"&amp;COUNTIFS($D$2:$D122,$D122,$G$2:$G122,"liaison"))</f>
        <v/>
      </c>
    </row>
    <row r="123" spans="1:8" x14ac:dyDescent="0.2">
      <c r="A123" s="16"/>
      <c r="B123" s="16"/>
      <c r="C123" s="16"/>
      <c r="D123" s="16"/>
      <c r="E123" s="16"/>
      <c r="F123" s="16"/>
      <c r="G123" s="16"/>
      <c r="H123" s="14" t="str">
        <f>IF(OR($G123&lt;&gt;"liaison",$D123=""),"",$D123&amp;"#"&amp;COUNTIFS($D$2:$D123,$D123,$G$2:$G123,"liaison"))</f>
        <v/>
      </c>
    </row>
    <row r="124" spans="1:8" x14ac:dyDescent="0.2">
      <c r="A124" s="16"/>
      <c r="B124" s="16"/>
      <c r="C124" s="16"/>
      <c r="D124" s="16"/>
      <c r="E124" s="16"/>
      <c r="F124" s="16"/>
      <c r="G124" s="16"/>
      <c r="H124" s="14" t="str">
        <f>IF(OR($G124&lt;&gt;"liaison",$D124=""),"",$D124&amp;"#"&amp;COUNTIFS($D$2:$D124,$D124,$G$2:$G124,"liaison"))</f>
        <v/>
      </c>
    </row>
    <row r="125" spans="1:8" x14ac:dyDescent="0.2">
      <c r="A125" s="16"/>
      <c r="B125" s="16"/>
      <c r="C125" s="16"/>
      <c r="D125" s="16"/>
      <c r="E125" s="16"/>
      <c r="F125" s="16"/>
      <c r="G125" s="16"/>
      <c r="H125" s="14" t="str">
        <f>IF(OR($G125&lt;&gt;"liaison",$D125=""),"",$D125&amp;"#"&amp;COUNTIFS($D$2:$D125,$D125,$G$2:$G125,"liaison"))</f>
        <v/>
      </c>
    </row>
    <row r="126" spans="1:8" x14ac:dyDescent="0.2">
      <c r="A126" s="16"/>
      <c r="B126" s="16"/>
      <c r="C126" s="16"/>
      <c r="D126" s="16"/>
      <c r="E126" s="16"/>
      <c r="F126" s="16"/>
      <c r="G126" s="16"/>
      <c r="H126" s="14" t="str">
        <f>IF(OR($G126&lt;&gt;"liaison",$D126=""),"",$D126&amp;"#"&amp;COUNTIFS($D$2:$D126,$D126,$G$2:$G126,"liaison"))</f>
        <v/>
      </c>
    </row>
    <row r="127" spans="1:8" x14ac:dyDescent="0.2">
      <c r="A127" s="16"/>
      <c r="B127" s="16"/>
      <c r="C127" s="16"/>
      <c r="D127" s="16"/>
      <c r="E127" s="16"/>
      <c r="F127" s="16"/>
      <c r="G127" s="16"/>
      <c r="H127" s="14" t="str">
        <f>IF(OR($G127&lt;&gt;"liaison",$D127=""),"",$D127&amp;"#"&amp;COUNTIFS($D$2:$D127,$D127,$G$2:$G127,"liaison"))</f>
        <v/>
      </c>
    </row>
    <row r="128" spans="1:8" x14ac:dyDescent="0.2">
      <c r="A128" s="16"/>
      <c r="B128" s="16"/>
      <c r="C128" s="16"/>
      <c r="D128" s="16"/>
      <c r="E128" s="16"/>
      <c r="F128" s="16"/>
      <c r="G128" s="16"/>
      <c r="H128" s="14" t="str">
        <f>IF(OR($G128&lt;&gt;"liaison",$D128=""),"",$D128&amp;"#"&amp;COUNTIFS($D$2:$D128,$D128,$G$2:$G128,"liaison"))</f>
        <v/>
      </c>
    </row>
    <row r="129" spans="1:8" x14ac:dyDescent="0.2">
      <c r="A129" s="16"/>
      <c r="B129" s="16"/>
      <c r="C129" s="16"/>
      <c r="D129" s="16"/>
      <c r="E129" s="16"/>
      <c r="F129" s="16"/>
      <c r="G129" s="16"/>
      <c r="H129" s="14" t="str">
        <f>IF(OR($G129&lt;&gt;"liaison",$D129=""),"",$D129&amp;"#"&amp;COUNTIFS($D$2:$D129,$D129,$G$2:$G129,"liaison"))</f>
        <v/>
      </c>
    </row>
    <row r="130" spans="1:8" x14ac:dyDescent="0.2">
      <c r="A130" s="16"/>
      <c r="B130" s="16"/>
      <c r="C130" s="16"/>
      <c r="D130" s="16"/>
      <c r="E130" s="16"/>
      <c r="F130" s="16"/>
      <c r="G130" s="16"/>
      <c r="H130" s="14" t="str">
        <f>IF(OR($G130&lt;&gt;"liaison",$D130=""),"",$D130&amp;"#"&amp;COUNTIFS($D$2:$D130,$D130,$G$2:$G130,"liaison"))</f>
        <v/>
      </c>
    </row>
    <row r="131" spans="1:8" x14ac:dyDescent="0.2">
      <c r="A131" s="16"/>
      <c r="B131" s="16"/>
      <c r="C131" s="16"/>
      <c r="D131" s="16"/>
      <c r="E131" s="16"/>
      <c r="F131" s="16"/>
      <c r="G131" s="16"/>
      <c r="H131" s="14" t="str">
        <f>IF(OR($G131&lt;&gt;"liaison",$D131=""),"",$D131&amp;"#"&amp;COUNTIFS($D$2:$D131,$D131,$G$2:$G131,"liaison"))</f>
        <v/>
      </c>
    </row>
    <row r="132" spans="1:8" x14ac:dyDescent="0.2">
      <c r="A132" s="16"/>
      <c r="B132" s="16"/>
      <c r="C132" s="16"/>
      <c r="D132" s="16"/>
      <c r="E132" s="16"/>
      <c r="F132" s="16"/>
      <c r="G132" s="16"/>
      <c r="H132" s="14" t="str">
        <f>IF(OR($G132&lt;&gt;"liaison",$D132=""),"",$D132&amp;"#"&amp;COUNTIFS($D$2:$D132,$D132,$G$2:$G132,"liaison"))</f>
        <v/>
      </c>
    </row>
    <row r="133" spans="1:8" x14ac:dyDescent="0.2">
      <c r="A133" s="16"/>
      <c r="B133" s="16"/>
      <c r="C133" s="16"/>
      <c r="D133" s="16"/>
      <c r="E133" s="16"/>
      <c r="F133" s="16"/>
      <c r="G133" s="16"/>
      <c r="H133" s="14" t="str">
        <f>IF(OR($G133&lt;&gt;"liaison",$D133=""),"",$D133&amp;"#"&amp;COUNTIFS($D$2:$D133,$D133,$G$2:$G133,"liaison"))</f>
        <v/>
      </c>
    </row>
    <row r="134" spans="1:8" x14ac:dyDescent="0.2">
      <c r="A134" s="16"/>
      <c r="B134" s="16"/>
      <c r="C134" s="16"/>
      <c r="D134" s="16"/>
      <c r="E134" s="16"/>
      <c r="F134" s="16"/>
      <c r="G134" s="16"/>
      <c r="H134" s="14" t="str">
        <f>IF(OR($G134&lt;&gt;"liaison",$D134=""),"",$D134&amp;"#"&amp;COUNTIFS($D$2:$D134,$D134,$G$2:$G134,"liaison"))</f>
        <v/>
      </c>
    </row>
    <row r="135" spans="1:8" x14ac:dyDescent="0.2">
      <c r="A135" s="16"/>
      <c r="B135" s="16"/>
      <c r="C135" s="16"/>
      <c r="D135" s="16"/>
      <c r="E135" s="16"/>
      <c r="F135" s="16"/>
      <c r="G135" s="16"/>
      <c r="H135" s="14" t="str">
        <f>IF(OR($G135&lt;&gt;"liaison",$D135=""),"",$D135&amp;"#"&amp;COUNTIFS($D$2:$D135,$D135,$G$2:$G135,"liaison"))</f>
        <v/>
      </c>
    </row>
    <row r="136" spans="1:8" x14ac:dyDescent="0.2">
      <c r="A136" s="16"/>
      <c r="B136" s="16"/>
      <c r="C136" s="16"/>
      <c r="D136" s="16"/>
      <c r="E136" s="16"/>
      <c r="F136" s="16"/>
      <c r="G136" s="16"/>
      <c r="H136" s="14" t="str">
        <f>IF(OR($G136&lt;&gt;"liaison",$D136=""),"",$D136&amp;"#"&amp;COUNTIFS($D$2:$D136,$D136,$G$2:$G136,"liaison"))</f>
        <v/>
      </c>
    </row>
    <row r="137" spans="1:8" x14ac:dyDescent="0.2">
      <c r="A137" s="16"/>
      <c r="B137" s="16"/>
      <c r="C137" s="16"/>
      <c r="D137" s="16"/>
      <c r="E137" s="16"/>
      <c r="F137" s="16"/>
      <c r="G137" s="16"/>
      <c r="H137" s="14" t="str">
        <f>IF(OR($G137&lt;&gt;"liaison",$D137=""),"",$D137&amp;"#"&amp;COUNTIFS($D$2:$D137,$D137,$G$2:$G137,"liaison"))</f>
        <v/>
      </c>
    </row>
    <row r="138" spans="1:8" x14ac:dyDescent="0.2">
      <c r="A138" s="16"/>
      <c r="B138" s="16"/>
      <c r="C138" s="16"/>
      <c r="D138" s="16"/>
      <c r="E138" s="16"/>
      <c r="F138" s="16"/>
      <c r="G138" s="16"/>
      <c r="H138" s="14" t="str">
        <f>IF(OR($G138&lt;&gt;"liaison",$D138=""),"",$D138&amp;"#"&amp;COUNTIFS($D$2:$D138,$D138,$G$2:$G138,"liaison"))</f>
        <v/>
      </c>
    </row>
    <row r="139" spans="1:8" x14ac:dyDescent="0.2">
      <c r="A139" s="16"/>
      <c r="B139" s="16"/>
      <c r="C139" s="16"/>
      <c r="D139" s="16"/>
      <c r="E139" s="16"/>
      <c r="F139" s="16"/>
      <c r="G139" s="16"/>
      <c r="H139" s="14" t="str">
        <f>IF(OR($G139&lt;&gt;"liaison",$D139=""),"",$D139&amp;"#"&amp;COUNTIFS($D$2:$D139,$D139,$G$2:$G139,"liaison"))</f>
        <v/>
      </c>
    </row>
    <row r="140" spans="1:8" x14ac:dyDescent="0.2">
      <c r="A140" s="16"/>
      <c r="B140" s="16"/>
      <c r="C140" s="16"/>
      <c r="D140" s="16"/>
      <c r="E140" s="16"/>
      <c r="F140" s="16"/>
      <c r="G140" s="16"/>
      <c r="H140" s="14" t="str">
        <f>IF(OR($G140&lt;&gt;"liaison",$D140=""),"",$D140&amp;"#"&amp;COUNTIFS($D$2:$D140,$D140,$G$2:$G140,"liaison"))</f>
        <v/>
      </c>
    </row>
    <row r="141" spans="1:8" x14ac:dyDescent="0.2">
      <c r="A141" s="16"/>
      <c r="B141" s="16"/>
      <c r="C141" s="16"/>
      <c r="D141" s="16"/>
      <c r="E141" s="16"/>
      <c r="F141" s="16"/>
      <c r="G141" s="16"/>
      <c r="H141" s="14" t="str">
        <f>IF(OR($G141&lt;&gt;"liaison",$D141=""),"",$D141&amp;"#"&amp;COUNTIFS($D$2:$D141,$D141,$G$2:$G141,"liaison"))</f>
        <v/>
      </c>
    </row>
    <row r="142" spans="1:8" x14ac:dyDescent="0.2">
      <c r="A142" s="16"/>
      <c r="B142" s="16"/>
      <c r="C142" s="16"/>
      <c r="D142" s="16"/>
      <c r="E142" s="16"/>
      <c r="F142" s="16"/>
      <c r="G142" s="16"/>
      <c r="H142" s="14" t="str">
        <f>IF(OR($G142&lt;&gt;"liaison",$D142=""),"",$D142&amp;"#"&amp;COUNTIFS($D$2:$D142,$D142,$G$2:$G142,"liaison"))</f>
        <v/>
      </c>
    </row>
    <row r="143" spans="1:8" x14ac:dyDescent="0.2">
      <c r="A143" s="16"/>
      <c r="B143" s="16"/>
      <c r="C143" s="16"/>
      <c r="D143" s="16"/>
      <c r="E143" s="16"/>
      <c r="F143" s="16"/>
      <c r="G143" s="16"/>
      <c r="H143" s="14" t="str">
        <f>IF(OR($G143&lt;&gt;"liaison",$D143=""),"",$D143&amp;"#"&amp;COUNTIFS($D$2:$D143,$D143,$G$2:$G143,"liaison"))</f>
        <v/>
      </c>
    </row>
    <row r="144" spans="1:8" x14ac:dyDescent="0.2">
      <c r="A144" s="16"/>
      <c r="B144" s="16"/>
      <c r="C144" s="16"/>
      <c r="D144" s="16"/>
      <c r="E144" s="16"/>
      <c r="F144" s="16"/>
      <c r="G144" s="16"/>
      <c r="H144" s="14" t="str">
        <f>IF(OR($G144&lt;&gt;"liaison",$D144=""),"",$D144&amp;"#"&amp;COUNTIFS($D$2:$D144,$D144,$G$2:$G144,"liaison"))</f>
        <v/>
      </c>
    </row>
    <row r="145" spans="1:8" x14ac:dyDescent="0.2">
      <c r="A145" s="16"/>
      <c r="B145" s="16"/>
      <c r="C145" s="16"/>
      <c r="D145" s="16"/>
      <c r="E145" s="16"/>
      <c r="F145" s="16"/>
      <c r="G145" s="16"/>
      <c r="H145" s="14" t="str">
        <f>IF(OR($G145&lt;&gt;"liaison",$D145=""),"",$D145&amp;"#"&amp;COUNTIFS($D$2:$D145,$D145,$G$2:$G145,"liaison"))</f>
        <v/>
      </c>
    </row>
    <row r="146" spans="1:8" x14ac:dyDescent="0.2">
      <c r="A146" s="16"/>
      <c r="B146" s="16"/>
      <c r="C146" s="16"/>
      <c r="D146" s="16"/>
      <c r="E146" s="16"/>
      <c r="F146" s="16"/>
      <c r="G146" s="16"/>
      <c r="H146" s="14" t="str">
        <f>IF(OR($G146&lt;&gt;"liaison",$D146=""),"",$D146&amp;"#"&amp;COUNTIFS($D$2:$D146,$D146,$G$2:$G146,"liaison"))</f>
        <v/>
      </c>
    </row>
    <row r="147" spans="1:8" x14ac:dyDescent="0.2">
      <c r="A147" s="16"/>
      <c r="B147" s="16"/>
      <c r="C147" s="16"/>
      <c r="D147" s="16"/>
      <c r="E147" s="16"/>
      <c r="F147" s="16"/>
      <c r="G147" s="16"/>
      <c r="H147" s="14" t="str">
        <f>IF(OR($G147&lt;&gt;"liaison",$D147=""),"",$D147&amp;"#"&amp;COUNTIFS($D$2:$D147,$D147,$G$2:$G147,"liaison"))</f>
        <v/>
      </c>
    </row>
    <row r="148" spans="1:8" x14ac:dyDescent="0.2">
      <c r="A148" s="16"/>
      <c r="B148" s="16"/>
      <c r="C148" s="16"/>
      <c r="D148" s="16"/>
      <c r="E148" s="16"/>
      <c r="F148" s="16"/>
      <c r="G148" s="16"/>
      <c r="H148" s="14" t="str">
        <f>IF(OR($G148&lt;&gt;"liaison",$D148=""),"",$D148&amp;"#"&amp;COUNTIFS($D$2:$D148,$D148,$G$2:$G148,"liaison"))</f>
        <v/>
      </c>
    </row>
    <row r="149" spans="1:8" x14ac:dyDescent="0.2">
      <c r="A149" s="16"/>
      <c r="B149" s="16"/>
      <c r="C149" s="16"/>
      <c r="D149" s="16"/>
      <c r="E149" s="16"/>
      <c r="F149" s="16"/>
      <c r="G149" s="16"/>
      <c r="H149" s="14" t="str">
        <f>IF(OR($G149&lt;&gt;"liaison",$D149=""),"",$D149&amp;"#"&amp;COUNTIFS($D$2:$D149,$D149,$G$2:$G149,"liaison"))</f>
        <v/>
      </c>
    </row>
    <row r="150" spans="1:8" x14ac:dyDescent="0.2">
      <c r="A150" s="16"/>
      <c r="B150" s="16"/>
      <c r="C150" s="16"/>
      <c r="D150" s="16"/>
      <c r="E150" s="16"/>
      <c r="F150" s="16"/>
      <c r="G150" s="16"/>
      <c r="H150" s="14" t="str">
        <f>IF(OR($G150&lt;&gt;"liaison",$D150=""),"",$D150&amp;"#"&amp;COUNTIFS($D$2:$D150,$D150,$G$2:$G150,"liaison"))</f>
        <v/>
      </c>
    </row>
    <row r="151" spans="1:8" x14ac:dyDescent="0.2">
      <c r="A151" s="16"/>
      <c r="B151" s="16"/>
      <c r="C151" s="16"/>
      <c r="D151" s="16"/>
      <c r="E151" s="16"/>
      <c r="F151" s="16"/>
      <c r="G151" s="16"/>
      <c r="H151" s="14" t="str">
        <f>IF(OR($G151&lt;&gt;"liaison",$D151=""),"",$D151&amp;"#"&amp;COUNTIFS($D$2:$D151,$D151,$G$2:$G151,"liaison"))</f>
        <v/>
      </c>
    </row>
    <row r="152" spans="1:8" x14ac:dyDescent="0.2">
      <c r="A152" s="16"/>
      <c r="B152" s="16"/>
      <c r="C152" s="16"/>
      <c r="D152" s="16"/>
      <c r="E152" s="16"/>
      <c r="F152" s="16"/>
      <c r="G152" s="16"/>
      <c r="H152" s="14" t="str">
        <f>IF(OR($G152&lt;&gt;"liaison",$D152=""),"",$D152&amp;"#"&amp;COUNTIFS($D$2:$D152,$D152,$G$2:$G152,"liaison"))</f>
        <v/>
      </c>
    </row>
    <row r="153" spans="1:8" x14ac:dyDescent="0.2">
      <c r="A153" s="16"/>
      <c r="B153" s="16"/>
      <c r="C153" s="16"/>
      <c r="D153" s="16"/>
      <c r="E153" s="16"/>
      <c r="F153" s="16"/>
      <c r="G153" s="16"/>
      <c r="H153" s="14" t="str">
        <f>IF(OR($G153&lt;&gt;"liaison",$D153=""),"",$D153&amp;"#"&amp;COUNTIFS($D$2:$D153,$D153,$G$2:$G153,"liaison"))</f>
        <v/>
      </c>
    </row>
    <row r="154" spans="1:8" x14ac:dyDescent="0.2">
      <c r="A154" s="16"/>
      <c r="B154" s="16"/>
      <c r="C154" s="16"/>
      <c r="D154" s="16"/>
      <c r="E154" s="16"/>
      <c r="F154" s="16"/>
      <c r="G154" s="16"/>
      <c r="H154" s="14" t="str">
        <f>IF(OR($G154&lt;&gt;"liaison",$D154=""),"",$D154&amp;"#"&amp;COUNTIFS($D$2:$D154,$D154,$G$2:$G154,"liaison"))</f>
        <v/>
      </c>
    </row>
    <row r="155" spans="1:8" x14ac:dyDescent="0.2">
      <c r="A155" s="16"/>
      <c r="B155" s="16"/>
      <c r="C155" s="16"/>
      <c r="D155" s="16"/>
      <c r="E155" s="16"/>
      <c r="F155" s="16"/>
      <c r="G155" s="16"/>
      <c r="H155" s="14" t="str">
        <f>IF(OR($G155&lt;&gt;"liaison",$D155=""),"",$D155&amp;"#"&amp;COUNTIFS($D$2:$D155,$D155,$G$2:$G155,"liaison"))</f>
        <v/>
      </c>
    </row>
    <row r="156" spans="1:8" x14ac:dyDescent="0.2">
      <c r="A156" s="16"/>
      <c r="B156" s="16"/>
      <c r="C156" s="16"/>
      <c r="D156" s="16"/>
      <c r="E156" s="16"/>
      <c r="F156" s="16"/>
      <c r="G156" s="16"/>
      <c r="H156" s="14" t="str">
        <f>IF(OR($G156&lt;&gt;"liaison",$D156=""),"",$D156&amp;"#"&amp;COUNTIFS($D$2:$D156,$D156,$G$2:$G156,"liaison"))</f>
        <v/>
      </c>
    </row>
    <row r="157" spans="1:8" x14ac:dyDescent="0.2">
      <c r="A157" s="16"/>
      <c r="B157" s="16"/>
      <c r="C157" s="16"/>
      <c r="D157" s="16"/>
      <c r="E157" s="16"/>
      <c r="F157" s="16"/>
      <c r="G157" s="16"/>
      <c r="H157" s="14" t="str">
        <f>IF(OR($G157&lt;&gt;"liaison",$D157=""),"",$D157&amp;"#"&amp;COUNTIFS($D$2:$D157,$D157,$G$2:$G157,"liaison"))</f>
        <v/>
      </c>
    </row>
    <row r="158" spans="1:8" x14ac:dyDescent="0.2">
      <c r="A158" s="16"/>
      <c r="B158" s="16"/>
      <c r="C158" s="16"/>
      <c r="D158" s="16"/>
      <c r="E158" s="16"/>
      <c r="F158" s="16"/>
      <c r="G158" s="16"/>
      <c r="H158" s="14" t="str">
        <f>IF(OR($G158&lt;&gt;"liaison",$D158=""),"",$D158&amp;"#"&amp;COUNTIFS($D$2:$D158,$D158,$G$2:$G158,"liaison"))</f>
        <v/>
      </c>
    </row>
    <row r="159" spans="1:8" x14ac:dyDescent="0.2">
      <c r="A159" s="16"/>
      <c r="B159" s="16"/>
      <c r="C159" s="16"/>
      <c r="D159" s="16"/>
      <c r="E159" s="16"/>
      <c r="F159" s="16"/>
      <c r="G159" s="16"/>
      <c r="H159" s="14" t="str">
        <f>IF(OR($G159&lt;&gt;"liaison",$D159=""),"",$D159&amp;"#"&amp;COUNTIFS($D$2:$D159,$D159,$G$2:$G159,"liaison"))</f>
        <v/>
      </c>
    </row>
    <row r="160" spans="1:8" x14ac:dyDescent="0.2">
      <c r="A160" s="16"/>
      <c r="B160" s="16"/>
      <c r="C160" s="16"/>
      <c r="D160" s="16"/>
      <c r="E160" s="16"/>
      <c r="F160" s="16"/>
      <c r="G160" s="16"/>
      <c r="H160" s="14" t="str">
        <f>IF(OR($G160&lt;&gt;"liaison",$D160=""),"",$D160&amp;"#"&amp;COUNTIFS($D$2:$D160,$D160,$G$2:$G160,"liaison"))</f>
        <v/>
      </c>
    </row>
    <row r="161" spans="1:8" x14ac:dyDescent="0.2">
      <c r="A161" s="16"/>
      <c r="B161" s="16"/>
      <c r="C161" s="16"/>
      <c r="D161" s="16"/>
      <c r="E161" s="16"/>
      <c r="F161" s="16"/>
      <c r="G161" s="16"/>
      <c r="H161" s="14" t="str">
        <f>IF(OR($G161&lt;&gt;"liaison",$D161=""),"",$D161&amp;"#"&amp;COUNTIFS($D$2:$D161,$D161,$G$2:$G161,"liaison"))</f>
        <v/>
      </c>
    </row>
    <row r="162" spans="1:8" x14ac:dyDescent="0.2">
      <c r="A162" s="16"/>
      <c r="B162" s="16"/>
      <c r="C162" s="16"/>
      <c r="D162" s="16"/>
      <c r="E162" s="16"/>
      <c r="F162" s="16"/>
      <c r="G162" s="16"/>
      <c r="H162" s="14" t="str">
        <f>IF(OR($G162&lt;&gt;"liaison",$D162=""),"",$D162&amp;"#"&amp;COUNTIFS($D$2:$D162,$D162,$G$2:$G162,"liaison"))</f>
        <v/>
      </c>
    </row>
    <row r="163" spans="1:8" x14ac:dyDescent="0.2">
      <c r="A163" s="16"/>
      <c r="B163" s="16"/>
      <c r="C163" s="16"/>
      <c r="D163" s="16"/>
      <c r="E163" s="16"/>
      <c r="F163" s="16"/>
      <c r="G163" s="16"/>
      <c r="H163" s="14" t="str">
        <f>IF(OR($G163&lt;&gt;"liaison",$D163=""),"",$D163&amp;"#"&amp;COUNTIFS($D$2:$D163,$D163,$G$2:$G163,"liaison"))</f>
        <v/>
      </c>
    </row>
    <row r="164" spans="1:8" x14ac:dyDescent="0.2">
      <c r="A164" s="16"/>
      <c r="B164" s="16"/>
      <c r="C164" s="16"/>
      <c r="D164" s="16"/>
      <c r="E164" s="16"/>
      <c r="F164" s="16"/>
      <c r="G164" s="16"/>
      <c r="H164" s="14" t="str">
        <f>IF(OR($G164&lt;&gt;"liaison",$D164=""),"",$D164&amp;"#"&amp;COUNTIFS($D$2:$D164,$D164,$G$2:$G164,"liaison"))</f>
        <v/>
      </c>
    </row>
    <row r="165" spans="1:8" x14ac:dyDescent="0.2">
      <c r="A165" s="16"/>
      <c r="B165" s="16"/>
      <c r="C165" s="16"/>
      <c r="D165" s="16"/>
      <c r="E165" s="16"/>
      <c r="F165" s="16"/>
      <c r="G165" s="16"/>
      <c r="H165" s="14" t="str">
        <f>IF(OR($G165&lt;&gt;"liaison",$D165=""),"",$D165&amp;"#"&amp;COUNTIFS($D$2:$D165,$D165,$G$2:$G165,"liaison"))</f>
        <v/>
      </c>
    </row>
    <row r="166" spans="1:8" x14ac:dyDescent="0.2">
      <c r="A166" s="16"/>
      <c r="B166" s="16"/>
      <c r="C166" s="16"/>
      <c r="D166" s="16"/>
      <c r="E166" s="16"/>
      <c r="F166" s="16"/>
      <c r="G166" s="16"/>
      <c r="H166" s="14" t="str">
        <f>IF(OR($G166&lt;&gt;"liaison",$D166=""),"",$D166&amp;"#"&amp;COUNTIFS($D$2:$D166,$D166,$G$2:$G166,"liaison"))</f>
        <v/>
      </c>
    </row>
    <row r="167" spans="1:8" x14ac:dyDescent="0.2">
      <c r="A167" s="16"/>
      <c r="B167" s="16"/>
      <c r="C167" s="16"/>
      <c r="D167" s="16"/>
      <c r="E167" s="16"/>
      <c r="F167" s="16"/>
      <c r="G167" s="16"/>
      <c r="H167" s="14" t="str">
        <f>IF(OR($G167&lt;&gt;"liaison",$D167=""),"",$D167&amp;"#"&amp;COUNTIFS($D$2:$D167,$D167,$G$2:$G167,"liaison"))</f>
        <v/>
      </c>
    </row>
    <row r="168" spans="1:8" x14ac:dyDescent="0.2">
      <c r="A168" s="16"/>
      <c r="B168" s="16"/>
      <c r="C168" s="16"/>
      <c r="D168" s="16"/>
      <c r="E168" s="16"/>
      <c r="F168" s="16"/>
      <c r="G168" s="16"/>
      <c r="H168" s="14" t="str">
        <f>IF(OR($G168&lt;&gt;"liaison",$D168=""),"",$D168&amp;"#"&amp;COUNTIFS($D$2:$D168,$D168,$G$2:$G168,"liaison"))</f>
        <v/>
      </c>
    </row>
    <row r="169" spans="1:8" x14ac:dyDescent="0.2">
      <c r="A169" s="16"/>
      <c r="B169" s="16"/>
      <c r="C169" s="16"/>
      <c r="D169" s="16"/>
      <c r="E169" s="16"/>
      <c r="F169" s="16"/>
      <c r="G169" s="16"/>
      <c r="H169" s="14" t="str">
        <f>IF(OR($G169&lt;&gt;"liaison",$D169=""),"",$D169&amp;"#"&amp;COUNTIFS($D$2:$D169,$D169,$G$2:$G169,"liaison"))</f>
        <v/>
      </c>
    </row>
    <row r="170" spans="1:8" x14ac:dyDescent="0.2">
      <c r="A170" s="16"/>
      <c r="B170" s="16"/>
      <c r="C170" s="16"/>
      <c r="D170" s="16"/>
      <c r="E170" s="16"/>
      <c r="F170" s="16"/>
      <c r="G170" s="16"/>
      <c r="H170" s="14" t="str">
        <f>IF(OR($G170&lt;&gt;"liaison",$D170=""),"",$D170&amp;"#"&amp;COUNTIFS($D$2:$D170,$D170,$G$2:$G170,"liaison"))</f>
        <v/>
      </c>
    </row>
    <row r="171" spans="1:8" x14ac:dyDescent="0.2">
      <c r="A171" s="16"/>
      <c r="B171" s="16"/>
      <c r="C171" s="16"/>
      <c r="D171" s="16"/>
      <c r="E171" s="16"/>
      <c r="F171" s="16"/>
      <c r="G171" s="16"/>
      <c r="H171" s="14" t="str">
        <f>IF(OR($G171&lt;&gt;"liaison",$D171=""),"",$D171&amp;"#"&amp;COUNTIFS($D$2:$D171,$D171,$G$2:$G171,"liaison"))</f>
        <v/>
      </c>
    </row>
    <row r="172" spans="1:8" x14ac:dyDescent="0.2">
      <c r="A172" s="16"/>
      <c r="B172" s="16"/>
      <c r="C172" s="16"/>
      <c r="D172" s="16"/>
      <c r="E172" s="16"/>
      <c r="F172" s="16"/>
      <c r="G172" s="16"/>
      <c r="H172" s="14" t="str">
        <f>IF(OR($G172&lt;&gt;"liaison",$D172=""),"",$D172&amp;"#"&amp;COUNTIFS($D$2:$D172,$D172,$G$2:$G172,"liaison"))</f>
        <v/>
      </c>
    </row>
    <row r="173" spans="1:8" x14ac:dyDescent="0.2">
      <c r="A173" s="16"/>
      <c r="B173" s="16"/>
      <c r="C173" s="16"/>
      <c r="D173" s="16"/>
      <c r="E173" s="16"/>
      <c r="F173" s="16"/>
      <c r="G173" s="16"/>
      <c r="H173" s="14" t="str">
        <f>IF(OR($G173&lt;&gt;"liaison",$D173=""),"",$D173&amp;"#"&amp;COUNTIFS($D$2:$D173,$D173,$G$2:$G173,"liaison"))</f>
        <v/>
      </c>
    </row>
    <row r="174" spans="1:8" x14ac:dyDescent="0.2">
      <c r="A174" s="16"/>
      <c r="B174" s="16"/>
      <c r="C174" s="16"/>
      <c r="D174" s="16"/>
      <c r="E174" s="16"/>
      <c r="F174" s="16"/>
      <c r="G174" s="16"/>
      <c r="H174" s="14" t="str">
        <f>IF(OR($G174&lt;&gt;"liaison",$D174=""),"",$D174&amp;"#"&amp;COUNTIFS($D$2:$D174,$D174,$G$2:$G174,"liaison"))</f>
        <v/>
      </c>
    </row>
    <row r="175" spans="1:8" x14ac:dyDescent="0.2">
      <c r="A175" s="16"/>
      <c r="B175" s="16"/>
      <c r="C175" s="16"/>
      <c r="D175" s="16"/>
      <c r="E175" s="16"/>
      <c r="F175" s="16"/>
      <c r="G175" s="16"/>
      <c r="H175" s="14" t="str">
        <f>IF(OR($G175&lt;&gt;"liaison",$D175=""),"",$D175&amp;"#"&amp;COUNTIFS($D$2:$D175,$D175,$G$2:$G175,"liaison"))</f>
        <v/>
      </c>
    </row>
    <row r="176" spans="1:8" x14ac:dyDescent="0.2">
      <c r="A176" s="16"/>
      <c r="B176" s="16"/>
      <c r="C176" s="16"/>
      <c r="D176" s="16"/>
      <c r="E176" s="16"/>
      <c r="F176" s="16"/>
      <c r="G176" s="16"/>
      <c r="H176" s="14" t="str">
        <f>IF(OR($G176&lt;&gt;"liaison",$D176=""),"",$D176&amp;"#"&amp;COUNTIFS($D$2:$D176,$D176,$G$2:$G176,"liaison"))</f>
        <v/>
      </c>
    </row>
    <row r="177" spans="1:8" x14ac:dyDescent="0.2">
      <c r="A177" s="16"/>
      <c r="B177" s="16"/>
      <c r="C177" s="16"/>
      <c r="D177" s="16"/>
      <c r="E177" s="16"/>
      <c r="F177" s="16"/>
      <c r="G177" s="16"/>
      <c r="H177" s="14" t="str">
        <f>IF(OR($G177&lt;&gt;"liaison",$D177=""),"",$D177&amp;"#"&amp;COUNTIFS($D$2:$D177,$D177,$G$2:$G177,"liaison"))</f>
        <v/>
      </c>
    </row>
    <row r="178" spans="1:8" x14ac:dyDescent="0.2">
      <c r="A178" s="16"/>
      <c r="B178" s="16"/>
      <c r="C178" s="16"/>
      <c r="D178" s="16"/>
      <c r="E178" s="16"/>
      <c r="F178" s="16"/>
      <c r="G178" s="16"/>
      <c r="H178" s="14" t="str">
        <f>IF(OR($G178&lt;&gt;"liaison",$D178=""),"",$D178&amp;"#"&amp;COUNTIFS($D$2:$D178,$D178,$G$2:$G178,"liaison"))</f>
        <v/>
      </c>
    </row>
    <row r="179" spans="1:8" x14ac:dyDescent="0.2">
      <c r="A179" s="16"/>
      <c r="B179" s="16"/>
      <c r="C179" s="16"/>
      <c r="D179" s="16"/>
      <c r="E179" s="16"/>
      <c r="F179" s="16"/>
      <c r="G179" s="16"/>
      <c r="H179" s="14" t="str">
        <f>IF(OR($G179&lt;&gt;"liaison",$D179=""),"",$D179&amp;"#"&amp;COUNTIFS($D$2:$D179,$D179,$G$2:$G179,"liaison"))</f>
        <v/>
      </c>
    </row>
    <row r="180" spans="1:8" x14ac:dyDescent="0.2">
      <c r="A180" s="16"/>
      <c r="B180" s="16"/>
      <c r="C180" s="16"/>
      <c r="D180" s="16"/>
      <c r="E180" s="16"/>
      <c r="F180" s="16"/>
      <c r="G180" s="16"/>
      <c r="H180" s="14" t="str">
        <f>IF(OR($G180&lt;&gt;"liaison",$D180=""),"",$D180&amp;"#"&amp;COUNTIFS($D$2:$D180,$D180,$G$2:$G180,"liaison"))</f>
        <v/>
      </c>
    </row>
    <row r="181" spans="1:8" x14ac:dyDescent="0.2">
      <c r="A181" s="16"/>
      <c r="B181" s="16"/>
      <c r="C181" s="16"/>
      <c r="D181" s="16"/>
      <c r="E181" s="16"/>
      <c r="F181" s="16"/>
      <c r="G181" s="16"/>
      <c r="H181" s="14" t="str">
        <f>IF(OR($G181&lt;&gt;"liaison",$D181=""),"",$D181&amp;"#"&amp;COUNTIFS($D$2:$D181,$D181,$G$2:$G181,"liaison"))</f>
        <v/>
      </c>
    </row>
    <row r="182" spans="1:8" x14ac:dyDescent="0.2">
      <c r="A182" s="16"/>
      <c r="B182" s="16"/>
      <c r="C182" s="16"/>
      <c r="D182" s="16"/>
      <c r="E182" s="16"/>
      <c r="F182" s="16"/>
      <c r="G182" s="16"/>
      <c r="H182" s="14" t="str">
        <f>IF(OR($G182&lt;&gt;"liaison",$D182=""),"",$D182&amp;"#"&amp;COUNTIFS($D$2:$D182,$D182,$G$2:$G182,"liaison"))</f>
        <v/>
      </c>
    </row>
    <row r="183" spans="1:8" x14ac:dyDescent="0.2">
      <c r="A183" s="16"/>
      <c r="B183" s="16"/>
      <c r="C183" s="16"/>
      <c r="D183" s="16"/>
      <c r="E183" s="16"/>
      <c r="F183" s="16"/>
      <c r="G183" s="16"/>
      <c r="H183" s="14" t="str">
        <f>IF(OR($G183&lt;&gt;"liaison",$D183=""),"",$D183&amp;"#"&amp;COUNTIFS($D$2:$D183,$D183,$G$2:$G183,"liaison"))</f>
        <v/>
      </c>
    </row>
    <row r="184" spans="1:8" x14ac:dyDescent="0.2">
      <c r="A184" s="16"/>
      <c r="B184" s="16"/>
      <c r="C184" s="16"/>
      <c r="D184" s="16"/>
      <c r="E184" s="16"/>
      <c r="F184" s="16"/>
      <c r="G184" s="16"/>
      <c r="H184" s="14" t="str">
        <f>IF(OR($G184&lt;&gt;"liaison",$D184=""),"",$D184&amp;"#"&amp;COUNTIFS($D$2:$D184,$D184,$G$2:$G184,"liaison"))</f>
        <v/>
      </c>
    </row>
    <row r="185" spans="1:8" x14ac:dyDescent="0.2">
      <c r="A185" s="16"/>
      <c r="B185" s="16"/>
      <c r="C185" s="16"/>
      <c r="D185" s="16"/>
      <c r="E185" s="16"/>
      <c r="F185" s="16"/>
      <c r="G185" s="16"/>
      <c r="H185" s="14" t="str">
        <f>IF(OR($G185&lt;&gt;"liaison",$D185=""),"",$D185&amp;"#"&amp;COUNTIFS($D$2:$D185,$D185,$G$2:$G185,"liaison"))</f>
        <v/>
      </c>
    </row>
    <row r="186" spans="1:8" x14ac:dyDescent="0.2">
      <c r="A186" s="16"/>
      <c r="B186" s="16"/>
      <c r="C186" s="16"/>
      <c r="D186" s="16"/>
      <c r="E186" s="16"/>
      <c r="F186" s="16"/>
      <c r="G186" s="16"/>
      <c r="H186" s="14" t="str">
        <f>IF(OR($G186&lt;&gt;"liaison",$D186=""),"",$D186&amp;"#"&amp;COUNTIFS($D$2:$D186,$D186,$G$2:$G186,"liaison"))</f>
        <v/>
      </c>
    </row>
    <row r="187" spans="1:8" x14ac:dyDescent="0.2">
      <c r="A187" s="16"/>
      <c r="B187" s="16"/>
      <c r="C187" s="16"/>
      <c r="D187" s="16"/>
      <c r="E187" s="16"/>
      <c r="F187" s="16"/>
      <c r="G187" s="16"/>
      <c r="H187" s="14" t="str">
        <f>IF(OR($G187&lt;&gt;"liaison",$D187=""),"",$D187&amp;"#"&amp;COUNTIFS($D$2:$D187,$D187,$G$2:$G187,"liaison"))</f>
        <v/>
      </c>
    </row>
    <row r="188" spans="1:8" x14ac:dyDescent="0.2">
      <c r="A188" s="16"/>
      <c r="B188" s="16"/>
      <c r="C188" s="16"/>
      <c r="D188" s="16"/>
      <c r="E188" s="16"/>
      <c r="F188" s="16"/>
      <c r="G188" s="16"/>
      <c r="H188" s="14" t="str">
        <f>IF(OR($G188&lt;&gt;"liaison",$D188=""),"",$D188&amp;"#"&amp;COUNTIFS($D$2:$D188,$D188,$G$2:$G188,"liaison"))</f>
        <v/>
      </c>
    </row>
    <row r="189" spans="1:8" x14ac:dyDescent="0.2">
      <c r="A189" s="16"/>
      <c r="B189" s="16"/>
      <c r="C189" s="16"/>
      <c r="D189" s="16"/>
      <c r="E189" s="16"/>
      <c r="F189" s="16"/>
      <c r="G189" s="16"/>
      <c r="H189" s="14" t="str">
        <f>IF(OR($G189&lt;&gt;"liaison",$D189=""),"",$D189&amp;"#"&amp;COUNTIFS($D$2:$D189,$D189,$G$2:$G189,"liaison"))</f>
        <v/>
      </c>
    </row>
    <row r="190" spans="1:8" x14ac:dyDescent="0.2">
      <c r="A190" s="16"/>
      <c r="B190" s="16"/>
      <c r="C190" s="16"/>
      <c r="D190" s="16"/>
      <c r="E190" s="16"/>
      <c r="F190" s="16"/>
      <c r="G190" s="16"/>
      <c r="H190" s="14" t="str">
        <f>IF(OR($G190&lt;&gt;"liaison",$D190=""),"",$D190&amp;"#"&amp;COUNTIFS($D$2:$D190,$D190,$G$2:$G190,"liaison"))</f>
        <v/>
      </c>
    </row>
    <row r="191" spans="1:8" x14ac:dyDescent="0.2">
      <c r="A191" s="16"/>
      <c r="B191" s="16"/>
      <c r="C191" s="16"/>
      <c r="D191" s="16"/>
      <c r="E191" s="16"/>
      <c r="F191" s="16"/>
      <c r="G191" s="16"/>
      <c r="H191" s="14" t="str">
        <f>IF(OR($G191&lt;&gt;"liaison",$D191=""),"",$D191&amp;"#"&amp;COUNTIFS($D$2:$D191,$D191,$G$2:$G191,"liaison"))</f>
        <v/>
      </c>
    </row>
    <row r="192" spans="1:8" x14ac:dyDescent="0.2">
      <c r="A192" s="16"/>
      <c r="B192" s="16"/>
      <c r="C192" s="16"/>
      <c r="D192" s="16"/>
      <c r="E192" s="16"/>
      <c r="F192" s="16"/>
      <c r="G192" s="16"/>
      <c r="H192" s="14" t="str">
        <f>IF(OR($G192&lt;&gt;"liaison",$D192=""),"",$D192&amp;"#"&amp;COUNTIFS($D$2:$D192,$D192,$G$2:$G192,"liaison"))</f>
        <v/>
      </c>
    </row>
    <row r="193" spans="1:8" x14ac:dyDescent="0.2">
      <c r="A193" s="16"/>
      <c r="B193" s="16"/>
      <c r="C193" s="16"/>
      <c r="D193" s="16"/>
      <c r="E193" s="16"/>
      <c r="F193" s="16"/>
      <c r="G193" s="16"/>
      <c r="H193" s="14" t="str">
        <f>IF(OR($G193&lt;&gt;"liaison",$D193=""),"",$D193&amp;"#"&amp;COUNTIFS($D$2:$D193,$D193,$G$2:$G193,"liaison"))</f>
        <v/>
      </c>
    </row>
    <row r="194" spans="1:8" x14ac:dyDescent="0.2">
      <c r="A194" s="16"/>
      <c r="B194" s="16"/>
      <c r="C194" s="16"/>
      <c r="D194" s="16"/>
      <c r="E194" s="16"/>
      <c r="F194" s="16"/>
      <c r="G194" s="16"/>
      <c r="H194" s="14" t="str">
        <f>IF(OR($G194&lt;&gt;"liaison",$D194=""),"",$D194&amp;"#"&amp;COUNTIFS($D$2:$D194,$D194,$G$2:$G194,"liaison"))</f>
        <v/>
      </c>
    </row>
    <row r="195" spans="1:8" x14ac:dyDescent="0.2">
      <c r="A195" s="16"/>
      <c r="B195" s="16"/>
      <c r="C195" s="16"/>
      <c r="D195" s="16"/>
      <c r="E195" s="16"/>
      <c r="F195" s="16"/>
      <c r="G195" s="16"/>
      <c r="H195" s="14" t="str">
        <f>IF(OR($G195&lt;&gt;"liaison",$D195=""),"",$D195&amp;"#"&amp;COUNTIFS($D$2:$D195,$D195,$G$2:$G195,"liaison"))</f>
        <v/>
      </c>
    </row>
    <row r="196" spans="1:8" x14ac:dyDescent="0.2">
      <c r="A196" s="16"/>
      <c r="B196" s="16"/>
      <c r="C196" s="16"/>
      <c r="D196" s="16"/>
      <c r="E196" s="16"/>
      <c r="F196" s="16"/>
      <c r="G196" s="16"/>
      <c r="H196" s="14" t="str">
        <f>IF(OR($G196&lt;&gt;"liaison",$D196=""),"",$D196&amp;"#"&amp;COUNTIFS($D$2:$D196,$D196,$G$2:$G196,"liaison"))</f>
        <v/>
      </c>
    </row>
    <row r="197" spans="1:8" x14ac:dyDescent="0.2">
      <c r="A197" s="16"/>
      <c r="B197" s="16"/>
      <c r="C197" s="16"/>
      <c r="D197" s="16"/>
      <c r="E197" s="16"/>
      <c r="F197" s="16"/>
      <c r="G197" s="16"/>
      <c r="H197" s="14" t="str">
        <f>IF(OR($G197&lt;&gt;"liaison",$D197=""),"",$D197&amp;"#"&amp;COUNTIFS($D$2:$D197,$D197,$G$2:$G197,"liaison"))</f>
        <v/>
      </c>
    </row>
    <row r="198" spans="1:8" x14ac:dyDescent="0.2">
      <c r="A198" s="16"/>
      <c r="B198" s="16"/>
      <c r="C198" s="16"/>
      <c r="D198" s="16"/>
      <c r="E198" s="16"/>
      <c r="F198" s="16"/>
      <c r="G198" s="16"/>
      <c r="H198" s="14" t="str">
        <f>IF(OR($G198&lt;&gt;"liaison",$D198=""),"",$D198&amp;"#"&amp;COUNTIFS($D$2:$D198,$D198,$G$2:$G198,"liaison"))</f>
        <v/>
      </c>
    </row>
    <row r="199" spans="1:8" x14ac:dyDescent="0.2">
      <c r="A199" s="16"/>
      <c r="B199" s="16"/>
      <c r="C199" s="16"/>
      <c r="D199" s="16"/>
      <c r="E199" s="16"/>
      <c r="F199" s="16"/>
      <c r="G199" s="16"/>
      <c r="H199" s="14" t="str">
        <f>IF(OR($G199&lt;&gt;"liaison",$D199=""),"",$D199&amp;"#"&amp;COUNTIFS($D$2:$D199,$D199,$G$2:$G199,"liaison"))</f>
        <v/>
      </c>
    </row>
    <row r="201" spans="1:8" x14ac:dyDescent="0.2">
      <c r="A201" s="17" t="s">
        <v>225</v>
      </c>
    </row>
    <row r="202" spans="1:8" x14ac:dyDescent="0.2">
      <c r="A202" s="17" t="s">
        <v>226</v>
      </c>
    </row>
  </sheetData>
  <dataValidations count="1">
    <dataValidation type="list" allowBlank="1" sqref="G2:G199" xr:uid="{00000000-0002-0000-0100-000000000000}">
      <formula1>"board,liaison,judge,videographer,ras rep,sponsor,volunteer"</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1000000}">
          <x14:formula1>
            <xm:f>Teams!$B$2:$B$9</xm:f>
          </x14:formula1>
          <xm:sqref>D2:D199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6" customWidth="1"/>
    <col min="3" max="3" width="10" customWidth="1"/>
    <col min="4" max="5" width="12" customWidth="1"/>
    <col min="6" max="6" width="30" customWidth="1"/>
    <col min="7" max="7" width="22" customWidth="1"/>
  </cols>
  <sheetData>
    <row r="1" spans="1:7" x14ac:dyDescent="0.2">
      <c r="A1" s="12" t="s">
        <v>184</v>
      </c>
      <c r="B1" s="12" t="s">
        <v>227</v>
      </c>
      <c r="C1" s="12" t="s">
        <v>228</v>
      </c>
      <c r="D1" s="12" t="s">
        <v>229</v>
      </c>
      <c r="E1" s="12" t="s">
        <v>230</v>
      </c>
      <c r="F1" s="12" t="s">
        <v>231</v>
      </c>
      <c r="G1" s="12" t="s">
        <v>232</v>
      </c>
    </row>
    <row r="2" spans="1:7" x14ac:dyDescent="0.2">
      <c r="A2" s="18" t="s">
        <v>233</v>
      </c>
      <c r="B2" s="18" t="s">
        <v>201</v>
      </c>
      <c r="C2" s="18" t="s">
        <v>234</v>
      </c>
      <c r="D2" s="19"/>
      <c r="E2" s="20" t="str">
        <f t="shared" ref="E2:E9" si="0">IF($D2="","",IF(COUNTIF($D$2:$D$9,$D2)&gt;1,"DUPLICATE","OK"))</f>
        <v/>
      </c>
      <c r="F2" s="21"/>
      <c r="G2" s="21"/>
    </row>
    <row r="3" spans="1:7" x14ac:dyDescent="0.2">
      <c r="A3" s="18" t="s">
        <v>235</v>
      </c>
      <c r="B3" s="18" t="s">
        <v>236</v>
      </c>
      <c r="C3" s="18" t="s">
        <v>237</v>
      </c>
      <c r="D3" s="19"/>
      <c r="E3" s="20" t="str">
        <f t="shared" si="0"/>
        <v/>
      </c>
      <c r="F3" s="21"/>
      <c r="G3" s="21"/>
    </row>
    <row r="4" spans="1:7" x14ac:dyDescent="0.2">
      <c r="A4" s="18" t="s">
        <v>238</v>
      </c>
      <c r="B4" s="18" t="s">
        <v>239</v>
      </c>
      <c r="C4" s="18" t="s">
        <v>240</v>
      </c>
      <c r="D4" s="19"/>
      <c r="E4" s="20" t="str">
        <f t="shared" si="0"/>
        <v/>
      </c>
      <c r="F4" s="21"/>
      <c r="G4" s="21"/>
    </row>
    <row r="5" spans="1:7" x14ac:dyDescent="0.2">
      <c r="A5" s="18" t="s">
        <v>241</v>
      </c>
      <c r="B5" s="18" t="s">
        <v>242</v>
      </c>
      <c r="C5" s="18" t="s">
        <v>243</v>
      </c>
      <c r="D5" s="19"/>
      <c r="E5" s="20" t="str">
        <f t="shared" si="0"/>
        <v/>
      </c>
      <c r="F5" s="21"/>
      <c r="G5" s="21"/>
    </row>
    <row r="6" spans="1:7" x14ac:dyDescent="0.2">
      <c r="A6" s="18" t="s">
        <v>244</v>
      </c>
      <c r="B6" s="18" t="s">
        <v>245</v>
      </c>
      <c r="C6" s="18" t="s">
        <v>246</v>
      </c>
      <c r="D6" s="19"/>
      <c r="E6" s="20" t="str">
        <f t="shared" si="0"/>
        <v/>
      </c>
      <c r="F6" s="21"/>
      <c r="G6" s="21"/>
    </row>
    <row r="7" spans="1:7" x14ac:dyDescent="0.2">
      <c r="A7" s="18" t="s">
        <v>247</v>
      </c>
      <c r="B7" s="18" t="s">
        <v>248</v>
      </c>
      <c r="C7" s="18" t="s">
        <v>249</v>
      </c>
      <c r="D7" s="19"/>
      <c r="E7" s="20" t="str">
        <f t="shared" si="0"/>
        <v/>
      </c>
      <c r="F7" s="21"/>
      <c r="G7" s="21"/>
    </row>
    <row r="8" spans="1:7" x14ac:dyDescent="0.2">
      <c r="A8" s="18" t="s">
        <v>250</v>
      </c>
      <c r="B8" s="18" t="s">
        <v>251</v>
      </c>
      <c r="C8" s="18" t="s">
        <v>252</v>
      </c>
      <c r="D8" s="19"/>
      <c r="E8" s="20" t="str">
        <f t="shared" si="0"/>
        <v/>
      </c>
      <c r="F8" s="21"/>
      <c r="G8" s="21"/>
    </row>
    <row r="9" spans="1:7" x14ac:dyDescent="0.2">
      <c r="A9" s="18" t="s">
        <v>253</v>
      </c>
      <c r="B9" s="18" t="s">
        <v>254</v>
      </c>
      <c r="C9" s="18" t="s">
        <v>255</v>
      </c>
      <c r="D9" s="19"/>
      <c r="E9" s="20" t="str">
        <f t="shared" si="0"/>
        <v/>
      </c>
      <c r="F9" s="21"/>
      <c r="G9" s="21"/>
    </row>
    <row r="11" spans="1:7" x14ac:dyDescent="0.2">
      <c r="A11" s="17" t="s">
        <v>256</v>
      </c>
    </row>
    <row r="12" spans="1:7" x14ac:dyDescent="0.2">
      <c r="A12" s="17" t="s">
        <v>257</v>
      </c>
    </row>
    <row r="13" spans="1:7" x14ac:dyDescent="0.2">
      <c r="A13" s="17" t="s">
        <v>258</v>
      </c>
    </row>
  </sheetData>
  <dataValidations count="1">
    <dataValidation type="whole" allowBlank="1" showErrorMessage="1" errorTitle="Invalid show order" error="Show Order must be a whole number from 1 to 8." sqref="D2:D9" xr:uid="{00000000-0002-0000-0200-000000000000}">
      <formula1>1</formula1>
      <formula2>8</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1"/>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18" customWidth="1"/>
    <col min="3" max="3" width="22" customWidth="1"/>
    <col min="4" max="4" width="16" customWidth="1"/>
    <col min="5" max="5" width="26" customWidth="1"/>
    <col min="6" max="6" width="10" customWidth="1"/>
    <col min="7" max="7" width="30" customWidth="1"/>
    <col min="8" max="8" width="12" customWidth="1"/>
  </cols>
  <sheetData>
    <row r="1" spans="1:8" x14ac:dyDescent="0.2">
      <c r="A1" s="12" t="s">
        <v>259</v>
      </c>
      <c r="B1" s="12" t="s">
        <v>260</v>
      </c>
      <c r="C1" s="12" t="s">
        <v>187</v>
      </c>
      <c r="D1" s="12" t="s">
        <v>188</v>
      </c>
      <c r="E1" s="12" t="s">
        <v>189</v>
      </c>
      <c r="F1" s="12" t="s">
        <v>261</v>
      </c>
      <c r="G1" s="12" t="s">
        <v>262</v>
      </c>
      <c r="H1" s="12" t="s">
        <v>263</v>
      </c>
    </row>
    <row r="2" spans="1:8" x14ac:dyDescent="0.2">
      <c r="A2" s="13" t="s">
        <v>264</v>
      </c>
      <c r="B2" s="13" t="s">
        <v>265</v>
      </c>
      <c r="C2" s="13" t="s">
        <v>201</v>
      </c>
      <c r="D2" s="13" t="s">
        <v>266</v>
      </c>
      <c r="E2" s="13" t="s">
        <v>267</v>
      </c>
      <c r="F2" s="13" t="s">
        <v>268</v>
      </c>
      <c r="G2" s="13" t="s">
        <v>269</v>
      </c>
      <c r="H2" s="13" t="s">
        <v>270</v>
      </c>
    </row>
    <row r="3" spans="1:8" x14ac:dyDescent="0.2">
      <c r="A3" s="15"/>
      <c r="B3" s="16"/>
      <c r="C3" s="16"/>
      <c r="D3" s="16"/>
      <c r="E3" s="16"/>
      <c r="F3" s="16"/>
      <c r="G3" s="16"/>
      <c r="H3" s="16"/>
    </row>
    <row r="4" spans="1:8" x14ac:dyDescent="0.2">
      <c r="A4" s="16"/>
      <c r="B4" s="16"/>
      <c r="C4" s="16"/>
      <c r="D4" s="16"/>
      <c r="E4" s="16"/>
      <c r="F4" s="16"/>
      <c r="G4" s="16"/>
      <c r="H4" s="16"/>
    </row>
    <row r="5" spans="1:8" x14ac:dyDescent="0.2">
      <c r="A5" s="16"/>
      <c r="B5" s="16"/>
      <c r="C5" s="16"/>
      <c r="D5" s="16"/>
      <c r="E5" s="16"/>
      <c r="F5" s="16"/>
      <c r="G5" s="16"/>
      <c r="H5" s="16"/>
    </row>
    <row r="6" spans="1:8" x14ac:dyDescent="0.2">
      <c r="A6" s="16"/>
      <c r="B6" s="16"/>
      <c r="C6" s="16"/>
      <c r="D6" s="16"/>
      <c r="E6" s="16"/>
      <c r="F6" s="16"/>
      <c r="G6" s="16"/>
      <c r="H6" s="16"/>
    </row>
    <row r="7" spans="1:8" x14ac:dyDescent="0.2">
      <c r="A7" s="16"/>
      <c r="B7" s="16"/>
      <c r="C7" s="16"/>
      <c r="D7" s="16"/>
      <c r="E7" s="16"/>
      <c r="F7" s="16"/>
      <c r="G7" s="16"/>
      <c r="H7" s="16"/>
    </row>
    <row r="8" spans="1:8" x14ac:dyDescent="0.2">
      <c r="A8" s="16"/>
      <c r="B8" s="16"/>
      <c r="C8" s="16"/>
      <c r="D8" s="16"/>
      <c r="E8" s="16"/>
      <c r="F8" s="16"/>
      <c r="G8" s="16"/>
      <c r="H8" s="16"/>
    </row>
    <row r="9" spans="1:8" x14ac:dyDescent="0.2">
      <c r="A9" s="16"/>
      <c r="B9" s="16"/>
      <c r="C9" s="16"/>
      <c r="D9" s="16"/>
      <c r="E9" s="16"/>
      <c r="F9" s="16"/>
      <c r="G9" s="16"/>
      <c r="H9" s="16"/>
    </row>
    <row r="10" spans="1:8" x14ac:dyDescent="0.2">
      <c r="A10" s="16"/>
      <c r="B10" s="16"/>
      <c r="C10" s="16"/>
      <c r="D10" s="16"/>
      <c r="E10" s="16"/>
      <c r="F10" s="16"/>
      <c r="G10" s="16"/>
      <c r="H10" s="16"/>
    </row>
    <row r="11" spans="1:8" x14ac:dyDescent="0.2">
      <c r="A11" s="16"/>
      <c r="B11" s="16"/>
      <c r="C11" s="16"/>
      <c r="D11" s="16"/>
      <c r="E11" s="16"/>
      <c r="F11" s="16"/>
      <c r="G11" s="16"/>
      <c r="H11" s="16"/>
    </row>
    <row r="12" spans="1:8" x14ac:dyDescent="0.2">
      <c r="A12" s="16"/>
      <c r="B12" s="16"/>
      <c r="C12" s="16"/>
      <c r="D12" s="16"/>
      <c r="E12" s="16"/>
      <c r="F12" s="16"/>
      <c r="G12" s="16"/>
      <c r="H12" s="16"/>
    </row>
    <row r="13" spans="1:8" x14ac:dyDescent="0.2">
      <c r="A13" s="16"/>
      <c r="B13" s="16"/>
      <c r="C13" s="16"/>
      <c r="D13" s="16"/>
      <c r="E13" s="16"/>
      <c r="F13" s="16"/>
      <c r="G13" s="16"/>
      <c r="H13" s="16"/>
    </row>
    <row r="14" spans="1:8" x14ac:dyDescent="0.2">
      <c r="A14" s="16"/>
      <c r="B14" s="16"/>
      <c r="C14" s="16"/>
      <c r="D14" s="16"/>
      <c r="E14" s="16"/>
      <c r="F14" s="16"/>
      <c r="G14" s="16"/>
      <c r="H14" s="16"/>
    </row>
    <row r="15" spans="1:8" x14ac:dyDescent="0.2">
      <c r="A15" s="16"/>
      <c r="B15" s="16"/>
      <c r="C15" s="16"/>
      <c r="D15" s="16"/>
      <c r="E15" s="16"/>
      <c r="F15" s="16"/>
      <c r="G15" s="16"/>
      <c r="H15" s="16"/>
    </row>
    <row r="16" spans="1:8" x14ac:dyDescent="0.2">
      <c r="A16" s="16"/>
      <c r="B16" s="16"/>
      <c r="C16" s="16"/>
      <c r="D16" s="16"/>
      <c r="E16" s="16"/>
      <c r="F16" s="16"/>
      <c r="G16" s="16"/>
      <c r="H16" s="16"/>
    </row>
    <row r="17" spans="1:8" x14ac:dyDescent="0.2">
      <c r="A17" s="16"/>
      <c r="B17" s="16"/>
      <c r="C17" s="16"/>
      <c r="D17" s="16"/>
      <c r="E17" s="16"/>
      <c r="F17" s="16"/>
      <c r="G17" s="16"/>
      <c r="H17" s="16"/>
    </row>
    <row r="18" spans="1:8" x14ac:dyDescent="0.2">
      <c r="A18" s="16"/>
      <c r="B18" s="16"/>
      <c r="C18" s="16"/>
      <c r="D18" s="16"/>
      <c r="E18" s="16"/>
      <c r="F18" s="16"/>
      <c r="G18" s="16"/>
      <c r="H18" s="16"/>
    </row>
    <row r="19" spans="1:8" x14ac:dyDescent="0.2">
      <c r="A19" s="16"/>
      <c r="B19" s="16"/>
      <c r="C19" s="16"/>
      <c r="D19" s="16"/>
      <c r="E19" s="16"/>
      <c r="F19" s="16"/>
      <c r="G19" s="16"/>
      <c r="H19" s="16"/>
    </row>
    <row r="20" spans="1:8" x14ac:dyDescent="0.2">
      <c r="A20" s="16"/>
      <c r="B20" s="16"/>
      <c r="C20" s="16"/>
      <c r="D20" s="16"/>
      <c r="E20" s="16"/>
      <c r="F20" s="16"/>
      <c r="G20" s="16"/>
      <c r="H20" s="16"/>
    </row>
    <row r="21" spans="1:8" x14ac:dyDescent="0.2">
      <c r="A21" s="16"/>
      <c r="B21" s="16"/>
      <c r="C21" s="16"/>
      <c r="D21" s="16"/>
      <c r="E21" s="16"/>
      <c r="F21" s="16"/>
      <c r="G21" s="16"/>
      <c r="H21" s="16"/>
    </row>
    <row r="22" spans="1:8" x14ac:dyDescent="0.2">
      <c r="A22" s="16"/>
      <c r="B22" s="16"/>
      <c r="C22" s="16"/>
      <c r="D22" s="16"/>
      <c r="E22" s="16"/>
      <c r="F22" s="16"/>
      <c r="G22" s="16"/>
      <c r="H22" s="16"/>
    </row>
    <row r="23" spans="1:8" x14ac:dyDescent="0.2">
      <c r="A23" s="16"/>
      <c r="B23" s="16"/>
      <c r="C23" s="16"/>
      <c r="D23" s="16"/>
      <c r="E23" s="16"/>
      <c r="F23" s="16"/>
      <c r="G23" s="16"/>
      <c r="H23" s="16"/>
    </row>
    <row r="24" spans="1:8" x14ac:dyDescent="0.2">
      <c r="A24" s="16"/>
      <c r="B24" s="16"/>
      <c r="C24" s="16"/>
      <c r="D24" s="16"/>
      <c r="E24" s="16"/>
      <c r="F24" s="16"/>
      <c r="G24" s="16"/>
      <c r="H24" s="16"/>
    </row>
    <row r="25" spans="1:8" x14ac:dyDescent="0.2">
      <c r="A25" s="16"/>
      <c r="B25" s="16"/>
      <c r="C25" s="16"/>
      <c r="D25" s="16"/>
      <c r="E25" s="16"/>
      <c r="F25" s="16"/>
      <c r="G25" s="16"/>
      <c r="H25" s="16"/>
    </row>
    <row r="26" spans="1:8" x14ac:dyDescent="0.2">
      <c r="A26" s="16"/>
      <c r="B26" s="16"/>
      <c r="C26" s="16"/>
      <c r="D26" s="16"/>
      <c r="E26" s="16"/>
      <c r="F26" s="16"/>
      <c r="G26" s="16"/>
      <c r="H26" s="16"/>
    </row>
    <row r="27" spans="1:8" x14ac:dyDescent="0.2">
      <c r="A27" s="16"/>
      <c r="B27" s="16"/>
      <c r="C27" s="16"/>
      <c r="D27" s="16"/>
      <c r="E27" s="16"/>
      <c r="F27" s="16"/>
      <c r="G27" s="16"/>
      <c r="H27" s="16"/>
    </row>
    <row r="28" spans="1:8" x14ac:dyDescent="0.2">
      <c r="A28" s="16"/>
      <c r="B28" s="16"/>
      <c r="C28" s="16"/>
      <c r="D28" s="16"/>
      <c r="E28" s="16"/>
      <c r="F28" s="16"/>
      <c r="G28" s="16"/>
      <c r="H28" s="16"/>
    </row>
    <row r="29" spans="1:8" x14ac:dyDescent="0.2">
      <c r="A29" s="16"/>
      <c r="B29" s="16"/>
      <c r="C29" s="16"/>
      <c r="D29" s="16"/>
      <c r="E29" s="16"/>
      <c r="F29" s="16"/>
      <c r="G29" s="16"/>
      <c r="H29" s="16"/>
    </row>
    <row r="30" spans="1:8" x14ac:dyDescent="0.2">
      <c r="A30" s="16"/>
      <c r="B30" s="16"/>
      <c r="C30" s="16"/>
      <c r="D30" s="16"/>
      <c r="E30" s="16"/>
      <c r="F30" s="16"/>
      <c r="G30" s="16"/>
      <c r="H30" s="16"/>
    </row>
    <row r="31" spans="1:8" x14ac:dyDescent="0.2">
      <c r="A31" s="16"/>
      <c r="B31" s="16"/>
      <c r="C31" s="16"/>
      <c r="D31" s="16"/>
      <c r="E31" s="16"/>
      <c r="F31" s="16"/>
      <c r="G31" s="16"/>
      <c r="H31" s="16"/>
    </row>
    <row r="32" spans="1:8" x14ac:dyDescent="0.2">
      <c r="A32" s="16"/>
      <c r="B32" s="16"/>
      <c r="C32" s="16"/>
      <c r="D32" s="16"/>
      <c r="E32" s="16"/>
      <c r="F32" s="16"/>
      <c r="G32" s="16"/>
      <c r="H32" s="16"/>
    </row>
    <row r="33" spans="1:8" x14ac:dyDescent="0.2">
      <c r="A33" s="16"/>
      <c r="B33" s="16"/>
      <c r="C33" s="16"/>
      <c r="D33" s="16"/>
      <c r="E33" s="16"/>
      <c r="F33" s="16"/>
      <c r="G33" s="16"/>
      <c r="H33" s="16"/>
    </row>
    <row r="34" spans="1:8" x14ac:dyDescent="0.2">
      <c r="A34" s="16"/>
      <c r="B34" s="16"/>
      <c r="C34" s="16"/>
      <c r="D34" s="16"/>
      <c r="E34" s="16"/>
      <c r="F34" s="16"/>
      <c r="G34" s="16"/>
      <c r="H34" s="16"/>
    </row>
    <row r="35" spans="1:8" x14ac:dyDescent="0.2">
      <c r="A35" s="16"/>
      <c r="B35" s="16"/>
      <c r="C35" s="16"/>
      <c r="D35" s="16"/>
      <c r="E35" s="16"/>
      <c r="F35" s="16"/>
      <c r="G35" s="16"/>
      <c r="H35" s="16"/>
    </row>
    <row r="36" spans="1:8" x14ac:dyDescent="0.2">
      <c r="A36" s="16"/>
      <c r="B36" s="16"/>
      <c r="C36" s="16"/>
      <c r="D36" s="16"/>
      <c r="E36" s="16"/>
      <c r="F36" s="16"/>
      <c r="G36" s="16"/>
      <c r="H36" s="16"/>
    </row>
    <row r="37" spans="1:8" x14ac:dyDescent="0.2">
      <c r="A37" s="16"/>
      <c r="B37" s="16"/>
      <c r="C37" s="16"/>
      <c r="D37" s="16"/>
      <c r="E37" s="16"/>
      <c r="F37" s="16"/>
      <c r="G37" s="16"/>
      <c r="H37" s="16"/>
    </row>
    <row r="38" spans="1:8" x14ac:dyDescent="0.2">
      <c r="A38" s="16"/>
      <c r="B38" s="16"/>
      <c r="C38" s="16"/>
      <c r="D38" s="16"/>
      <c r="E38" s="16"/>
      <c r="F38" s="16"/>
      <c r="G38" s="16"/>
      <c r="H38" s="16"/>
    </row>
    <row r="39" spans="1:8" x14ac:dyDescent="0.2">
      <c r="A39" s="16"/>
      <c r="B39" s="16"/>
      <c r="C39" s="16"/>
      <c r="D39" s="16"/>
      <c r="E39" s="16"/>
      <c r="F39" s="16"/>
      <c r="G39" s="16"/>
      <c r="H39" s="16"/>
    </row>
    <row r="40" spans="1:8" x14ac:dyDescent="0.2">
      <c r="A40" s="16"/>
      <c r="B40" s="16"/>
      <c r="C40" s="16"/>
      <c r="D40" s="16"/>
      <c r="E40" s="16"/>
      <c r="F40" s="16"/>
      <c r="G40" s="16"/>
      <c r="H40" s="16"/>
    </row>
    <row r="41" spans="1:8" x14ac:dyDescent="0.2">
      <c r="A41" s="16"/>
      <c r="B41" s="16"/>
      <c r="C41" s="16"/>
      <c r="D41" s="16"/>
      <c r="E41" s="16"/>
      <c r="F41" s="16"/>
      <c r="G41" s="16"/>
      <c r="H41" s="16"/>
    </row>
    <row r="42" spans="1:8" x14ac:dyDescent="0.2">
      <c r="A42" s="16"/>
      <c r="B42" s="16"/>
      <c r="C42" s="16"/>
      <c r="D42" s="16"/>
      <c r="E42" s="16"/>
      <c r="F42" s="16"/>
      <c r="G42" s="16"/>
      <c r="H42" s="16"/>
    </row>
    <row r="43" spans="1:8" x14ac:dyDescent="0.2">
      <c r="A43" s="16"/>
      <c r="B43" s="16"/>
      <c r="C43" s="16"/>
      <c r="D43" s="16"/>
      <c r="E43" s="16"/>
      <c r="F43" s="16"/>
      <c r="G43" s="16"/>
      <c r="H43" s="16"/>
    </row>
    <row r="44" spans="1:8" x14ac:dyDescent="0.2">
      <c r="A44" s="16"/>
      <c r="B44" s="16"/>
      <c r="C44" s="16"/>
      <c r="D44" s="16"/>
      <c r="E44" s="16"/>
      <c r="F44" s="16"/>
      <c r="G44" s="16"/>
      <c r="H44" s="16"/>
    </row>
    <row r="45" spans="1:8" x14ac:dyDescent="0.2">
      <c r="A45" s="16"/>
      <c r="B45" s="16"/>
      <c r="C45" s="16"/>
      <c r="D45" s="16"/>
      <c r="E45" s="16"/>
      <c r="F45" s="16"/>
      <c r="G45" s="16"/>
      <c r="H45" s="16"/>
    </row>
    <row r="46" spans="1:8" x14ac:dyDescent="0.2">
      <c r="A46" s="16"/>
      <c r="B46" s="16"/>
      <c r="C46" s="16"/>
      <c r="D46" s="16"/>
      <c r="E46" s="16"/>
      <c r="F46" s="16"/>
      <c r="G46" s="16"/>
      <c r="H46" s="16"/>
    </row>
    <row r="47" spans="1:8" x14ac:dyDescent="0.2">
      <c r="A47" s="16"/>
      <c r="B47" s="16"/>
      <c r="C47" s="16"/>
      <c r="D47" s="16"/>
      <c r="E47" s="16"/>
      <c r="F47" s="16"/>
      <c r="G47" s="16"/>
      <c r="H47" s="16"/>
    </row>
    <row r="48" spans="1:8" x14ac:dyDescent="0.2">
      <c r="A48" s="16"/>
      <c r="B48" s="16"/>
      <c r="C48" s="16"/>
      <c r="D48" s="16"/>
      <c r="E48" s="16"/>
      <c r="F48" s="16"/>
      <c r="G48" s="16"/>
      <c r="H48" s="16"/>
    </row>
    <row r="49" spans="1:8" x14ac:dyDescent="0.2">
      <c r="A49" s="16"/>
      <c r="B49" s="16"/>
      <c r="C49" s="16"/>
      <c r="D49" s="16"/>
      <c r="E49" s="16"/>
      <c r="F49" s="16"/>
      <c r="G49" s="16"/>
      <c r="H49" s="16"/>
    </row>
    <row r="50" spans="1:8" x14ac:dyDescent="0.2">
      <c r="A50" s="16"/>
      <c r="B50" s="16"/>
      <c r="C50" s="16"/>
      <c r="D50" s="16"/>
      <c r="E50" s="16"/>
      <c r="F50" s="16"/>
      <c r="G50" s="16"/>
      <c r="H50" s="16"/>
    </row>
    <row r="51" spans="1:8" x14ac:dyDescent="0.2">
      <c r="A51" s="16"/>
      <c r="B51" s="16"/>
      <c r="C51" s="16"/>
      <c r="D51" s="16"/>
      <c r="E51" s="16"/>
      <c r="F51" s="16"/>
      <c r="G51" s="16"/>
      <c r="H51" s="16"/>
    </row>
    <row r="52" spans="1:8" x14ac:dyDescent="0.2">
      <c r="A52" s="16"/>
      <c r="B52" s="16"/>
      <c r="C52" s="16"/>
      <c r="D52" s="16"/>
      <c r="E52" s="16"/>
      <c r="F52" s="16"/>
      <c r="G52" s="16"/>
      <c r="H52" s="16"/>
    </row>
    <row r="53" spans="1:8" x14ac:dyDescent="0.2">
      <c r="A53" s="16"/>
      <c r="B53" s="16"/>
      <c r="C53" s="16"/>
      <c r="D53" s="16"/>
      <c r="E53" s="16"/>
      <c r="F53" s="16"/>
      <c r="G53" s="16"/>
      <c r="H53" s="16"/>
    </row>
    <row r="54" spans="1:8" x14ac:dyDescent="0.2">
      <c r="A54" s="16"/>
      <c r="B54" s="16"/>
      <c r="C54" s="16"/>
      <c r="D54" s="16"/>
      <c r="E54" s="16"/>
      <c r="F54" s="16"/>
      <c r="G54" s="16"/>
      <c r="H54" s="16"/>
    </row>
    <row r="55" spans="1:8" x14ac:dyDescent="0.2">
      <c r="A55" s="16"/>
      <c r="B55" s="16"/>
      <c r="C55" s="16"/>
      <c r="D55" s="16"/>
      <c r="E55" s="16"/>
      <c r="F55" s="16"/>
      <c r="G55" s="16"/>
      <c r="H55" s="16"/>
    </row>
    <row r="56" spans="1:8" x14ac:dyDescent="0.2">
      <c r="A56" s="16"/>
      <c r="B56" s="16"/>
      <c r="C56" s="16"/>
      <c r="D56" s="16"/>
      <c r="E56" s="16"/>
      <c r="F56" s="16"/>
      <c r="G56" s="16"/>
      <c r="H56" s="16"/>
    </row>
    <row r="57" spans="1:8" x14ac:dyDescent="0.2">
      <c r="A57" s="16"/>
      <c r="B57" s="16"/>
      <c r="C57" s="16"/>
      <c r="D57" s="16"/>
      <c r="E57" s="16"/>
      <c r="F57" s="16"/>
      <c r="G57" s="16"/>
      <c r="H57" s="16"/>
    </row>
    <row r="58" spans="1:8" x14ac:dyDescent="0.2">
      <c r="A58" s="16"/>
      <c r="B58" s="16"/>
      <c r="C58" s="16"/>
      <c r="D58" s="16"/>
      <c r="E58" s="16"/>
      <c r="F58" s="16"/>
      <c r="G58" s="16"/>
      <c r="H58" s="16"/>
    </row>
    <row r="59" spans="1:8" x14ac:dyDescent="0.2">
      <c r="A59" s="16"/>
      <c r="B59" s="16"/>
      <c r="C59" s="16"/>
      <c r="D59" s="16"/>
      <c r="E59" s="16"/>
      <c r="F59" s="16"/>
      <c r="G59" s="16"/>
      <c r="H59" s="16"/>
    </row>
    <row r="60" spans="1:8" x14ac:dyDescent="0.2">
      <c r="A60" s="16"/>
      <c r="B60" s="16"/>
      <c r="C60" s="16"/>
      <c r="D60" s="16"/>
      <c r="E60" s="16"/>
      <c r="F60" s="16"/>
      <c r="G60" s="16"/>
      <c r="H60" s="16"/>
    </row>
    <row r="61" spans="1:8" x14ac:dyDescent="0.2">
      <c r="A61" s="16"/>
      <c r="B61" s="16"/>
      <c r="C61" s="16"/>
      <c r="D61" s="16"/>
      <c r="E61" s="16"/>
      <c r="F61" s="16"/>
      <c r="G61" s="16"/>
      <c r="H61" s="16"/>
    </row>
    <row r="62" spans="1:8" x14ac:dyDescent="0.2">
      <c r="A62" s="16"/>
      <c r="B62" s="16"/>
      <c r="C62" s="16"/>
      <c r="D62" s="16"/>
      <c r="E62" s="16"/>
      <c r="F62" s="16"/>
      <c r="G62" s="16"/>
      <c r="H62" s="16"/>
    </row>
    <row r="63" spans="1:8" x14ac:dyDescent="0.2">
      <c r="A63" s="16"/>
      <c r="B63" s="16"/>
      <c r="C63" s="16"/>
      <c r="D63" s="16"/>
      <c r="E63" s="16"/>
      <c r="F63" s="16"/>
      <c r="G63" s="16"/>
      <c r="H63" s="16"/>
    </row>
    <row r="64" spans="1:8" x14ac:dyDescent="0.2">
      <c r="A64" s="16"/>
      <c r="B64" s="16"/>
      <c r="C64" s="16"/>
      <c r="D64" s="16"/>
      <c r="E64" s="16"/>
      <c r="F64" s="16"/>
      <c r="G64" s="16"/>
      <c r="H64" s="16"/>
    </row>
    <row r="65" spans="1:8" x14ac:dyDescent="0.2">
      <c r="A65" s="16"/>
      <c r="B65" s="16"/>
      <c r="C65" s="16"/>
      <c r="D65" s="16"/>
      <c r="E65" s="16"/>
      <c r="F65" s="16"/>
      <c r="G65" s="16"/>
      <c r="H65" s="16"/>
    </row>
    <row r="66" spans="1:8" x14ac:dyDescent="0.2">
      <c r="A66" s="16"/>
      <c r="B66" s="16"/>
      <c r="C66" s="16"/>
      <c r="D66" s="16"/>
      <c r="E66" s="16"/>
      <c r="F66" s="16"/>
      <c r="G66" s="16"/>
      <c r="H66" s="16"/>
    </row>
    <row r="67" spans="1:8" x14ac:dyDescent="0.2">
      <c r="A67" s="16"/>
      <c r="B67" s="16"/>
      <c r="C67" s="16"/>
      <c r="D67" s="16"/>
      <c r="E67" s="16"/>
      <c r="F67" s="16"/>
      <c r="G67" s="16"/>
      <c r="H67" s="16"/>
    </row>
    <row r="68" spans="1:8" x14ac:dyDescent="0.2">
      <c r="A68" s="16"/>
      <c r="B68" s="16"/>
      <c r="C68" s="16"/>
      <c r="D68" s="16"/>
      <c r="E68" s="16"/>
      <c r="F68" s="16"/>
      <c r="G68" s="16"/>
      <c r="H68" s="16"/>
    </row>
    <row r="69" spans="1:8" x14ac:dyDescent="0.2">
      <c r="A69" s="16"/>
      <c r="B69" s="16"/>
      <c r="C69" s="16"/>
      <c r="D69" s="16"/>
      <c r="E69" s="16"/>
      <c r="F69" s="16"/>
      <c r="G69" s="16"/>
      <c r="H69" s="16"/>
    </row>
    <row r="70" spans="1:8" x14ac:dyDescent="0.2">
      <c r="A70" s="16"/>
      <c r="B70" s="16"/>
      <c r="C70" s="16"/>
      <c r="D70" s="16"/>
      <c r="E70" s="16"/>
      <c r="F70" s="16"/>
      <c r="G70" s="16"/>
      <c r="H70" s="16"/>
    </row>
    <row r="71" spans="1:8" x14ac:dyDescent="0.2">
      <c r="A71" s="16"/>
      <c r="B71" s="16"/>
      <c r="C71" s="16"/>
      <c r="D71" s="16"/>
      <c r="E71" s="16"/>
      <c r="F71" s="16"/>
      <c r="G71" s="16"/>
      <c r="H71" s="16"/>
    </row>
    <row r="72" spans="1:8" x14ac:dyDescent="0.2">
      <c r="A72" s="16"/>
      <c r="B72" s="16"/>
      <c r="C72" s="16"/>
      <c r="D72" s="16"/>
      <c r="E72" s="16"/>
      <c r="F72" s="16"/>
      <c r="G72" s="16"/>
      <c r="H72" s="16"/>
    </row>
    <row r="73" spans="1:8" x14ac:dyDescent="0.2">
      <c r="A73" s="16"/>
      <c r="B73" s="16"/>
      <c r="C73" s="16"/>
      <c r="D73" s="16"/>
      <c r="E73" s="16"/>
      <c r="F73" s="16"/>
      <c r="G73" s="16"/>
      <c r="H73" s="16"/>
    </row>
    <row r="74" spans="1:8" x14ac:dyDescent="0.2">
      <c r="A74" s="16"/>
      <c r="B74" s="16"/>
      <c r="C74" s="16"/>
      <c r="D74" s="16"/>
      <c r="E74" s="16"/>
      <c r="F74" s="16"/>
      <c r="G74" s="16"/>
      <c r="H74" s="16"/>
    </row>
    <row r="75" spans="1:8" x14ac:dyDescent="0.2">
      <c r="A75" s="16"/>
      <c r="B75" s="16"/>
      <c r="C75" s="16"/>
      <c r="D75" s="16"/>
      <c r="E75" s="16"/>
      <c r="F75" s="16"/>
      <c r="G75" s="16"/>
      <c r="H75" s="16"/>
    </row>
    <row r="76" spans="1:8" x14ac:dyDescent="0.2">
      <c r="A76" s="16"/>
      <c r="B76" s="16"/>
      <c r="C76" s="16"/>
      <c r="D76" s="16"/>
      <c r="E76" s="16"/>
      <c r="F76" s="16"/>
      <c r="G76" s="16"/>
      <c r="H76" s="16"/>
    </row>
    <row r="77" spans="1:8" x14ac:dyDescent="0.2">
      <c r="A77" s="16"/>
      <c r="B77" s="16"/>
      <c r="C77" s="16"/>
      <c r="D77" s="16"/>
      <c r="E77" s="16"/>
      <c r="F77" s="16"/>
      <c r="G77" s="16"/>
      <c r="H77" s="16"/>
    </row>
    <row r="78" spans="1:8" x14ac:dyDescent="0.2">
      <c r="A78" s="16"/>
      <c r="B78" s="16"/>
      <c r="C78" s="16"/>
      <c r="D78" s="16"/>
      <c r="E78" s="16"/>
      <c r="F78" s="16"/>
      <c r="G78" s="16"/>
      <c r="H78" s="16"/>
    </row>
    <row r="79" spans="1:8" x14ac:dyDescent="0.2">
      <c r="A79" s="16"/>
      <c r="B79" s="16"/>
      <c r="C79" s="16"/>
      <c r="D79" s="16"/>
      <c r="E79" s="16"/>
      <c r="F79" s="16"/>
      <c r="G79" s="16"/>
      <c r="H79" s="16"/>
    </row>
    <row r="80" spans="1:8" x14ac:dyDescent="0.2">
      <c r="A80" s="16"/>
      <c r="B80" s="16"/>
      <c r="C80" s="16"/>
      <c r="D80" s="16"/>
      <c r="E80" s="16"/>
      <c r="F80" s="16"/>
      <c r="G80" s="16"/>
      <c r="H80" s="16"/>
    </row>
    <row r="81" spans="1:8" x14ac:dyDescent="0.2">
      <c r="A81" s="16"/>
      <c r="B81" s="16"/>
      <c r="C81" s="16"/>
      <c r="D81" s="16"/>
      <c r="E81" s="16"/>
      <c r="F81" s="16"/>
      <c r="G81" s="16"/>
      <c r="H81" s="16"/>
    </row>
    <row r="82" spans="1:8" x14ac:dyDescent="0.2">
      <c r="A82" s="16"/>
      <c r="B82" s="16"/>
      <c r="C82" s="16"/>
      <c r="D82" s="16"/>
      <c r="E82" s="16"/>
      <c r="F82" s="16"/>
      <c r="G82" s="16"/>
      <c r="H82" s="16"/>
    </row>
    <row r="83" spans="1:8" x14ac:dyDescent="0.2">
      <c r="A83" s="16"/>
      <c r="B83" s="16"/>
      <c r="C83" s="16"/>
      <c r="D83" s="16"/>
      <c r="E83" s="16"/>
      <c r="F83" s="16"/>
      <c r="G83" s="16"/>
      <c r="H83" s="16"/>
    </row>
    <row r="84" spans="1:8" x14ac:dyDescent="0.2">
      <c r="A84" s="16"/>
      <c r="B84" s="16"/>
      <c r="C84" s="16"/>
      <c r="D84" s="16"/>
      <c r="E84" s="16"/>
      <c r="F84" s="16"/>
      <c r="G84" s="16"/>
      <c r="H84" s="16"/>
    </row>
    <row r="85" spans="1:8" x14ac:dyDescent="0.2">
      <c r="A85" s="16"/>
      <c r="B85" s="16"/>
      <c r="C85" s="16"/>
      <c r="D85" s="16"/>
      <c r="E85" s="16"/>
      <c r="F85" s="16"/>
      <c r="G85" s="16"/>
      <c r="H85" s="16"/>
    </row>
    <row r="86" spans="1:8" x14ac:dyDescent="0.2">
      <c r="A86" s="16"/>
      <c r="B86" s="16"/>
      <c r="C86" s="16"/>
      <c r="D86" s="16"/>
      <c r="E86" s="16"/>
      <c r="F86" s="16"/>
      <c r="G86" s="16"/>
      <c r="H86" s="16"/>
    </row>
    <row r="87" spans="1:8" x14ac:dyDescent="0.2">
      <c r="A87" s="16"/>
      <c r="B87" s="16"/>
      <c r="C87" s="16"/>
      <c r="D87" s="16"/>
      <c r="E87" s="16"/>
      <c r="F87" s="16"/>
      <c r="G87" s="16"/>
      <c r="H87" s="16"/>
    </row>
    <row r="88" spans="1:8" x14ac:dyDescent="0.2">
      <c r="A88" s="16"/>
      <c r="B88" s="16"/>
      <c r="C88" s="16"/>
      <c r="D88" s="16"/>
      <c r="E88" s="16"/>
      <c r="F88" s="16"/>
      <c r="G88" s="16"/>
      <c r="H88" s="16"/>
    </row>
    <row r="89" spans="1:8" x14ac:dyDescent="0.2">
      <c r="A89" s="16"/>
      <c r="B89" s="16"/>
      <c r="C89" s="16"/>
      <c r="D89" s="16"/>
      <c r="E89" s="16"/>
      <c r="F89" s="16"/>
      <c r="G89" s="16"/>
      <c r="H89" s="16"/>
    </row>
    <row r="90" spans="1:8" x14ac:dyDescent="0.2">
      <c r="A90" s="16"/>
      <c r="B90" s="16"/>
      <c r="C90" s="16"/>
      <c r="D90" s="16"/>
      <c r="E90" s="16"/>
      <c r="F90" s="16"/>
      <c r="G90" s="16"/>
      <c r="H90" s="16"/>
    </row>
    <row r="91" spans="1:8" x14ac:dyDescent="0.2">
      <c r="A91" s="16"/>
      <c r="B91" s="16"/>
      <c r="C91" s="16"/>
      <c r="D91" s="16"/>
      <c r="E91" s="16"/>
      <c r="F91" s="16"/>
      <c r="G91" s="16"/>
      <c r="H91" s="16"/>
    </row>
    <row r="92" spans="1:8" x14ac:dyDescent="0.2">
      <c r="A92" s="16"/>
      <c r="B92" s="16"/>
      <c r="C92" s="16"/>
      <c r="D92" s="16"/>
      <c r="E92" s="16"/>
      <c r="F92" s="16"/>
      <c r="G92" s="16"/>
      <c r="H92" s="16"/>
    </row>
    <row r="93" spans="1:8" x14ac:dyDescent="0.2">
      <c r="A93" s="16"/>
      <c r="B93" s="16"/>
      <c r="C93" s="16"/>
      <c r="D93" s="16"/>
      <c r="E93" s="16"/>
      <c r="F93" s="16"/>
      <c r="G93" s="16"/>
      <c r="H93" s="16"/>
    </row>
    <row r="94" spans="1:8" x14ac:dyDescent="0.2">
      <c r="A94" s="16"/>
      <c r="B94" s="16"/>
      <c r="C94" s="16"/>
      <c r="D94" s="16"/>
      <c r="E94" s="16"/>
      <c r="F94" s="16"/>
      <c r="G94" s="16"/>
      <c r="H94" s="16"/>
    </row>
    <row r="95" spans="1:8" x14ac:dyDescent="0.2">
      <c r="A95" s="16"/>
      <c r="B95" s="16"/>
      <c r="C95" s="16"/>
      <c r="D95" s="16"/>
      <c r="E95" s="16"/>
      <c r="F95" s="16"/>
      <c r="G95" s="16"/>
      <c r="H95" s="16"/>
    </row>
    <row r="96" spans="1:8" x14ac:dyDescent="0.2">
      <c r="A96" s="16"/>
      <c r="B96" s="16"/>
      <c r="C96" s="16"/>
      <c r="D96" s="16"/>
      <c r="E96" s="16"/>
      <c r="F96" s="16"/>
      <c r="G96" s="16"/>
      <c r="H96" s="16"/>
    </row>
    <row r="97" spans="1:8" x14ac:dyDescent="0.2">
      <c r="A97" s="16"/>
      <c r="B97" s="16"/>
      <c r="C97" s="16"/>
      <c r="D97" s="16"/>
      <c r="E97" s="16"/>
      <c r="F97" s="16"/>
      <c r="G97" s="16"/>
      <c r="H97" s="16"/>
    </row>
    <row r="98" spans="1:8" x14ac:dyDescent="0.2">
      <c r="A98" s="16"/>
      <c r="B98" s="16"/>
      <c r="C98" s="16"/>
      <c r="D98" s="16"/>
      <c r="E98" s="16"/>
      <c r="F98" s="16"/>
      <c r="G98" s="16"/>
      <c r="H98" s="16"/>
    </row>
    <row r="99" spans="1:8" x14ac:dyDescent="0.2">
      <c r="A99" s="16"/>
      <c r="B99" s="16"/>
      <c r="C99" s="16"/>
      <c r="D99" s="16"/>
      <c r="E99" s="16"/>
      <c r="F99" s="16"/>
      <c r="G99" s="16"/>
      <c r="H99" s="16"/>
    </row>
    <row r="100" spans="1:8" x14ac:dyDescent="0.2">
      <c r="A100" s="16"/>
      <c r="B100" s="16"/>
      <c r="C100" s="16"/>
      <c r="D100" s="16"/>
      <c r="E100" s="16"/>
      <c r="F100" s="16"/>
      <c r="G100" s="16"/>
      <c r="H100" s="16"/>
    </row>
    <row r="101" spans="1:8" x14ac:dyDescent="0.2">
      <c r="A101" s="16"/>
      <c r="B101" s="16"/>
      <c r="C101" s="16"/>
      <c r="D101" s="16"/>
      <c r="E101" s="16"/>
      <c r="F101" s="16"/>
      <c r="G101" s="16"/>
      <c r="H101" s="16"/>
    </row>
    <row r="102" spans="1:8" x14ac:dyDescent="0.2">
      <c r="A102" s="16"/>
      <c r="B102" s="16"/>
      <c r="C102" s="16"/>
      <c r="D102" s="16"/>
      <c r="E102" s="16"/>
      <c r="F102" s="16"/>
      <c r="G102" s="16"/>
      <c r="H102" s="16"/>
    </row>
    <row r="103" spans="1:8" x14ac:dyDescent="0.2">
      <c r="A103" s="16"/>
      <c r="B103" s="16"/>
      <c r="C103" s="16"/>
      <c r="D103" s="16"/>
      <c r="E103" s="16"/>
      <c r="F103" s="16"/>
      <c r="G103" s="16"/>
      <c r="H103" s="16"/>
    </row>
    <row r="104" spans="1:8" x14ac:dyDescent="0.2">
      <c r="A104" s="16"/>
      <c r="B104" s="16"/>
      <c r="C104" s="16"/>
      <c r="D104" s="16"/>
      <c r="E104" s="16"/>
      <c r="F104" s="16"/>
      <c r="G104" s="16"/>
      <c r="H104" s="16"/>
    </row>
    <row r="105" spans="1:8" x14ac:dyDescent="0.2">
      <c r="A105" s="16"/>
      <c r="B105" s="16"/>
      <c r="C105" s="16"/>
      <c r="D105" s="16"/>
      <c r="E105" s="16"/>
      <c r="F105" s="16"/>
      <c r="G105" s="16"/>
      <c r="H105" s="16"/>
    </row>
    <row r="106" spans="1:8" x14ac:dyDescent="0.2">
      <c r="A106" s="16"/>
      <c r="B106" s="16"/>
      <c r="C106" s="16"/>
      <c r="D106" s="16"/>
      <c r="E106" s="16"/>
      <c r="F106" s="16"/>
      <c r="G106" s="16"/>
      <c r="H106" s="16"/>
    </row>
    <row r="107" spans="1:8" x14ac:dyDescent="0.2">
      <c r="A107" s="16"/>
      <c r="B107" s="16"/>
      <c r="C107" s="16"/>
      <c r="D107" s="16"/>
      <c r="E107" s="16"/>
      <c r="F107" s="16"/>
      <c r="G107" s="16"/>
      <c r="H107" s="16"/>
    </row>
    <row r="108" spans="1:8" x14ac:dyDescent="0.2">
      <c r="A108" s="16"/>
      <c r="B108" s="16"/>
      <c r="C108" s="16"/>
      <c r="D108" s="16"/>
      <c r="E108" s="16"/>
      <c r="F108" s="16"/>
      <c r="G108" s="16"/>
      <c r="H108" s="16"/>
    </row>
    <row r="109" spans="1:8" x14ac:dyDescent="0.2">
      <c r="A109" s="16"/>
      <c r="B109" s="16"/>
      <c r="C109" s="16"/>
      <c r="D109" s="16"/>
      <c r="E109" s="16"/>
      <c r="F109" s="16"/>
      <c r="G109" s="16"/>
      <c r="H109" s="16"/>
    </row>
    <row r="110" spans="1:8" x14ac:dyDescent="0.2">
      <c r="A110" s="16"/>
      <c r="B110" s="16"/>
      <c r="C110" s="16"/>
      <c r="D110" s="16"/>
      <c r="E110" s="16"/>
      <c r="F110" s="16"/>
      <c r="G110" s="16"/>
      <c r="H110" s="16"/>
    </row>
    <row r="111" spans="1:8" x14ac:dyDescent="0.2">
      <c r="A111" s="16"/>
      <c r="B111" s="16"/>
      <c r="C111" s="16"/>
      <c r="D111" s="16"/>
      <c r="E111" s="16"/>
      <c r="F111" s="16"/>
      <c r="G111" s="16"/>
      <c r="H111" s="16"/>
    </row>
    <row r="112" spans="1:8" x14ac:dyDescent="0.2">
      <c r="A112" s="16"/>
      <c r="B112" s="16"/>
      <c r="C112" s="16"/>
      <c r="D112" s="16"/>
      <c r="E112" s="16"/>
      <c r="F112" s="16"/>
      <c r="G112" s="16"/>
      <c r="H112" s="16"/>
    </row>
    <row r="113" spans="1:8" x14ac:dyDescent="0.2">
      <c r="A113" s="16"/>
      <c r="B113" s="16"/>
      <c r="C113" s="16"/>
      <c r="D113" s="16"/>
      <c r="E113" s="16"/>
      <c r="F113" s="16"/>
      <c r="G113" s="16"/>
      <c r="H113" s="16"/>
    </row>
    <row r="114" spans="1:8" x14ac:dyDescent="0.2">
      <c r="A114" s="16"/>
      <c r="B114" s="16"/>
      <c r="C114" s="16"/>
      <c r="D114" s="16"/>
      <c r="E114" s="16"/>
      <c r="F114" s="16"/>
      <c r="G114" s="16"/>
      <c r="H114" s="16"/>
    </row>
    <row r="115" spans="1:8" x14ac:dyDescent="0.2">
      <c r="A115" s="16"/>
      <c r="B115" s="16"/>
      <c r="C115" s="16"/>
      <c r="D115" s="16"/>
      <c r="E115" s="16"/>
      <c r="F115" s="16"/>
      <c r="G115" s="16"/>
      <c r="H115" s="16"/>
    </row>
    <row r="116" spans="1:8" x14ac:dyDescent="0.2">
      <c r="A116" s="16"/>
      <c r="B116" s="16"/>
      <c r="C116" s="16"/>
      <c r="D116" s="16"/>
      <c r="E116" s="16"/>
      <c r="F116" s="16"/>
      <c r="G116" s="16"/>
      <c r="H116" s="16"/>
    </row>
    <row r="117" spans="1:8" x14ac:dyDescent="0.2">
      <c r="A117" s="16"/>
      <c r="B117" s="16"/>
      <c r="C117" s="16"/>
      <c r="D117" s="16"/>
      <c r="E117" s="16"/>
      <c r="F117" s="16"/>
      <c r="G117" s="16"/>
      <c r="H117" s="16"/>
    </row>
    <row r="118" spans="1:8" x14ac:dyDescent="0.2">
      <c r="A118" s="16"/>
      <c r="B118" s="16"/>
      <c r="C118" s="16"/>
      <c r="D118" s="16"/>
      <c r="E118" s="16"/>
      <c r="F118" s="16"/>
      <c r="G118" s="16"/>
      <c r="H118" s="16"/>
    </row>
    <row r="119" spans="1:8" x14ac:dyDescent="0.2">
      <c r="A119" s="16"/>
      <c r="B119" s="16"/>
      <c r="C119" s="16"/>
      <c r="D119" s="16"/>
      <c r="E119" s="16"/>
      <c r="F119" s="16"/>
      <c r="G119" s="16"/>
      <c r="H119" s="16"/>
    </row>
    <row r="120" spans="1:8" x14ac:dyDescent="0.2">
      <c r="A120" s="16"/>
      <c r="B120" s="16"/>
      <c r="C120" s="16"/>
      <c r="D120" s="16"/>
      <c r="E120" s="16"/>
      <c r="F120" s="16"/>
      <c r="G120" s="16"/>
      <c r="H120" s="16"/>
    </row>
    <row r="121" spans="1:8" x14ac:dyDescent="0.2">
      <c r="A121" s="16"/>
      <c r="B121" s="16"/>
      <c r="C121" s="16"/>
      <c r="D121" s="16"/>
      <c r="E121" s="16"/>
      <c r="F121" s="16"/>
      <c r="G121" s="16"/>
      <c r="H121" s="16"/>
    </row>
    <row r="122" spans="1:8" x14ac:dyDescent="0.2">
      <c r="A122" s="16"/>
      <c r="B122" s="16"/>
      <c r="C122" s="16"/>
      <c r="D122" s="16"/>
      <c r="E122" s="16"/>
      <c r="F122" s="16"/>
      <c r="G122" s="16"/>
      <c r="H122" s="16"/>
    </row>
    <row r="123" spans="1:8" x14ac:dyDescent="0.2">
      <c r="A123" s="16"/>
      <c r="B123" s="16"/>
      <c r="C123" s="16"/>
      <c r="D123" s="16"/>
      <c r="E123" s="16"/>
      <c r="F123" s="16"/>
      <c r="G123" s="16"/>
      <c r="H123" s="16"/>
    </row>
    <row r="124" spans="1:8" x14ac:dyDescent="0.2">
      <c r="A124" s="16"/>
      <c r="B124" s="16"/>
      <c r="C124" s="16"/>
      <c r="D124" s="16"/>
      <c r="E124" s="16"/>
      <c r="F124" s="16"/>
      <c r="G124" s="16"/>
      <c r="H124" s="16"/>
    </row>
    <row r="125" spans="1:8" x14ac:dyDescent="0.2">
      <c r="A125" s="16"/>
      <c r="B125" s="16"/>
      <c r="C125" s="16"/>
      <c r="D125" s="16"/>
      <c r="E125" s="16"/>
      <c r="F125" s="16"/>
      <c r="G125" s="16"/>
      <c r="H125" s="16"/>
    </row>
    <row r="126" spans="1:8" x14ac:dyDescent="0.2">
      <c r="A126" s="16"/>
      <c r="B126" s="16"/>
      <c r="C126" s="16"/>
      <c r="D126" s="16"/>
      <c r="E126" s="16"/>
      <c r="F126" s="16"/>
      <c r="G126" s="16"/>
      <c r="H126" s="16"/>
    </row>
    <row r="127" spans="1:8" x14ac:dyDescent="0.2">
      <c r="A127" s="16"/>
      <c r="B127" s="16"/>
      <c r="C127" s="16"/>
      <c r="D127" s="16"/>
      <c r="E127" s="16"/>
      <c r="F127" s="16"/>
      <c r="G127" s="16"/>
      <c r="H127" s="16"/>
    </row>
    <row r="128" spans="1:8" x14ac:dyDescent="0.2">
      <c r="A128" s="16"/>
      <c r="B128" s="16"/>
      <c r="C128" s="16"/>
      <c r="D128" s="16"/>
      <c r="E128" s="16"/>
      <c r="F128" s="16"/>
      <c r="G128" s="16"/>
      <c r="H128" s="16"/>
    </row>
    <row r="129" spans="1:8" x14ac:dyDescent="0.2">
      <c r="A129" s="16"/>
      <c r="B129" s="16"/>
      <c r="C129" s="16"/>
      <c r="D129" s="16"/>
      <c r="E129" s="16"/>
      <c r="F129" s="16"/>
      <c r="G129" s="16"/>
      <c r="H129" s="16"/>
    </row>
    <row r="130" spans="1:8" x14ac:dyDescent="0.2">
      <c r="A130" s="16"/>
      <c r="B130" s="16"/>
      <c r="C130" s="16"/>
      <c r="D130" s="16"/>
      <c r="E130" s="16"/>
      <c r="F130" s="16"/>
      <c r="G130" s="16"/>
      <c r="H130" s="16"/>
    </row>
    <row r="131" spans="1:8" x14ac:dyDescent="0.2">
      <c r="A131" s="16"/>
      <c r="B131" s="16"/>
      <c r="C131" s="16"/>
      <c r="D131" s="16"/>
      <c r="E131" s="16"/>
      <c r="F131" s="16"/>
      <c r="G131" s="16"/>
      <c r="H131" s="16"/>
    </row>
    <row r="132" spans="1:8" x14ac:dyDescent="0.2">
      <c r="A132" s="16"/>
      <c r="B132" s="16"/>
      <c r="C132" s="16"/>
      <c r="D132" s="16"/>
      <c r="E132" s="16"/>
      <c r="F132" s="16"/>
      <c r="G132" s="16"/>
      <c r="H132" s="16"/>
    </row>
    <row r="133" spans="1:8" x14ac:dyDescent="0.2">
      <c r="A133" s="16"/>
      <c r="B133" s="16"/>
      <c r="C133" s="16"/>
      <c r="D133" s="16"/>
      <c r="E133" s="16"/>
      <c r="F133" s="16"/>
      <c r="G133" s="16"/>
      <c r="H133" s="16"/>
    </row>
    <row r="134" spans="1:8" x14ac:dyDescent="0.2">
      <c r="A134" s="16"/>
      <c r="B134" s="16"/>
      <c r="C134" s="16"/>
      <c r="D134" s="16"/>
      <c r="E134" s="16"/>
      <c r="F134" s="16"/>
      <c r="G134" s="16"/>
      <c r="H134" s="16"/>
    </row>
    <row r="135" spans="1:8" x14ac:dyDescent="0.2">
      <c r="A135" s="16"/>
      <c r="B135" s="16"/>
      <c r="C135" s="16"/>
      <c r="D135" s="16"/>
      <c r="E135" s="16"/>
      <c r="F135" s="16"/>
      <c r="G135" s="16"/>
      <c r="H135" s="16"/>
    </row>
    <row r="136" spans="1:8" x14ac:dyDescent="0.2">
      <c r="A136" s="16"/>
      <c r="B136" s="16"/>
      <c r="C136" s="16"/>
      <c r="D136" s="16"/>
      <c r="E136" s="16"/>
      <c r="F136" s="16"/>
      <c r="G136" s="16"/>
      <c r="H136" s="16"/>
    </row>
    <row r="137" spans="1:8" x14ac:dyDescent="0.2">
      <c r="A137" s="16"/>
      <c r="B137" s="16"/>
      <c r="C137" s="16"/>
      <c r="D137" s="16"/>
      <c r="E137" s="16"/>
      <c r="F137" s="16"/>
      <c r="G137" s="16"/>
      <c r="H137" s="16"/>
    </row>
    <row r="138" spans="1:8" x14ac:dyDescent="0.2">
      <c r="A138" s="16"/>
      <c r="B138" s="16"/>
      <c r="C138" s="16"/>
      <c r="D138" s="16"/>
      <c r="E138" s="16"/>
      <c r="F138" s="16"/>
      <c r="G138" s="16"/>
      <c r="H138" s="16"/>
    </row>
    <row r="139" spans="1:8" x14ac:dyDescent="0.2">
      <c r="A139" s="16"/>
      <c r="B139" s="16"/>
      <c r="C139" s="16"/>
      <c r="D139" s="16"/>
      <c r="E139" s="16"/>
      <c r="F139" s="16"/>
      <c r="G139" s="16"/>
      <c r="H139" s="16"/>
    </row>
    <row r="140" spans="1:8" x14ac:dyDescent="0.2">
      <c r="A140" s="16"/>
      <c r="B140" s="16"/>
      <c r="C140" s="16"/>
      <c r="D140" s="16"/>
      <c r="E140" s="16"/>
      <c r="F140" s="16"/>
      <c r="G140" s="16"/>
      <c r="H140" s="16"/>
    </row>
    <row r="141" spans="1:8" x14ac:dyDescent="0.2">
      <c r="A141" s="16"/>
      <c r="B141" s="16"/>
      <c r="C141" s="16"/>
      <c r="D141" s="16"/>
      <c r="E141" s="16"/>
      <c r="F141" s="16"/>
      <c r="G141" s="16"/>
      <c r="H141" s="16"/>
    </row>
    <row r="142" spans="1:8" x14ac:dyDescent="0.2">
      <c r="A142" s="16"/>
      <c r="B142" s="16"/>
      <c r="C142" s="16"/>
      <c r="D142" s="16"/>
      <c r="E142" s="16"/>
      <c r="F142" s="16"/>
      <c r="G142" s="16"/>
      <c r="H142" s="16"/>
    </row>
    <row r="143" spans="1:8" x14ac:dyDescent="0.2">
      <c r="A143" s="16"/>
      <c r="B143" s="16"/>
      <c r="C143" s="16"/>
      <c r="D143" s="16"/>
      <c r="E143" s="16"/>
      <c r="F143" s="16"/>
      <c r="G143" s="16"/>
      <c r="H143" s="16"/>
    </row>
    <row r="144" spans="1:8" x14ac:dyDescent="0.2">
      <c r="A144" s="16"/>
      <c r="B144" s="16"/>
      <c r="C144" s="16"/>
      <c r="D144" s="16"/>
      <c r="E144" s="16"/>
      <c r="F144" s="16"/>
      <c r="G144" s="16"/>
      <c r="H144" s="16"/>
    </row>
    <row r="145" spans="1:8" x14ac:dyDescent="0.2">
      <c r="A145" s="16"/>
      <c r="B145" s="16"/>
      <c r="C145" s="16"/>
      <c r="D145" s="16"/>
      <c r="E145" s="16"/>
      <c r="F145" s="16"/>
      <c r="G145" s="16"/>
      <c r="H145" s="16"/>
    </row>
    <row r="146" spans="1:8" x14ac:dyDescent="0.2">
      <c r="A146" s="16"/>
      <c r="B146" s="16"/>
      <c r="C146" s="16"/>
      <c r="D146" s="16"/>
      <c r="E146" s="16"/>
      <c r="F146" s="16"/>
      <c r="G146" s="16"/>
      <c r="H146" s="16"/>
    </row>
    <row r="147" spans="1:8" x14ac:dyDescent="0.2">
      <c r="A147" s="16"/>
      <c r="B147" s="16"/>
      <c r="C147" s="16"/>
      <c r="D147" s="16"/>
      <c r="E147" s="16"/>
      <c r="F147" s="16"/>
      <c r="G147" s="16"/>
      <c r="H147" s="16"/>
    </row>
    <row r="148" spans="1:8" x14ac:dyDescent="0.2">
      <c r="A148" s="16"/>
      <c r="B148" s="16"/>
      <c r="C148" s="16"/>
      <c r="D148" s="16"/>
      <c r="E148" s="16"/>
      <c r="F148" s="16"/>
      <c r="G148" s="16"/>
      <c r="H148" s="16"/>
    </row>
    <row r="149" spans="1:8" x14ac:dyDescent="0.2">
      <c r="A149" s="16"/>
      <c r="B149" s="16"/>
      <c r="C149" s="16"/>
      <c r="D149" s="16"/>
      <c r="E149" s="16"/>
      <c r="F149" s="16"/>
      <c r="G149" s="16"/>
      <c r="H149" s="16"/>
    </row>
    <row r="150" spans="1:8" x14ac:dyDescent="0.2">
      <c r="A150" s="16"/>
      <c r="B150" s="16"/>
      <c r="C150" s="16"/>
      <c r="D150" s="16"/>
      <c r="E150" s="16"/>
      <c r="F150" s="16"/>
      <c r="G150" s="16"/>
      <c r="H150" s="16"/>
    </row>
    <row r="151" spans="1:8" x14ac:dyDescent="0.2">
      <c r="A151" s="16"/>
      <c r="B151" s="16"/>
      <c r="C151" s="16"/>
      <c r="D151" s="16"/>
      <c r="E151" s="16"/>
      <c r="F151" s="16"/>
      <c r="G151" s="16"/>
      <c r="H151" s="16"/>
    </row>
    <row r="152" spans="1:8" x14ac:dyDescent="0.2">
      <c r="A152" s="16"/>
      <c r="B152" s="16"/>
      <c r="C152" s="16"/>
      <c r="D152" s="16"/>
      <c r="E152" s="16"/>
      <c r="F152" s="16"/>
      <c r="G152" s="16"/>
      <c r="H152" s="16"/>
    </row>
    <row r="153" spans="1:8" x14ac:dyDescent="0.2">
      <c r="A153" s="16"/>
      <c r="B153" s="16"/>
      <c r="C153" s="16"/>
      <c r="D153" s="16"/>
      <c r="E153" s="16"/>
      <c r="F153" s="16"/>
      <c r="G153" s="16"/>
      <c r="H153" s="16"/>
    </row>
    <row r="154" spans="1:8" x14ac:dyDescent="0.2">
      <c r="A154" s="16"/>
      <c r="B154" s="16"/>
      <c r="C154" s="16"/>
      <c r="D154" s="16"/>
      <c r="E154" s="16"/>
      <c r="F154" s="16"/>
      <c r="G154" s="16"/>
      <c r="H154" s="16"/>
    </row>
    <row r="155" spans="1:8" x14ac:dyDescent="0.2">
      <c r="A155" s="16"/>
      <c r="B155" s="16"/>
      <c r="C155" s="16"/>
      <c r="D155" s="16"/>
      <c r="E155" s="16"/>
      <c r="F155" s="16"/>
      <c r="G155" s="16"/>
      <c r="H155" s="16"/>
    </row>
    <row r="156" spans="1:8" x14ac:dyDescent="0.2">
      <c r="A156" s="16"/>
      <c r="B156" s="16"/>
      <c r="C156" s="16"/>
      <c r="D156" s="16"/>
      <c r="E156" s="16"/>
      <c r="F156" s="16"/>
      <c r="G156" s="16"/>
      <c r="H156" s="16"/>
    </row>
    <row r="157" spans="1:8" x14ac:dyDescent="0.2">
      <c r="A157" s="16"/>
      <c r="B157" s="16"/>
      <c r="C157" s="16"/>
      <c r="D157" s="16"/>
      <c r="E157" s="16"/>
      <c r="F157" s="16"/>
      <c r="G157" s="16"/>
      <c r="H157" s="16"/>
    </row>
    <row r="158" spans="1:8" x14ac:dyDescent="0.2">
      <c r="A158" s="16"/>
      <c r="B158" s="16"/>
      <c r="C158" s="16"/>
      <c r="D158" s="16"/>
      <c r="E158" s="16"/>
      <c r="F158" s="16"/>
      <c r="G158" s="16"/>
      <c r="H158" s="16"/>
    </row>
    <row r="159" spans="1:8" x14ac:dyDescent="0.2">
      <c r="A159" s="16"/>
      <c r="B159" s="16"/>
      <c r="C159" s="16"/>
      <c r="D159" s="16"/>
      <c r="E159" s="16"/>
      <c r="F159" s="16"/>
      <c r="G159" s="16"/>
      <c r="H159" s="16"/>
    </row>
    <row r="160" spans="1:8" x14ac:dyDescent="0.2">
      <c r="A160" s="16"/>
      <c r="B160" s="16"/>
      <c r="C160" s="16"/>
      <c r="D160" s="16"/>
      <c r="E160" s="16"/>
      <c r="F160" s="16"/>
      <c r="G160" s="16"/>
      <c r="H160" s="16"/>
    </row>
    <row r="161" spans="1:8" x14ac:dyDescent="0.2">
      <c r="A161" s="16"/>
      <c r="B161" s="16"/>
      <c r="C161" s="16"/>
      <c r="D161" s="16"/>
      <c r="E161" s="16"/>
      <c r="F161" s="16"/>
      <c r="G161" s="16"/>
      <c r="H161" s="16"/>
    </row>
    <row r="162" spans="1:8" x14ac:dyDescent="0.2">
      <c r="A162" s="16"/>
      <c r="B162" s="16"/>
      <c r="C162" s="16"/>
      <c r="D162" s="16"/>
      <c r="E162" s="16"/>
      <c r="F162" s="16"/>
      <c r="G162" s="16"/>
      <c r="H162" s="16"/>
    </row>
    <row r="163" spans="1:8" x14ac:dyDescent="0.2">
      <c r="A163" s="16"/>
      <c r="B163" s="16"/>
      <c r="C163" s="16"/>
      <c r="D163" s="16"/>
      <c r="E163" s="16"/>
      <c r="F163" s="16"/>
      <c r="G163" s="16"/>
      <c r="H163" s="16"/>
    </row>
    <row r="164" spans="1:8" x14ac:dyDescent="0.2">
      <c r="A164" s="16"/>
      <c r="B164" s="16"/>
      <c r="C164" s="16"/>
      <c r="D164" s="16"/>
      <c r="E164" s="16"/>
      <c r="F164" s="16"/>
      <c r="G164" s="16"/>
      <c r="H164" s="16"/>
    </row>
    <row r="165" spans="1:8" x14ac:dyDescent="0.2">
      <c r="A165" s="16"/>
      <c r="B165" s="16"/>
      <c r="C165" s="16"/>
      <c r="D165" s="16"/>
      <c r="E165" s="16"/>
      <c r="F165" s="16"/>
      <c r="G165" s="16"/>
      <c r="H165" s="16"/>
    </row>
    <row r="166" spans="1:8" x14ac:dyDescent="0.2">
      <c r="A166" s="16"/>
      <c r="B166" s="16"/>
      <c r="C166" s="16"/>
      <c r="D166" s="16"/>
      <c r="E166" s="16"/>
      <c r="F166" s="16"/>
      <c r="G166" s="16"/>
      <c r="H166" s="16"/>
    </row>
    <row r="167" spans="1:8" x14ac:dyDescent="0.2">
      <c r="A167" s="16"/>
      <c r="B167" s="16"/>
      <c r="C167" s="16"/>
      <c r="D167" s="16"/>
      <c r="E167" s="16"/>
      <c r="F167" s="16"/>
      <c r="G167" s="16"/>
      <c r="H167" s="16"/>
    </row>
    <row r="168" spans="1:8" x14ac:dyDescent="0.2">
      <c r="A168" s="16"/>
      <c r="B168" s="16"/>
      <c r="C168" s="16"/>
      <c r="D168" s="16"/>
      <c r="E168" s="16"/>
      <c r="F168" s="16"/>
      <c r="G168" s="16"/>
      <c r="H168" s="16"/>
    </row>
    <row r="169" spans="1:8" x14ac:dyDescent="0.2">
      <c r="A169" s="16"/>
      <c r="B169" s="16"/>
      <c r="C169" s="16"/>
      <c r="D169" s="16"/>
      <c r="E169" s="16"/>
      <c r="F169" s="16"/>
      <c r="G169" s="16"/>
      <c r="H169" s="16"/>
    </row>
    <row r="170" spans="1:8" x14ac:dyDescent="0.2">
      <c r="A170" s="16"/>
      <c r="B170" s="16"/>
      <c r="C170" s="16"/>
      <c r="D170" s="16"/>
      <c r="E170" s="16"/>
      <c r="F170" s="16"/>
      <c r="G170" s="16"/>
      <c r="H170" s="16"/>
    </row>
    <row r="171" spans="1:8" x14ac:dyDescent="0.2">
      <c r="A171" s="16"/>
      <c r="B171" s="16"/>
      <c r="C171" s="16"/>
      <c r="D171" s="16"/>
      <c r="E171" s="16"/>
      <c r="F171" s="16"/>
      <c r="G171" s="16"/>
      <c r="H171" s="16"/>
    </row>
    <row r="172" spans="1:8" x14ac:dyDescent="0.2">
      <c r="A172" s="16"/>
      <c r="B172" s="16"/>
      <c r="C172" s="16"/>
      <c r="D172" s="16"/>
      <c r="E172" s="16"/>
      <c r="F172" s="16"/>
      <c r="G172" s="16"/>
      <c r="H172" s="16"/>
    </row>
    <row r="173" spans="1:8" x14ac:dyDescent="0.2">
      <c r="A173" s="16"/>
      <c r="B173" s="16"/>
      <c r="C173" s="16"/>
      <c r="D173" s="16"/>
      <c r="E173" s="16"/>
      <c r="F173" s="16"/>
      <c r="G173" s="16"/>
      <c r="H173" s="16"/>
    </row>
    <row r="174" spans="1:8" x14ac:dyDescent="0.2">
      <c r="A174" s="16"/>
      <c r="B174" s="16"/>
      <c r="C174" s="16"/>
      <c r="D174" s="16"/>
      <c r="E174" s="16"/>
      <c r="F174" s="16"/>
      <c r="G174" s="16"/>
      <c r="H174" s="16"/>
    </row>
    <row r="175" spans="1:8" x14ac:dyDescent="0.2">
      <c r="A175" s="16"/>
      <c r="B175" s="16"/>
      <c r="C175" s="16"/>
      <c r="D175" s="16"/>
      <c r="E175" s="16"/>
      <c r="F175" s="16"/>
      <c r="G175" s="16"/>
      <c r="H175" s="16"/>
    </row>
    <row r="176" spans="1:8" x14ac:dyDescent="0.2">
      <c r="A176" s="16"/>
      <c r="B176" s="16"/>
      <c r="C176" s="16"/>
      <c r="D176" s="16"/>
      <c r="E176" s="16"/>
      <c r="F176" s="16"/>
      <c r="G176" s="16"/>
      <c r="H176" s="16"/>
    </row>
    <row r="177" spans="1:8" x14ac:dyDescent="0.2">
      <c r="A177" s="16"/>
      <c r="B177" s="16"/>
      <c r="C177" s="16"/>
      <c r="D177" s="16"/>
      <c r="E177" s="16"/>
      <c r="F177" s="16"/>
      <c r="G177" s="16"/>
      <c r="H177" s="16"/>
    </row>
    <row r="178" spans="1:8" x14ac:dyDescent="0.2">
      <c r="A178" s="16"/>
      <c r="B178" s="16"/>
      <c r="C178" s="16"/>
      <c r="D178" s="16"/>
      <c r="E178" s="16"/>
      <c r="F178" s="16"/>
      <c r="G178" s="16"/>
      <c r="H178" s="16"/>
    </row>
    <row r="179" spans="1:8" x14ac:dyDescent="0.2">
      <c r="A179" s="16"/>
      <c r="B179" s="16"/>
      <c r="C179" s="16"/>
      <c r="D179" s="16"/>
      <c r="E179" s="16"/>
      <c r="F179" s="16"/>
      <c r="G179" s="16"/>
      <c r="H179" s="16"/>
    </row>
    <row r="180" spans="1:8" x14ac:dyDescent="0.2">
      <c r="A180" s="16"/>
      <c r="B180" s="16"/>
      <c r="C180" s="16"/>
      <c r="D180" s="16"/>
      <c r="E180" s="16"/>
      <c r="F180" s="16"/>
      <c r="G180" s="16"/>
      <c r="H180" s="16"/>
    </row>
    <row r="181" spans="1:8" x14ac:dyDescent="0.2">
      <c r="A181" s="16"/>
      <c r="B181" s="16"/>
      <c r="C181" s="16"/>
      <c r="D181" s="16"/>
      <c r="E181" s="16"/>
      <c r="F181" s="16"/>
      <c r="G181" s="16"/>
      <c r="H181" s="16"/>
    </row>
    <row r="182" spans="1:8" x14ac:dyDescent="0.2">
      <c r="A182" s="16"/>
      <c r="B182" s="16"/>
      <c r="C182" s="16"/>
      <c r="D182" s="16"/>
      <c r="E182" s="16"/>
      <c r="F182" s="16"/>
      <c r="G182" s="16"/>
      <c r="H182" s="16"/>
    </row>
    <row r="183" spans="1:8" x14ac:dyDescent="0.2">
      <c r="A183" s="16"/>
      <c r="B183" s="16"/>
      <c r="C183" s="16"/>
      <c r="D183" s="16"/>
      <c r="E183" s="16"/>
      <c r="F183" s="16"/>
      <c r="G183" s="16"/>
      <c r="H183" s="16"/>
    </row>
    <row r="184" spans="1:8" x14ac:dyDescent="0.2">
      <c r="A184" s="16"/>
      <c r="B184" s="16"/>
      <c r="C184" s="16"/>
      <c r="D184" s="16"/>
      <c r="E184" s="16"/>
      <c r="F184" s="16"/>
      <c r="G184" s="16"/>
      <c r="H184" s="16"/>
    </row>
    <row r="185" spans="1:8" x14ac:dyDescent="0.2">
      <c r="A185" s="16"/>
      <c r="B185" s="16"/>
      <c r="C185" s="16"/>
      <c r="D185" s="16"/>
      <c r="E185" s="16"/>
      <c r="F185" s="16"/>
      <c r="G185" s="16"/>
      <c r="H185" s="16"/>
    </row>
    <row r="186" spans="1:8" x14ac:dyDescent="0.2">
      <c r="A186" s="16"/>
      <c r="B186" s="16"/>
      <c r="C186" s="16"/>
      <c r="D186" s="16"/>
      <c r="E186" s="16"/>
      <c r="F186" s="16"/>
      <c r="G186" s="16"/>
      <c r="H186" s="16"/>
    </row>
    <row r="187" spans="1:8" x14ac:dyDescent="0.2">
      <c r="A187" s="16"/>
      <c r="B187" s="16"/>
      <c r="C187" s="16"/>
      <c r="D187" s="16"/>
      <c r="E187" s="16"/>
      <c r="F187" s="16"/>
      <c r="G187" s="16"/>
      <c r="H187" s="16"/>
    </row>
    <row r="188" spans="1:8" x14ac:dyDescent="0.2">
      <c r="A188" s="16"/>
      <c r="B188" s="16"/>
      <c r="C188" s="16"/>
      <c r="D188" s="16"/>
      <c r="E188" s="16"/>
      <c r="F188" s="16"/>
      <c r="G188" s="16"/>
      <c r="H188" s="16"/>
    </row>
    <row r="189" spans="1:8" x14ac:dyDescent="0.2">
      <c r="A189" s="16"/>
      <c r="B189" s="16"/>
      <c r="C189" s="16"/>
      <c r="D189" s="16"/>
      <c r="E189" s="16"/>
      <c r="F189" s="16"/>
      <c r="G189" s="16"/>
      <c r="H189" s="16"/>
    </row>
    <row r="190" spans="1:8" x14ac:dyDescent="0.2">
      <c r="A190" s="16"/>
      <c r="B190" s="16"/>
      <c r="C190" s="16"/>
      <c r="D190" s="16"/>
      <c r="E190" s="16"/>
      <c r="F190" s="16"/>
      <c r="G190" s="16"/>
      <c r="H190" s="16"/>
    </row>
    <row r="191" spans="1:8" x14ac:dyDescent="0.2">
      <c r="A191" s="16"/>
      <c r="B191" s="16"/>
      <c r="C191" s="16"/>
      <c r="D191" s="16"/>
      <c r="E191" s="16"/>
      <c r="F191" s="16"/>
      <c r="G191" s="16"/>
      <c r="H191" s="16"/>
    </row>
    <row r="192" spans="1:8" x14ac:dyDescent="0.2">
      <c r="A192" s="16"/>
      <c r="B192" s="16"/>
      <c r="C192" s="16"/>
      <c r="D192" s="16"/>
      <c r="E192" s="16"/>
      <c r="F192" s="16"/>
      <c r="G192" s="16"/>
      <c r="H192" s="16"/>
    </row>
    <row r="193" spans="1:8" x14ac:dyDescent="0.2">
      <c r="A193" s="16"/>
      <c r="B193" s="16"/>
      <c r="C193" s="16"/>
      <c r="D193" s="16"/>
      <c r="E193" s="16"/>
      <c r="F193" s="16"/>
      <c r="G193" s="16"/>
      <c r="H193" s="16"/>
    </row>
    <row r="194" spans="1:8" x14ac:dyDescent="0.2">
      <c r="A194" s="16"/>
      <c r="B194" s="16"/>
      <c r="C194" s="16"/>
      <c r="D194" s="16"/>
      <c r="E194" s="16"/>
      <c r="F194" s="16"/>
      <c r="G194" s="16"/>
      <c r="H194" s="16"/>
    </row>
    <row r="195" spans="1:8" x14ac:dyDescent="0.2">
      <c r="A195" s="16"/>
      <c r="B195" s="16"/>
      <c r="C195" s="16"/>
      <c r="D195" s="16"/>
      <c r="E195" s="16"/>
      <c r="F195" s="16"/>
      <c r="G195" s="16"/>
      <c r="H195" s="16"/>
    </row>
    <row r="196" spans="1:8" x14ac:dyDescent="0.2">
      <c r="A196" s="16"/>
      <c r="B196" s="16"/>
      <c r="C196" s="16"/>
      <c r="D196" s="16"/>
      <c r="E196" s="16"/>
      <c r="F196" s="16"/>
      <c r="G196" s="16"/>
      <c r="H196" s="16"/>
    </row>
    <row r="197" spans="1:8" x14ac:dyDescent="0.2">
      <c r="A197" s="16"/>
      <c r="B197" s="16"/>
      <c r="C197" s="16"/>
      <c r="D197" s="16"/>
      <c r="E197" s="16"/>
      <c r="F197" s="16"/>
      <c r="G197" s="16"/>
      <c r="H197" s="16"/>
    </row>
    <row r="198" spans="1:8" x14ac:dyDescent="0.2">
      <c r="A198" s="16"/>
      <c r="B198" s="16"/>
      <c r="C198" s="16"/>
      <c r="D198" s="16"/>
      <c r="E198" s="16"/>
      <c r="F198" s="16"/>
      <c r="G198" s="16"/>
      <c r="H198" s="16"/>
    </row>
    <row r="199" spans="1:8" x14ac:dyDescent="0.2">
      <c r="A199" s="16"/>
      <c r="B199" s="16"/>
      <c r="C199" s="16"/>
      <c r="D199" s="16"/>
      <c r="E199" s="16"/>
      <c r="F199" s="16"/>
      <c r="G199" s="16"/>
      <c r="H199" s="16"/>
    </row>
    <row r="200" spans="1:8" x14ac:dyDescent="0.2">
      <c r="A200" s="16"/>
      <c r="B200" s="16"/>
      <c r="C200" s="16"/>
      <c r="D200" s="16"/>
      <c r="E200" s="16"/>
      <c r="F200" s="16"/>
      <c r="G200" s="16"/>
      <c r="H200" s="16"/>
    </row>
    <row r="201" spans="1:8" x14ac:dyDescent="0.2">
      <c r="A201" s="16"/>
      <c r="B201" s="16"/>
      <c r="C201" s="16"/>
      <c r="D201" s="16"/>
      <c r="E201" s="16"/>
      <c r="F201" s="16"/>
      <c r="G201" s="16"/>
      <c r="H201" s="16"/>
    </row>
    <row r="202" spans="1:8" x14ac:dyDescent="0.2">
      <c r="A202" s="16"/>
      <c r="B202" s="16"/>
      <c r="C202" s="16"/>
      <c r="D202" s="16"/>
      <c r="E202" s="16"/>
      <c r="F202" s="16"/>
      <c r="G202" s="16"/>
      <c r="H202" s="16"/>
    </row>
    <row r="203" spans="1:8" x14ac:dyDescent="0.2">
      <c r="A203" s="16"/>
      <c r="B203" s="16"/>
      <c r="C203" s="16"/>
      <c r="D203" s="16"/>
      <c r="E203" s="16"/>
      <c r="F203" s="16"/>
      <c r="G203" s="16"/>
      <c r="H203" s="16"/>
    </row>
    <row r="204" spans="1:8" x14ac:dyDescent="0.2">
      <c r="A204" s="16"/>
      <c r="B204" s="16"/>
      <c r="C204" s="16"/>
      <c r="D204" s="16"/>
      <c r="E204" s="16"/>
      <c r="F204" s="16"/>
      <c r="G204" s="16"/>
      <c r="H204" s="16"/>
    </row>
    <row r="205" spans="1:8" x14ac:dyDescent="0.2">
      <c r="A205" s="16"/>
      <c r="B205" s="16"/>
      <c r="C205" s="16"/>
      <c r="D205" s="16"/>
      <c r="E205" s="16"/>
      <c r="F205" s="16"/>
      <c r="G205" s="16"/>
      <c r="H205" s="16"/>
    </row>
    <row r="206" spans="1:8" x14ac:dyDescent="0.2">
      <c r="A206" s="16"/>
      <c r="B206" s="16"/>
      <c r="C206" s="16"/>
      <c r="D206" s="16"/>
      <c r="E206" s="16"/>
      <c r="F206" s="16"/>
      <c r="G206" s="16"/>
      <c r="H206" s="16"/>
    </row>
    <row r="207" spans="1:8" x14ac:dyDescent="0.2">
      <c r="A207" s="16"/>
      <c r="B207" s="16"/>
      <c r="C207" s="16"/>
      <c r="D207" s="16"/>
      <c r="E207" s="16"/>
      <c r="F207" s="16"/>
      <c r="G207" s="16"/>
      <c r="H207" s="16"/>
    </row>
    <row r="208" spans="1:8" x14ac:dyDescent="0.2">
      <c r="A208" s="16"/>
      <c r="B208" s="16"/>
      <c r="C208" s="16"/>
      <c r="D208" s="16"/>
      <c r="E208" s="16"/>
      <c r="F208" s="16"/>
      <c r="G208" s="16"/>
      <c r="H208" s="16"/>
    </row>
    <row r="209" spans="1:8" x14ac:dyDescent="0.2">
      <c r="A209" s="16"/>
      <c r="B209" s="16"/>
      <c r="C209" s="16"/>
      <c r="D209" s="16"/>
      <c r="E209" s="16"/>
      <c r="F209" s="16"/>
      <c r="G209" s="16"/>
      <c r="H209" s="16"/>
    </row>
    <row r="210" spans="1:8" x14ac:dyDescent="0.2">
      <c r="A210" s="16"/>
      <c r="B210" s="16"/>
      <c r="C210" s="16"/>
      <c r="D210" s="16"/>
      <c r="E210" s="16"/>
      <c r="F210" s="16"/>
      <c r="G210" s="16"/>
      <c r="H210" s="16"/>
    </row>
    <row r="211" spans="1:8" x14ac:dyDescent="0.2">
      <c r="A211" s="16"/>
      <c r="B211" s="16"/>
      <c r="C211" s="16"/>
      <c r="D211" s="16"/>
      <c r="E211" s="16"/>
      <c r="F211" s="16"/>
      <c r="G211" s="16"/>
      <c r="H211" s="16"/>
    </row>
    <row r="212" spans="1:8" x14ac:dyDescent="0.2">
      <c r="A212" s="16"/>
      <c r="B212" s="16"/>
      <c r="C212" s="16"/>
      <c r="D212" s="16"/>
      <c r="E212" s="16"/>
      <c r="F212" s="16"/>
      <c r="G212" s="16"/>
      <c r="H212" s="16"/>
    </row>
    <row r="213" spans="1:8" x14ac:dyDescent="0.2">
      <c r="A213" s="16"/>
      <c r="B213" s="16"/>
      <c r="C213" s="16"/>
      <c r="D213" s="16"/>
      <c r="E213" s="16"/>
      <c r="F213" s="16"/>
      <c r="G213" s="16"/>
      <c r="H213" s="16"/>
    </row>
    <row r="214" spans="1:8" x14ac:dyDescent="0.2">
      <c r="A214" s="16"/>
      <c r="B214" s="16"/>
      <c r="C214" s="16"/>
      <c r="D214" s="16"/>
      <c r="E214" s="16"/>
      <c r="F214" s="16"/>
      <c r="G214" s="16"/>
      <c r="H214" s="16"/>
    </row>
    <row r="215" spans="1:8" x14ac:dyDescent="0.2">
      <c r="A215" s="16"/>
      <c r="B215" s="16"/>
      <c r="C215" s="16"/>
      <c r="D215" s="16"/>
      <c r="E215" s="16"/>
      <c r="F215" s="16"/>
      <c r="G215" s="16"/>
      <c r="H215" s="16"/>
    </row>
    <row r="216" spans="1:8" x14ac:dyDescent="0.2">
      <c r="A216" s="16"/>
      <c r="B216" s="16"/>
      <c r="C216" s="16"/>
      <c r="D216" s="16"/>
      <c r="E216" s="16"/>
      <c r="F216" s="16"/>
      <c r="G216" s="16"/>
      <c r="H216" s="16"/>
    </row>
    <row r="217" spans="1:8" x14ac:dyDescent="0.2">
      <c r="A217" s="16"/>
      <c r="B217" s="16"/>
      <c r="C217" s="16"/>
      <c r="D217" s="16"/>
      <c r="E217" s="16"/>
      <c r="F217" s="16"/>
      <c r="G217" s="16"/>
      <c r="H217" s="16"/>
    </row>
    <row r="218" spans="1:8" x14ac:dyDescent="0.2">
      <c r="A218" s="16"/>
      <c r="B218" s="16"/>
      <c r="C218" s="16"/>
      <c r="D218" s="16"/>
      <c r="E218" s="16"/>
      <c r="F218" s="16"/>
      <c r="G218" s="16"/>
      <c r="H218" s="16"/>
    </row>
    <row r="219" spans="1:8" x14ac:dyDescent="0.2">
      <c r="A219" s="16"/>
      <c r="B219" s="16"/>
      <c r="C219" s="16"/>
      <c r="D219" s="16"/>
      <c r="E219" s="16"/>
      <c r="F219" s="16"/>
      <c r="G219" s="16"/>
      <c r="H219" s="16"/>
    </row>
    <row r="220" spans="1:8" x14ac:dyDescent="0.2">
      <c r="A220" s="16"/>
      <c r="B220" s="16"/>
      <c r="C220" s="16"/>
      <c r="D220" s="16"/>
      <c r="E220" s="16"/>
      <c r="F220" s="16"/>
      <c r="G220" s="16"/>
      <c r="H220" s="16"/>
    </row>
    <row r="221" spans="1:8" x14ac:dyDescent="0.2">
      <c r="A221" s="16"/>
      <c r="B221" s="16"/>
      <c r="C221" s="16"/>
      <c r="D221" s="16"/>
      <c r="E221" s="16"/>
      <c r="F221" s="16"/>
      <c r="G221" s="16"/>
      <c r="H221" s="16"/>
    </row>
    <row r="222" spans="1:8" x14ac:dyDescent="0.2">
      <c r="A222" s="16"/>
      <c r="B222" s="16"/>
      <c r="C222" s="16"/>
      <c r="D222" s="16"/>
      <c r="E222" s="16"/>
      <c r="F222" s="16"/>
      <c r="G222" s="16"/>
      <c r="H222" s="16"/>
    </row>
    <row r="223" spans="1:8" x14ac:dyDescent="0.2">
      <c r="A223" s="16"/>
      <c r="B223" s="16"/>
      <c r="C223" s="16"/>
      <c r="D223" s="16"/>
      <c r="E223" s="16"/>
      <c r="F223" s="16"/>
      <c r="G223" s="16"/>
      <c r="H223" s="16"/>
    </row>
    <row r="224" spans="1:8" x14ac:dyDescent="0.2">
      <c r="A224" s="16"/>
      <c r="B224" s="16"/>
      <c r="C224" s="16"/>
      <c r="D224" s="16"/>
      <c r="E224" s="16"/>
      <c r="F224" s="16"/>
      <c r="G224" s="16"/>
      <c r="H224" s="16"/>
    </row>
    <row r="225" spans="1:8" x14ac:dyDescent="0.2">
      <c r="A225" s="16"/>
      <c r="B225" s="16"/>
      <c r="C225" s="16"/>
      <c r="D225" s="16"/>
      <c r="E225" s="16"/>
      <c r="F225" s="16"/>
      <c r="G225" s="16"/>
      <c r="H225" s="16"/>
    </row>
    <row r="226" spans="1:8" x14ac:dyDescent="0.2">
      <c r="A226" s="16"/>
      <c r="B226" s="16"/>
      <c r="C226" s="16"/>
      <c r="D226" s="16"/>
      <c r="E226" s="16"/>
      <c r="F226" s="16"/>
      <c r="G226" s="16"/>
      <c r="H226" s="16"/>
    </row>
    <row r="227" spans="1:8" x14ac:dyDescent="0.2">
      <c r="A227" s="16"/>
      <c r="B227" s="16"/>
      <c r="C227" s="16"/>
      <c r="D227" s="16"/>
      <c r="E227" s="16"/>
      <c r="F227" s="16"/>
      <c r="G227" s="16"/>
      <c r="H227" s="16"/>
    </row>
    <row r="228" spans="1:8" x14ac:dyDescent="0.2">
      <c r="A228" s="16"/>
      <c r="B228" s="16"/>
      <c r="C228" s="16"/>
      <c r="D228" s="16"/>
      <c r="E228" s="16"/>
      <c r="F228" s="16"/>
      <c r="G228" s="16"/>
      <c r="H228" s="16"/>
    </row>
    <row r="229" spans="1:8" x14ac:dyDescent="0.2">
      <c r="A229" s="16"/>
      <c r="B229" s="16"/>
      <c r="C229" s="16"/>
      <c r="D229" s="16"/>
      <c r="E229" s="16"/>
      <c r="F229" s="16"/>
      <c r="G229" s="16"/>
      <c r="H229" s="16"/>
    </row>
    <row r="230" spans="1:8" x14ac:dyDescent="0.2">
      <c r="A230" s="16"/>
      <c r="B230" s="16"/>
      <c r="C230" s="16"/>
      <c r="D230" s="16"/>
      <c r="E230" s="16"/>
      <c r="F230" s="16"/>
      <c r="G230" s="16"/>
      <c r="H230" s="16"/>
    </row>
    <row r="231" spans="1:8" x14ac:dyDescent="0.2">
      <c r="A231" s="16"/>
      <c r="B231" s="16"/>
      <c r="C231" s="16"/>
      <c r="D231" s="16"/>
      <c r="E231" s="16"/>
      <c r="F231" s="16"/>
      <c r="G231" s="16"/>
      <c r="H231" s="16"/>
    </row>
    <row r="232" spans="1:8" x14ac:dyDescent="0.2">
      <c r="A232" s="16"/>
      <c r="B232" s="16"/>
      <c r="C232" s="16"/>
      <c r="D232" s="16"/>
      <c r="E232" s="16"/>
      <c r="F232" s="16"/>
      <c r="G232" s="16"/>
      <c r="H232" s="16"/>
    </row>
    <row r="233" spans="1:8" x14ac:dyDescent="0.2">
      <c r="A233" s="16"/>
      <c r="B233" s="16"/>
      <c r="C233" s="16"/>
      <c r="D233" s="16"/>
      <c r="E233" s="16"/>
      <c r="F233" s="16"/>
      <c r="G233" s="16"/>
      <c r="H233" s="16"/>
    </row>
    <row r="234" spans="1:8" x14ac:dyDescent="0.2">
      <c r="A234" s="16"/>
      <c r="B234" s="16"/>
      <c r="C234" s="16"/>
      <c r="D234" s="16"/>
      <c r="E234" s="16"/>
      <c r="F234" s="16"/>
      <c r="G234" s="16"/>
      <c r="H234" s="16"/>
    </row>
    <row r="235" spans="1:8" x14ac:dyDescent="0.2">
      <c r="A235" s="16"/>
      <c r="B235" s="16"/>
      <c r="C235" s="16"/>
      <c r="D235" s="16"/>
      <c r="E235" s="16"/>
      <c r="F235" s="16"/>
      <c r="G235" s="16"/>
      <c r="H235" s="16"/>
    </row>
    <row r="236" spans="1:8" x14ac:dyDescent="0.2">
      <c r="A236" s="16"/>
      <c r="B236" s="16"/>
      <c r="C236" s="16"/>
      <c r="D236" s="16"/>
      <c r="E236" s="16"/>
      <c r="F236" s="16"/>
      <c r="G236" s="16"/>
      <c r="H236" s="16"/>
    </row>
    <row r="237" spans="1:8" x14ac:dyDescent="0.2">
      <c r="A237" s="16"/>
      <c r="B237" s="16"/>
      <c r="C237" s="16"/>
      <c r="D237" s="16"/>
      <c r="E237" s="16"/>
      <c r="F237" s="16"/>
      <c r="G237" s="16"/>
      <c r="H237" s="16"/>
    </row>
    <row r="238" spans="1:8" x14ac:dyDescent="0.2">
      <c r="A238" s="16"/>
      <c r="B238" s="16"/>
      <c r="C238" s="16"/>
      <c r="D238" s="16"/>
      <c r="E238" s="16"/>
      <c r="F238" s="16"/>
      <c r="G238" s="16"/>
      <c r="H238" s="16"/>
    </row>
    <row r="239" spans="1:8" x14ac:dyDescent="0.2">
      <c r="A239" s="16"/>
      <c r="B239" s="16"/>
      <c r="C239" s="16"/>
      <c r="D239" s="16"/>
      <c r="E239" s="16"/>
      <c r="F239" s="16"/>
      <c r="G239" s="16"/>
      <c r="H239" s="16"/>
    </row>
    <row r="240" spans="1:8" x14ac:dyDescent="0.2">
      <c r="A240" s="16"/>
      <c r="B240" s="16"/>
      <c r="C240" s="16"/>
      <c r="D240" s="16"/>
      <c r="E240" s="16"/>
      <c r="F240" s="16"/>
      <c r="G240" s="16"/>
      <c r="H240" s="16"/>
    </row>
    <row r="241" spans="1:8" x14ac:dyDescent="0.2">
      <c r="A241" s="16"/>
      <c r="B241" s="16"/>
      <c r="C241" s="16"/>
      <c r="D241" s="16"/>
      <c r="E241" s="16"/>
      <c r="F241" s="16"/>
      <c r="G241" s="16"/>
      <c r="H241" s="16"/>
    </row>
    <row r="242" spans="1:8" x14ac:dyDescent="0.2">
      <c r="A242" s="16"/>
      <c r="B242" s="16"/>
      <c r="C242" s="16"/>
      <c r="D242" s="16"/>
      <c r="E242" s="16"/>
      <c r="F242" s="16"/>
      <c r="G242" s="16"/>
      <c r="H242" s="16"/>
    </row>
    <row r="243" spans="1:8" x14ac:dyDescent="0.2">
      <c r="A243" s="16"/>
      <c r="B243" s="16"/>
      <c r="C243" s="16"/>
      <c r="D243" s="16"/>
      <c r="E243" s="16"/>
      <c r="F243" s="16"/>
      <c r="G243" s="16"/>
      <c r="H243" s="16"/>
    </row>
    <row r="244" spans="1:8" x14ac:dyDescent="0.2">
      <c r="A244" s="16"/>
      <c r="B244" s="16"/>
      <c r="C244" s="16"/>
      <c r="D244" s="16"/>
      <c r="E244" s="16"/>
      <c r="F244" s="16"/>
      <c r="G244" s="16"/>
      <c r="H244" s="16"/>
    </row>
    <row r="245" spans="1:8" x14ac:dyDescent="0.2">
      <c r="A245" s="16"/>
      <c r="B245" s="16"/>
      <c r="C245" s="16"/>
      <c r="D245" s="16"/>
      <c r="E245" s="16"/>
      <c r="F245" s="16"/>
      <c r="G245" s="16"/>
      <c r="H245" s="16"/>
    </row>
    <row r="246" spans="1:8" x14ac:dyDescent="0.2">
      <c r="A246" s="16"/>
      <c r="B246" s="16"/>
      <c r="C246" s="16"/>
      <c r="D246" s="16"/>
      <c r="E246" s="16"/>
      <c r="F246" s="16"/>
      <c r="G246" s="16"/>
      <c r="H246" s="16"/>
    </row>
    <row r="247" spans="1:8" x14ac:dyDescent="0.2">
      <c r="A247" s="16"/>
      <c r="B247" s="16"/>
      <c r="C247" s="16"/>
      <c r="D247" s="16"/>
      <c r="E247" s="16"/>
      <c r="F247" s="16"/>
      <c r="G247" s="16"/>
      <c r="H247" s="16"/>
    </row>
    <row r="248" spans="1:8" x14ac:dyDescent="0.2">
      <c r="A248" s="16"/>
      <c r="B248" s="16"/>
      <c r="C248" s="16"/>
      <c r="D248" s="16"/>
      <c r="E248" s="16"/>
      <c r="F248" s="16"/>
      <c r="G248" s="16"/>
      <c r="H248" s="16"/>
    </row>
    <row r="249" spans="1:8" x14ac:dyDescent="0.2">
      <c r="A249" s="16"/>
      <c r="B249" s="16"/>
      <c r="C249" s="16"/>
      <c r="D249" s="16"/>
      <c r="E249" s="16"/>
      <c r="F249" s="16"/>
      <c r="G249" s="16"/>
      <c r="H249" s="16"/>
    </row>
    <row r="250" spans="1:8" x14ac:dyDescent="0.2">
      <c r="A250" s="16"/>
      <c r="B250" s="16"/>
      <c r="C250" s="16"/>
      <c r="D250" s="16"/>
      <c r="E250" s="16"/>
      <c r="F250" s="16"/>
      <c r="G250" s="16"/>
      <c r="H250" s="16"/>
    </row>
    <row r="251" spans="1:8" x14ac:dyDescent="0.2">
      <c r="A251" s="16"/>
      <c r="B251" s="16"/>
      <c r="C251" s="16"/>
      <c r="D251" s="16"/>
      <c r="E251" s="16"/>
      <c r="F251" s="16"/>
      <c r="G251" s="16"/>
      <c r="H251" s="16"/>
    </row>
    <row r="252" spans="1:8" x14ac:dyDescent="0.2">
      <c r="A252" s="16"/>
      <c r="B252" s="16"/>
      <c r="C252" s="16"/>
      <c r="D252" s="16"/>
      <c r="E252" s="16"/>
      <c r="F252" s="16"/>
      <c r="G252" s="16"/>
      <c r="H252" s="16"/>
    </row>
    <row r="253" spans="1:8" x14ac:dyDescent="0.2">
      <c r="A253" s="16"/>
      <c r="B253" s="16"/>
      <c r="C253" s="16"/>
      <c r="D253" s="16"/>
      <c r="E253" s="16"/>
      <c r="F253" s="16"/>
      <c r="G253" s="16"/>
      <c r="H253" s="16"/>
    </row>
    <row r="254" spans="1:8" x14ac:dyDescent="0.2">
      <c r="A254" s="16"/>
      <c r="B254" s="16"/>
      <c r="C254" s="16"/>
      <c r="D254" s="16"/>
      <c r="E254" s="16"/>
      <c r="F254" s="16"/>
      <c r="G254" s="16"/>
      <c r="H254" s="16"/>
    </row>
    <row r="255" spans="1:8" x14ac:dyDescent="0.2">
      <c r="A255" s="16"/>
      <c r="B255" s="16"/>
      <c r="C255" s="16"/>
      <c r="D255" s="16"/>
      <c r="E255" s="16"/>
      <c r="F255" s="16"/>
      <c r="G255" s="16"/>
      <c r="H255" s="16"/>
    </row>
    <row r="256" spans="1:8" x14ac:dyDescent="0.2">
      <c r="A256" s="16"/>
      <c r="B256" s="16"/>
      <c r="C256" s="16"/>
      <c r="D256" s="16"/>
      <c r="E256" s="16"/>
      <c r="F256" s="16"/>
      <c r="G256" s="16"/>
      <c r="H256" s="16"/>
    </row>
    <row r="257" spans="1:8" x14ac:dyDescent="0.2">
      <c r="A257" s="16"/>
      <c r="B257" s="16"/>
      <c r="C257" s="16"/>
      <c r="D257" s="16"/>
      <c r="E257" s="16"/>
      <c r="F257" s="16"/>
      <c r="G257" s="16"/>
      <c r="H257" s="16"/>
    </row>
    <row r="258" spans="1:8" x14ac:dyDescent="0.2">
      <c r="A258" s="16"/>
      <c r="B258" s="16"/>
      <c r="C258" s="16"/>
      <c r="D258" s="16"/>
      <c r="E258" s="16"/>
      <c r="F258" s="16"/>
      <c r="G258" s="16"/>
      <c r="H258" s="16"/>
    </row>
    <row r="259" spans="1:8" x14ac:dyDescent="0.2">
      <c r="A259" s="16"/>
      <c r="B259" s="16"/>
      <c r="C259" s="16"/>
      <c r="D259" s="16"/>
      <c r="E259" s="16"/>
      <c r="F259" s="16"/>
      <c r="G259" s="16"/>
      <c r="H259" s="16"/>
    </row>
    <row r="261" spans="1:8" x14ac:dyDescent="0.2">
      <c r="A261" s="17" t="s">
        <v>271</v>
      </c>
    </row>
  </sheetData>
  <dataValidations count="2">
    <dataValidation type="list" allowBlank="1" sqref="F2:F259" xr:uid="{00000000-0002-0000-0300-000001000000}">
      <formula1>"Yes,No"</formula1>
    </dataValidation>
    <dataValidation type="list" allowBlank="1" sqref="H2:H259" xr:uid="{00000000-0002-0000-0300-000002000000}">
      <formula1>"XS,S,M,L,XL,XXL"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0000000}">
          <x14:formula1>
            <xm:f>Teams!$B$2:$B$9</xm:f>
          </x14:formula1>
          <xm:sqref>C2:C259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131"/>
  <sheetViews>
    <sheetView workbookViewId="0">
      <pane xSplit="3" ySplit="2" topLeftCell="D16"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63" width="5.5" customWidth="1"/>
  </cols>
  <sheetData>
    <row r="1" spans="1:63" x14ac:dyDescent="0.2">
      <c r="A1" s="12" t="s">
        <v>186</v>
      </c>
      <c r="B1" s="12" t="s">
        <v>272</v>
      </c>
      <c r="C1" s="12" t="s">
        <v>184</v>
      </c>
      <c r="D1" s="56">
        <f>Instructions!$C$14-1</f>
        <v>46240</v>
      </c>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6">
        <f>Instructions!$C$14</f>
        <v>46241</v>
      </c>
      <c r="BA1" s="57"/>
      <c r="BB1" s="57"/>
      <c r="BC1" s="57"/>
      <c r="BD1" s="57"/>
      <c r="BE1" s="57"/>
      <c r="BF1" s="57"/>
      <c r="BG1" s="57"/>
      <c r="BH1" s="57"/>
      <c r="BI1" s="57"/>
      <c r="BJ1" s="57"/>
      <c r="BK1" s="57"/>
    </row>
    <row r="2" spans="1:63" ht="58" customHeight="1" x14ac:dyDescent="0.2">
      <c r="A2" s="22"/>
      <c r="B2" s="22"/>
      <c r="C2" s="22"/>
      <c r="D2" s="23">
        <v>0.5</v>
      </c>
      <c r="E2" s="23">
        <v>0.51041666666666663</v>
      </c>
      <c r="F2" s="23">
        <v>0.52083333333333337</v>
      </c>
      <c r="G2" s="23">
        <v>0.53125</v>
      </c>
      <c r="H2" s="23">
        <v>0.54166666666666663</v>
      </c>
      <c r="I2" s="23">
        <v>0.55208333333333337</v>
      </c>
      <c r="J2" s="23">
        <v>0.5625</v>
      </c>
      <c r="K2" s="23">
        <v>0.57291666666666663</v>
      </c>
      <c r="L2" s="23">
        <v>0.58333333333333337</v>
      </c>
      <c r="M2" s="23">
        <v>0.59375</v>
      </c>
      <c r="N2" s="23">
        <v>0.60416666666666663</v>
      </c>
      <c r="O2" s="23">
        <v>0.61458333333333337</v>
      </c>
      <c r="P2" s="23">
        <v>0.625</v>
      </c>
      <c r="Q2" s="23">
        <v>0.63541666666666663</v>
      </c>
      <c r="R2" s="23">
        <v>0.64583333333333337</v>
      </c>
      <c r="S2" s="23">
        <v>0.65625</v>
      </c>
      <c r="T2" s="23">
        <v>0.66666666666666663</v>
      </c>
      <c r="U2" s="23">
        <v>0.67708333333333337</v>
      </c>
      <c r="V2" s="23">
        <v>0.6875</v>
      </c>
      <c r="W2" s="23">
        <v>0.69791666666666663</v>
      </c>
      <c r="X2" s="23">
        <v>0.70833333333333337</v>
      </c>
      <c r="Y2" s="23">
        <v>0.71875</v>
      </c>
      <c r="Z2" s="23">
        <v>0.72916666666666663</v>
      </c>
      <c r="AA2" s="23">
        <v>0.73958333333333337</v>
      </c>
      <c r="AB2" s="23">
        <v>0.75</v>
      </c>
      <c r="AC2" s="23">
        <v>0.76041666666666663</v>
      </c>
      <c r="AD2" s="23">
        <v>0.77083333333333337</v>
      </c>
      <c r="AE2" s="23">
        <v>0.78125</v>
      </c>
      <c r="AF2" s="23">
        <v>0.79166666666666663</v>
      </c>
      <c r="AG2" s="23">
        <v>0.80208333333333337</v>
      </c>
      <c r="AH2" s="23">
        <v>0.8125</v>
      </c>
      <c r="AI2" s="23">
        <v>0.82291666666666663</v>
      </c>
      <c r="AJ2" s="23">
        <v>0.83333333333333337</v>
      </c>
      <c r="AK2" s="23">
        <v>0.84375</v>
      </c>
      <c r="AL2" s="23">
        <v>0.85416666666666663</v>
      </c>
      <c r="AM2" s="23">
        <v>0.86458333333333337</v>
      </c>
      <c r="AN2" s="23">
        <v>0.875</v>
      </c>
      <c r="AO2" s="23">
        <v>0.88541666666666663</v>
      </c>
      <c r="AP2" s="23">
        <v>0.89583333333333337</v>
      </c>
      <c r="AQ2" s="23">
        <v>0.90625</v>
      </c>
      <c r="AR2" s="23">
        <v>0.91666666666666663</v>
      </c>
      <c r="AS2" s="23">
        <v>0.92708333333333337</v>
      </c>
      <c r="AT2" s="23">
        <v>0.9375</v>
      </c>
      <c r="AU2" s="23">
        <v>0.94791666666666663</v>
      </c>
      <c r="AV2" s="23">
        <v>0.95833333333333337</v>
      </c>
      <c r="AW2" s="23">
        <v>0.96875</v>
      </c>
      <c r="AX2" s="23">
        <v>0.97916666666666663</v>
      </c>
      <c r="AY2" s="23">
        <v>0.98958333333333337</v>
      </c>
      <c r="AZ2" s="23">
        <v>0</v>
      </c>
      <c r="BA2" s="23">
        <v>1.041666666666667E-2</v>
      </c>
      <c r="BB2" s="23">
        <v>2.0833333333333329E-2</v>
      </c>
      <c r="BC2" s="23">
        <v>3.125E-2</v>
      </c>
      <c r="BD2" s="23">
        <v>4.1666666666666657E-2</v>
      </c>
      <c r="BE2" s="23">
        <v>5.2083333333333343E-2</v>
      </c>
      <c r="BF2" s="23">
        <v>6.25E-2</v>
      </c>
      <c r="BG2" s="23">
        <v>7.2916666666666671E-2</v>
      </c>
      <c r="BH2" s="23">
        <v>8.3333333333333329E-2</v>
      </c>
      <c r="BI2" s="23">
        <v>9.375E-2</v>
      </c>
      <c r="BJ2" s="23">
        <v>0.1041666666666667</v>
      </c>
      <c r="BK2" s="23">
        <v>0.1145833333333333</v>
      </c>
    </row>
    <row r="3" spans="1:63" ht="18" customHeight="1" x14ac:dyDescent="0.2">
      <c r="A3" s="58" t="s">
        <v>86</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60"/>
    </row>
    <row r="4" spans="1:63" ht="34" customHeight="1" x14ac:dyDescent="0.2">
      <c r="A4" s="61" t="s">
        <v>194</v>
      </c>
      <c r="B4" s="24"/>
      <c r="C4" s="20" t="str">
        <f>IF(TRIM($B4)="","",IFERROR(INDEX(People!$A$2:$A$199,MATCH(TRIM($B4),People!$B$2:$B$199,0)),IFERROR(INDEX(Teams!$A$2:$A$9,MATCH(TRIM($B4),Teams!$B$2:$B$9,0)),"?? CHECK NAME")))</f>
        <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row>
    <row r="5" spans="1:63" ht="34" customHeight="1" x14ac:dyDescent="0.2">
      <c r="A5" s="47"/>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row>
    <row r="6" spans="1:63" ht="34" customHeight="1" x14ac:dyDescent="0.2">
      <c r="A6" s="47"/>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row>
    <row r="7" spans="1:63" ht="34" customHeight="1" x14ac:dyDescent="0.2">
      <c r="A7" s="47"/>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row>
    <row r="8" spans="1:63" ht="34" customHeight="1" x14ac:dyDescent="0.2">
      <c r="A8" s="48"/>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row>
    <row r="9" spans="1:63" ht="34" customHeight="1" x14ac:dyDescent="0.2">
      <c r="A9" s="61" t="s">
        <v>273</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row>
    <row r="10" spans="1:63" ht="34" customHeight="1" x14ac:dyDescent="0.2">
      <c r="A10" s="47"/>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1:63" ht="34" customHeight="1" x14ac:dyDescent="0.2">
      <c r="A11" s="47"/>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row>
    <row r="12" spans="1:63" ht="34" customHeight="1" x14ac:dyDescent="0.2">
      <c r="A12" s="47"/>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row>
    <row r="13" spans="1:63" ht="34" customHeight="1" x14ac:dyDescent="0.2">
      <c r="A13" s="48"/>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row>
    <row r="14" spans="1:63" ht="34" customHeight="1" x14ac:dyDescent="0.2">
      <c r="A14" s="61" t="s">
        <v>274</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row>
    <row r="15" spans="1:63" ht="34" customHeight="1" x14ac:dyDescent="0.2">
      <c r="A15" s="47"/>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row>
    <row r="16" spans="1:63" ht="34" customHeight="1" x14ac:dyDescent="0.2">
      <c r="A16" s="47"/>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row>
    <row r="17" spans="1:63" ht="34" customHeight="1" x14ac:dyDescent="0.2">
      <c r="A17" s="47"/>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row>
    <row r="18" spans="1:63" ht="34" customHeight="1" x14ac:dyDescent="0.2">
      <c r="A18" s="48"/>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row>
    <row r="19" spans="1:63" ht="34" customHeight="1" x14ac:dyDescent="0.2">
      <c r="A19" s="61" t="s">
        <v>275</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row>
    <row r="20" spans="1:63" ht="34" customHeight="1" x14ac:dyDescent="0.2">
      <c r="A20" s="47"/>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row>
    <row r="21" spans="1:63" ht="34" customHeight="1" x14ac:dyDescent="0.2">
      <c r="A21" s="47"/>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row>
    <row r="22" spans="1:63" ht="34" customHeight="1" x14ac:dyDescent="0.2">
      <c r="A22" s="47"/>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row>
    <row r="23" spans="1:63" ht="34" customHeight="1" x14ac:dyDescent="0.2">
      <c r="A23" s="48"/>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row>
    <row r="24" spans="1:63" ht="34" customHeight="1" x14ac:dyDescent="0.2">
      <c r="A24" s="61" t="s">
        <v>276</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row>
    <row r="25" spans="1:63" ht="34" customHeight="1" x14ac:dyDescent="0.2">
      <c r="A25" s="47"/>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row>
    <row r="26" spans="1:63" ht="34" customHeight="1" x14ac:dyDescent="0.2">
      <c r="A26" s="47"/>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row>
    <row r="27" spans="1:63" ht="34" customHeight="1" x14ac:dyDescent="0.2">
      <c r="A27" s="47"/>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row>
    <row r="28" spans="1:63" ht="34" customHeight="1" x14ac:dyDescent="0.2">
      <c r="A28" s="48"/>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row>
    <row r="29" spans="1:63" ht="34" customHeight="1" x14ac:dyDescent="0.2">
      <c r="A29" s="61" t="s">
        <v>277</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row>
    <row r="30" spans="1:63" ht="34" customHeight="1" x14ac:dyDescent="0.2">
      <c r="A30" s="47"/>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row>
    <row r="31" spans="1:63" ht="34" customHeight="1" x14ac:dyDescent="0.2">
      <c r="A31" s="47"/>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row>
    <row r="32" spans="1:63" ht="34" customHeight="1" x14ac:dyDescent="0.2">
      <c r="A32" s="47"/>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row>
    <row r="33" spans="1:63" ht="34" customHeight="1" x14ac:dyDescent="0.2">
      <c r="A33" s="48"/>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row>
    <row r="34" spans="1:63" ht="34" customHeight="1" x14ac:dyDescent="0.2">
      <c r="A34" s="61" t="s">
        <v>278</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row>
    <row r="35" spans="1:63" ht="34" customHeight="1" x14ac:dyDescent="0.2">
      <c r="A35" s="47"/>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row>
    <row r="36" spans="1:63" ht="34" customHeight="1" x14ac:dyDescent="0.2">
      <c r="A36" s="47"/>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row>
    <row r="37" spans="1:63" ht="34" customHeight="1" x14ac:dyDescent="0.2">
      <c r="A37" s="47"/>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row>
    <row r="38" spans="1:63" ht="34" customHeight="1" x14ac:dyDescent="0.2">
      <c r="A38" s="48"/>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row>
    <row r="39" spans="1:63" ht="34" customHeight="1" x14ac:dyDescent="0.2">
      <c r="A39" s="61" t="s">
        <v>279</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row>
    <row r="40" spans="1:63" ht="34" customHeight="1" x14ac:dyDescent="0.2">
      <c r="A40" s="47"/>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row>
    <row r="41" spans="1:63" ht="34" customHeight="1" x14ac:dyDescent="0.2">
      <c r="A41" s="47"/>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row>
    <row r="42" spans="1:63" ht="34" customHeight="1" x14ac:dyDescent="0.2">
      <c r="A42" s="47"/>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row>
    <row r="43" spans="1:63" ht="34" customHeight="1" x14ac:dyDescent="0.2">
      <c r="A43" s="48"/>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row>
    <row r="44" spans="1:63" ht="34" customHeight="1" x14ac:dyDescent="0.2">
      <c r="A44" s="61" t="s">
        <v>221</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row>
    <row r="45" spans="1:63" ht="34" customHeight="1" x14ac:dyDescent="0.2">
      <c r="A45" s="47"/>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row>
    <row r="46" spans="1:63" ht="34" customHeight="1" x14ac:dyDescent="0.2">
      <c r="A46" s="47"/>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row>
    <row r="47" spans="1:63" ht="34" customHeight="1" x14ac:dyDescent="0.2">
      <c r="A47" s="47"/>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row>
    <row r="48" spans="1:63" ht="34" customHeight="1" x14ac:dyDescent="0.2">
      <c r="A48" s="48"/>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row>
    <row r="49" spans="1:63" ht="34" customHeight="1" x14ac:dyDescent="0.2">
      <c r="A49" s="61" t="s">
        <v>215</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row>
    <row r="50" spans="1:63" ht="34" customHeight="1" x14ac:dyDescent="0.2">
      <c r="A50" s="47"/>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row>
    <row r="51" spans="1:63" ht="34" customHeight="1" x14ac:dyDescent="0.2">
      <c r="A51" s="47"/>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row>
    <row r="52" spans="1:63" ht="34" customHeight="1" x14ac:dyDescent="0.2">
      <c r="A52" s="47"/>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row>
    <row r="53" spans="1:63" ht="34" customHeight="1" x14ac:dyDescent="0.2">
      <c r="A53" s="48"/>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row>
    <row r="54" spans="1:63" ht="34" customHeight="1" x14ac:dyDescent="0.2">
      <c r="A54" s="61" t="s">
        <v>280</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row>
    <row r="55" spans="1:63" ht="34" customHeight="1" x14ac:dyDescent="0.2">
      <c r="A55" s="47"/>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row>
    <row r="56" spans="1:63" ht="34" customHeight="1" x14ac:dyDescent="0.2">
      <c r="A56" s="47"/>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row>
    <row r="57" spans="1:63" ht="34" customHeight="1" x14ac:dyDescent="0.2">
      <c r="A57" s="47"/>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row>
    <row r="58" spans="1:63" ht="34" customHeight="1" x14ac:dyDescent="0.2">
      <c r="A58" s="48"/>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row>
    <row r="59" spans="1:63" ht="34" customHeight="1" x14ac:dyDescent="0.2">
      <c r="A59" s="61" t="s">
        <v>281</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row>
    <row r="60" spans="1:63" ht="34" customHeight="1" x14ac:dyDescent="0.2">
      <c r="A60" s="47"/>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row>
    <row r="61" spans="1:63" ht="34" customHeight="1" x14ac:dyDescent="0.2">
      <c r="A61" s="47"/>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row>
    <row r="62" spans="1:63" ht="34" customHeight="1" x14ac:dyDescent="0.2">
      <c r="A62" s="47"/>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row>
    <row r="63" spans="1:63" ht="34" customHeight="1" x14ac:dyDescent="0.2">
      <c r="A63" s="48"/>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row>
    <row r="64" spans="1:63" ht="34" customHeight="1" x14ac:dyDescent="0.2">
      <c r="A64" s="61" t="s">
        <v>282</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row>
    <row r="65" spans="1:63" ht="34" customHeight="1" x14ac:dyDescent="0.2">
      <c r="A65" s="47"/>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row>
    <row r="66" spans="1:63" ht="34" customHeight="1" x14ac:dyDescent="0.2">
      <c r="A66" s="47"/>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row>
    <row r="67" spans="1:63" ht="34" customHeight="1" x14ac:dyDescent="0.2">
      <c r="A67" s="47"/>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row>
    <row r="68" spans="1:63" ht="34" customHeight="1" x14ac:dyDescent="0.2">
      <c r="A68" s="48"/>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row>
    <row r="69" spans="1:63" ht="18" customHeight="1" x14ac:dyDescent="0.2">
      <c r="A69" s="58" t="s">
        <v>283</v>
      </c>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60"/>
    </row>
    <row r="70" spans="1:63" ht="34" customHeight="1" x14ac:dyDescent="0.2">
      <c r="A70" s="10" t="s">
        <v>187</v>
      </c>
      <c r="B70" s="26" t="s">
        <v>201</v>
      </c>
      <c r="C70" s="20" t="str">
        <f>IF(TRIM($B70)="","",IFERROR(INDEX(People!$A$2:$A$199,MATCH(TRIM($B70),People!$B$2:$B$199,0)),IFERROR(INDEX(Teams!$A$2:$A$9,MATCH(TRIM($B70),Teams!$B$2:$B$9,0)),"?? CHECK NAME")))</f>
        <v>TM-UNC</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row>
    <row r="71" spans="1:63" ht="34" customHeight="1" x14ac:dyDescent="0.2">
      <c r="A71" s="10" t="s">
        <v>187</v>
      </c>
      <c r="B71" s="26" t="s">
        <v>236</v>
      </c>
      <c r="C71" s="20" t="str">
        <f>IF(TRIM($B71)="","",IFERROR(INDEX(People!$A$2:$A$199,MATCH(TRIM($B71),People!$B$2:$B$199,0)),IFERROR(INDEX(Teams!$A$2:$A$9,MATCH(TRIM($B71),Teams!$B$2:$B$9,0)),"?? CHECK NAME")))</f>
        <v>TM-ILL</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row>
    <row r="72" spans="1:63" ht="34" customHeight="1" x14ac:dyDescent="0.2">
      <c r="A72" s="10" t="s">
        <v>187</v>
      </c>
      <c r="B72" s="26" t="s">
        <v>239</v>
      </c>
      <c r="C72" s="20" t="str">
        <f>IF(TRIM($B72)="","",IFERROR(INDEX(People!$A$2:$A$199,MATCH(TRIM($B72),People!$B$2:$B$199,0)),IFERROR(INDEX(Teams!$A$2:$A$9,MATCH(TRIM($B72),Teams!$B$2:$B$9,0)),"?? CHECK NAME")))</f>
        <v>TM-UTD</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row>
    <row r="73" spans="1:63" ht="34" customHeight="1" x14ac:dyDescent="0.2">
      <c r="A73" s="10" t="s">
        <v>187</v>
      </c>
      <c r="B73" s="26" t="s">
        <v>242</v>
      </c>
      <c r="C73" s="20" t="str">
        <f>IF(TRIM($B73)="","",IFERROR(INDEX(People!$A$2:$A$199,MATCH(TRIM($B73),People!$B$2:$B$199,0)),IFERROR(INDEX(Teams!$A$2:$A$9,MATCH(TRIM($B73),Teams!$B$2:$B$9,0)),"?? CHECK NAME")))</f>
        <v>TM-UVA</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row>
    <row r="74" spans="1:63" ht="34" customHeight="1" x14ac:dyDescent="0.2">
      <c r="A74" s="10" t="s">
        <v>187</v>
      </c>
      <c r="B74" s="26" t="s">
        <v>245</v>
      </c>
      <c r="C74" s="20" t="str">
        <f>IF(TRIM($B74)="","",IFERROR(INDEX(People!$A$2:$A$199,MATCH(TRIM($B74),People!$B$2:$B$199,0)),IFERROR(INDEX(Teams!$A$2:$A$9,MATCH(TRIM($B74),Teams!$B$2:$B$9,0)),"?? CHECK NAME")))</f>
        <v>TM-UMD</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row>
    <row r="75" spans="1:63" ht="34" customHeight="1" x14ac:dyDescent="0.2">
      <c r="A75" s="10" t="s">
        <v>187</v>
      </c>
      <c r="B75" s="26" t="s">
        <v>248</v>
      </c>
      <c r="C75" s="20" t="str">
        <f>IF(TRIM($B75)="","",IFERROR(INDEX(People!$A$2:$A$199,MATCH(TRIM($B75),People!$B$2:$B$199,0)),IFERROR(INDEX(Teams!$A$2:$A$9,MATCH(TRIM($B75),Teams!$B$2:$B$9,0)),"?? CHECK NAME")))</f>
        <v>TM-UMI</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row>
    <row r="76" spans="1:63" ht="34" customHeight="1" x14ac:dyDescent="0.2">
      <c r="A76" s="10" t="s">
        <v>187</v>
      </c>
      <c r="B76" s="26" t="s">
        <v>251</v>
      </c>
      <c r="C76" s="20" t="str">
        <f>IF(TRIM($B76)="","",IFERROR(INDEX(People!$A$2:$A$199,MATCH(TRIM($B76),People!$B$2:$B$199,0)),IFERROR(INDEX(Teams!$A$2:$A$9,MATCH(TRIM($B76),Teams!$B$2:$B$9,0)),"?? CHECK NAME")))</f>
        <v>TM-MSU</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row>
    <row r="77" spans="1:63" ht="34" customHeight="1" x14ac:dyDescent="0.2">
      <c r="A77" s="10" t="s">
        <v>187</v>
      </c>
      <c r="B77" s="26" t="s">
        <v>254</v>
      </c>
      <c r="C77" s="20" t="str">
        <f>IF(TRIM($B77)="","",IFERROR(INDEX(People!$A$2:$A$199,MATCH(TRIM($B77),People!$B$2:$B$199,0)),IFERROR(INDEX(Teams!$A$2:$A$9,MATCH(TRIM($B77),Teams!$B$2:$B$9,0)),"?? CHECK NAME")))</f>
        <v>TM-GT</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row>
    <row r="78" spans="1:63" ht="18" customHeight="1" x14ac:dyDescent="0.2">
      <c r="A78" s="58" t="s">
        <v>284</v>
      </c>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60"/>
    </row>
    <row r="79" spans="1:63" ht="34" customHeight="1" x14ac:dyDescent="0.2">
      <c r="A79" s="10" t="s">
        <v>285</v>
      </c>
      <c r="B79" s="11" t="s">
        <v>286</v>
      </c>
      <c r="C79" s="20" t="s">
        <v>287</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row>
    <row r="80" spans="1:63" ht="34" customHeight="1" x14ac:dyDescent="0.2">
      <c r="A80" s="10" t="s">
        <v>288</v>
      </c>
      <c r="B80" s="11" t="s">
        <v>289</v>
      </c>
      <c r="C80" s="20" t="s">
        <v>290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row>
    <row r="81" spans="1:63" ht="34" customHeight="1" x14ac:dyDescent="0.2">
      <c r="A81" s="61" t="s">
        <v>291</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row>
    <row r="82" spans="1:63" ht="34" customHeight="1" x14ac:dyDescent="0.2">
      <c r="A82" s="47"/>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row>
    <row r="83" spans="1:63" ht="34" customHeight="1" x14ac:dyDescent="0.2">
      <c r="A83" s="47"/>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row>
    <row r="84" spans="1:63" ht="34" customHeight="1" x14ac:dyDescent="0.2">
      <c r="A84" s="47"/>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row>
    <row r="85" spans="1:63" ht="34" customHeight="1" x14ac:dyDescent="0.2">
      <c r="A85" s="48"/>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row>
    <row r="86" spans="1:63" ht="18" customHeight="1" x14ac:dyDescent="0.2">
      <c r="A86" s="58" t="s">
        <v>292</v>
      </c>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60"/>
    </row>
    <row r="87" spans="1:63" ht="34" customHeight="1" x14ac:dyDescent="0.2">
      <c r="A87" s="46" t="s">
        <v>201</v>
      </c>
      <c r="B87" s="28" t="str">
        <f>IFERROR(INDEX(People!$B$2:$B$199,MATCH($A$87&amp;"#"&amp;1,People!$H$2:$H$199,0)),"")</f>
        <v>Example Liaison One</v>
      </c>
      <c r="C87" s="20" t="str">
        <f>IF(TRIM($B87)="","",IFERROR(INDEX(People!$A$2:$A$199,MATCH(TRIM($B87),People!$B$2:$B$199,0)),"?? CHECK NAME"))</f>
        <v>LIA-01</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row>
    <row r="88" spans="1:63" ht="34" customHeight="1" x14ac:dyDescent="0.2">
      <c r="A88" s="47"/>
      <c r="B88" s="28" t="str">
        <f>IFERROR(INDEX(People!$B$2:$B$199,MATCH($A$87&amp;"#"&amp;2,People!$H$2:$H$199,0)),"")</f>
        <v>Example Liaison Two</v>
      </c>
      <c r="C88" s="20" t="str">
        <f>IF(TRIM($B88)="","",IFERROR(INDEX(People!$A$2:$A$199,MATCH(TRIM($B88),People!$B$2:$B$199,0)),"?? CHECK NAME"))</f>
        <v>LIA-02</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row>
    <row r="89" spans="1:63" ht="34" customHeight="1" x14ac:dyDescent="0.2">
      <c r="A89" s="47"/>
      <c r="B89" s="28" t="str">
        <f>IFERROR(INDEX(People!$B$2:$B$199,MATCH($A$87&amp;"#"&amp;3,People!$H$2:$H$199,0)),"")</f>
        <v>Example Liaison Three</v>
      </c>
      <c r="C89" s="20" t="str">
        <f>IF(TRIM($B89)="","",IFERROR(INDEX(People!$A$2:$A$199,MATCH(TRIM($B89),People!$B$2:$B$199,0)),"?? CHECK NAME"))</f>
        <v>LIA-03</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row>
    <row r="90" spans="1:63" ht="34" customHeight="1" x14ac:dyDescent="0.2">
      <c r="A90" s="47"/>
      <c r="B90" s="28" t="str">
        <f>IFERROR(INDEX(People!$B$2:$B$199,MATCH($A$87&amp;"#"&amp;4,People!$H$2:$H$199,0)),"")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row>
    <row r="91" spans="1:63" ht="34" customHeight="1" x14ac:dyDescent="0.2">
      <c r="A91" s="48"/>
      <c r="B91" s="28" t="str">
        <f>IFERROR(INDEX(People!$B$2:$B$199,MATCH($A$87&amp;"#"&amp;5,People!$H$2:$H$199,0)),"")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row>
    <row r="92" spans="1:63" ht="34" customHeight="1" x14ac:dyDescent="0.2">
      <c r="A92" s="46" t="s">
        <v>236</v>
      </c>
      <c r="B92" s="28" t="str">
        <f>IFERROR(INDEX(People!$B$2:$B$199,MATCH($A$92&amp;"#"&amp;1,People!$H$2:$H$199,0)),"")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row>
    <row r="93" spans="1:63" ht="34" customHeight="1" x14ac:dyDescent="0.2">
      <c r="A93" s="47"/>
      <c r="B93" s="28" t="str">
        <f>IFERROR(INDEX(People!$B$2:$B$199,MATCH($A$92&amp;"#"&amp;2,People!$H$2:$H$199,0)),"")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row>
    <row r="94" spans="1:63" ht="34" customHeight="1" x14ac:dyDescent="0.2">
      <c r="A94" s="47"/>
      <c r="B94" s="28" t="str">
        <f>IFERROR(INDEX(People!$B$2:$B$199,MATCH($A$92&amp;"#"&amp;3,People!$H$2:$H$199,0)),"")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row>
    <row r="95" spans="1:63" ht="34" customHeight="1" x14ac:dyDescent="0.2">
      <c r="A95" s="47"/>
      <c r="B95" s="28" t="str">
        <f>IFERROR(INDEX(People!$B$2:$B$199,MATCH($A$92&amp;"#"&amp;4,People!$H$2:$H$199,0)),"")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row>
    <row r="96" spans="1:63" ht="34" customHeight="1" x14ac:dyDescent="0.2">
      <c r="A96" s="48"/>
      <c r="B96" s="28" t="str">
        <f>IFERROR(INDEX(People!$B$2:$B$199,MATCH($A$92&amp;"#"&amp;5,People!$H$2:$H$199,0)),"")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row>
    <row r="97" spans="1:63" ht="34" customHeight="1" x14ac:dyDescent="0.2">
      <c r="A97" s="46" t="s">
        <v>239</v>
      </c>
      <c r="B97" s="28" t="str">
        <f>IFERROR(INDEX(People!$B$2:$B$199,MATCH($A$97&amp;"#"&amp;1,People!$H$2:$H$199,0)),"")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row>
    <row r="98" spans="1:63" ht="34" customHeight="1" x14ac:dyDescent="0.2">
      <c r="A98" s="47"/>
      <c r="B98" s="28" t="str">
        <f>IFERROR(INDEX(People!$B$2:$B$199,MATCH($A$97&amp;"#"&amp;2,People!$H$2:$H$199,0)),"")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row>
    <row r="99" spans="1:63" ht="34" customHeight="1" x14ac:dyDescent="0.2">
      <c r="A99" s="47"/>
      <c r="B99" s="28" t="str">
        <f>IFERROR(INDEX(People!$B$2:$B$199,MATCH($A$97&amp;"#"&amp;3,People!$H$2:$H$199,0)),"")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row>
    <row r="100" spans="1:63" ht="34" customHeight="1" x14ac:dyDescent="0.2">
      <c r="A100" s="47"/>
      <c r="B100" s="28" t="str">
        <f>IFERROR(INDEX(People!$B$2:$B$199,MATCH($A$97&amp;"#"&amp;4,People!$H$2:$H$199,0)),"")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row>
    <row r="101" spans="1:63" ht="34" customHeight="1" x14ac:dyDescent="0.2">
      <c r="A101" s="48"/>
      <c r="B101" s="28" t="str">
        <f>IFERROR(INDEX(People!$B$2:$B$199,MATCH($A$97&amp;"#"&amp;5,People!$H$2:$H$199,0)),"")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row>
    <row r="102" spans="1:63" ht="34" customHeight="1" x14ac:dyDescent="0.2">
      <c r="A102" s="46" t="s">
        <v>242</v>
      </c>
      <c r="B102" s="28" t="str">
        <f>IFERROR(INDEX(People!$B$2:$B$199,MATCH($A$102&amp;"#"&amp;1,People!$H$2:$H$199,0)),"")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row>
    <row r="103" spans="1:63" ht="34" customHeight="1" x14ac:dyDescent="0.2">
      <c r="A103" s="47"/>
      <c r="B103" s="28" t="str">
        <f>IFERROR(INDEX(People!$B$2:$B$199,MATCH($A$102&amp;"#"&amp;2,People!$H$2:$H$199,0)),"")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row>
    <row r="104" spans="1:63" ht="34" customHeight="1" x14ac:dyDescent="0.2">
      <c r="A104" s="47"/>
      <c r="B104" s="28" t="str">
        <f>IFERROR(INDEX(People!$B$2:$B$199,MATCH($A$102&amp;"#"&amp;3,People!$H$2:$H$199,0)),"")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row>
    <row r="105" spans="1:63" ht="34" customHeight="1" x14ac:dyDescent="0.2">
      <c r="A105" s="47"/>
      <c r="B105" s="28" t="str">
        <f>IFERROR(INDEX(People!$B$2:$B$199,MATCH($A$102&amp;"#"&amp;4,People!$H$2:$H$199,0)),"")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row>
    <row r="106" spans="1:63" ht="34" customHeight="1" x14ac:dyDescent="0.2">
      <c r="A106" s="48"/>
      <c r="B106" s="28" t="str">
        <f>IFERROR(INDEX(People!$B$2:$B$199,MATCH($A$102&amp;"#"&amp;5,People!$H$2:$H$199,0)),"")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row>
    <row r="107" spans="1:63" ht="34" customHeight="1" x14ac:dyDescent="0.2">
      <c r="A107" s="46" t="s">
        <v>245</v>
      </c>
      <c r="B107" s="28" t="str">
        <f>IFERROR(INDEX(People!$B$2:$B$199,MATCH($A$107&amp;"#"&amp;1,People!$H$2:$H$199,0)),"")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row>
    <row r="108" spans="1:63" ht="34" customHeight="1" x14ac:dyDescent="0.2">
      <c r="A108" s="47"/>
      <c r="B108" s="28" t="str">
        <f>IFERROR(INDEX(People!$B$2:$B$199,MATCH($A$107&amp;"#"&amp;2,People!$H$2:$H$199,0)),"")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row>
    <row r="109" spans="1:63" ht="34" customHeight="1" x14ac:dyDescent="0.2">
      <c r="A109" s="47"/>
      <c r="B109" s="28" t="str">
        <f>IFERROR(INDEX(People!$B$2:$B$199,MATCH($A$107&amp;"#"&amp;3,People!$H$2:$H$199,0)),"")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row>
    <row r="110" spans="1:63" ht="34" customHeight="1" x14ac:dyDescent="0.2">
      <c r="A110" s="47"/>
      <c r="B110" s="28" t="str">
        <f>IFERROR(INDEX(People!$B$2:$B$199,MATCH($A$107&amp;"#"&amp;4,People!$H$2:$H$199,0)),"")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row>
    <row r="111" spans="1:63" ht="34" customHeight="1" x14ac:dyDescent="0.2">
      <c r="A111" s="48"/>
      <c r="B111" s="28" t="str">
        <f>IFERROR(INDEX(People!$B$2:$B$199,MATCH($A$107&amp;"#"&amp;5,People!$H$2:$H$199,0)),"")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row>
    <row r="112" spans="1:63" ht="34" customHeight="1" x14ac:dyDescent="0.2">
      <c r="A112" s="46" t="s">
        <v>248</v>
      </c>
      <c r="B112" s="28" t="str">
        <f>IFERROR(INDEX(People!$B$2:$B$199,MATCH($A$112&amp;"#"&amp;1,People!$H$2:$H$199,0)),"")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row>
    <row r="113" spans="1:63" ht="34" customHeight="1" x14ac:dyDescent="0.2">
      <c r="A113" s="47"/>
      <c r="B113" s="28" t="str">
        <f>IFERROR(INDEX(People!$B$2:$B$199,MATCH($A$112&amp;"#"&amp;2,People!$H$2:$H$199,0)),"")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row>
    <row r="114" spans="1:63" ht="34" customHeight="1" x14ac:dyDescent="0.2">
      <c r="A114" s="47"/>
      <c r="B114" s="28" t="str">
        <f>IFERROR(INDEX(People!$B$2:$B$199,MATCH($A$112&amp;"#"&amp;3,People!$H$2:$H$199,0)),"")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row>
    <row r="115" spans="1:63" ht="34" customHeight="1" x14ac:dyDescent="0.2">
      <c r="A115" s="47"/>
      <c r="B115" s="28" t="str">
        <f>IFERROR(INDEX(People!$B$2:$B$199,MATCH($A$112&amp;"#"&amp;4,People!$H$2:$H$199,0)),"")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row>
    <row r="116" spans="1:63" ht="34" customHeight="1" x14ac:dyDescent="0.2">
      <c r="A116" s="48"/>
      <c r="B116" s="28" t="str">
        <f>IFERROR(INDEX(People!$B$2:$B$199,MATCH($A$112&amp;"#"&amp;5,People!$H$2:$H$199,0)),"")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row>
    <row r="117" spans="1:63" ht="34" customHeight="1" x14ac:dyDescent="0.2">
      <c r="A117" s="46" t="s">
        <v>251</v>
      </c>
      <c r="B117" s="28" t="str">
        <f>IFERROR(INDEX(People!$B$2:$B$199,MATCH($A$117&amp;"#"&amp;1,People!$H$2:$H$199,0)),"")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row>
    <row r="118" spans="1:63" ht="34" customHeight="1" x14ac:dyDescent="0.2">
      <c r="A118" s="47"/>
      <c r="B118" s="28" t="str">
        <f>IFERROR(INDEX(People!$B$2:$B$199,MATCH($A$117&amp;"#"&amp;2,People!$H$2:$H$199,0)),"")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row>
    <row r="119" spans="1:63" ht="34" customHeight="1" x14ac:dyDescent="0.2">
      <c r="A119" s="47"/>
      <c r="B119" s="28" t="str">
        <f>IFERROR(INDEX(People!$B$2:$B$199,MATCH($A$117&amp;"#"&amp;3,People!$H$2:$H$199,0)),"")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row>
    <row r="120" spans="1:63" ht="34" customHeight="1" x14ac:dyDescent="0.2">
      <c r="A120" s="47"/>
      <c r="B120" s="28" t="str">
        <f>IFERROR(INDEX(People!$B$2:$B$199,MATCH($A$117&amp;"#"&amp;4,People!$H$2:$H$199,0)),"")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row>
    <row r="121" spans="1:63" ht="34" customHeight="1" x14ac:dyDescent="0.2">
      <c r="A121" s="48"/>
      <c r="B121" s="28" t="str">
        <f>IFERROR(INDEX(People!$B$2:$B$199,MATCH($A$117&amp;"#"&amp;5,People!$H$2:$H$199,0)),"")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row>
    <row r="122" spans="1:63" ht="34" customHeight="1" x14ac:dyDescent="0.2">
      <c r="A122" s="46" t="s">
        <v>254</v>
      </c>
      <c r="B122" s="28" t="str">
        <f>IFERROR(INDEX(People!$B$2:$B$199,MATCH($A$122&amp;"#"&amp;1,People!$H$2:$H$199,0)),"")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row>
    <row r="123" spans="1:63" ht="34" customHeight="1" x14ac:dyDescent="0.2">
      <c r="A123" s="47"/>
      <c r="B123" s="28" t="str">
        <f>IFERROR(INDEX(People!$B$2:$B$199,MATCH($A$122&amp;"#"&amp;2,People!$H$2:$H$199,0)),"")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row>
    <row r="124" spans="1:63" ht="34" customHeight="1" x14ac:dyDescent="0.2">
      <c r="A124" s="47"/>
      <c r="B124" s="28" t="str">
        <f>IFERROR(INDEX(People!$B$2:$B$199,MATCH($A$122&amp;"#"&amp;3,People!$H$2:$H$199,0)),"")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row>
    <row r="125" spans="1:63" ht="34" customHeight="1" x14ac:dyDescent="0.2">
      <c r="A125" s="47"/>
      <c r="B125" s="28" t="str">
        <f>IFERROR(INDEX(People!$B$2:$B$199,MATCH($A$122&amp;"#"&amp;4,People!$H$2:$H$199,0)),"")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row>
    <row r="126" spans="1:63" ht="34" customHeight="1" x14ac:dyDescent="0.2">
      <c r="A126" s="48"/>
      <c r="B126" s="28" t="str">
        <f>IFERROR(INDEX(People!$B$2:$B$199,MATCH($A$122&amp;"#"&amp;5,People!$H$2:$H$199,0)),"")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row>
    <row r="127" spans="1:63" ht="34" customHeight="1" x14ac:dyDescent="0.2">
      <c r="A127" s="61" t="s">
        <v>293</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row>
    <row r="128" spans="1:63" ht="34" customHeight="1" x14ac:dyDescent="0.2">
      <c r="A128" s="47"/>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row>
    <row r="129" spans="1:63" ht="34" customHeight="1" x14ac:dyDescent="0.2">
      <c r="A129" s="47"/>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row>
    <row r="130" spans="1:63" ht="34" customHeight="1" x14ac:dyDescent="0.2">
      <c r="A130" s="47"/>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row>
    <row r="131" spans="1:63" ht="34" customHeight="1" x14ac:dyDescent="0.2">
      <c r="A131" s="48"/>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row>
  </sheetData>
  <mergeCells count="29">
    <mergeCell ref="A122:A126"/>
    <mergeCell ref="A29:A33"/>
    <mergeCell ref="A9:A13"/>
    <mergeCell ref="A81:A85"/>
    <mergeCell ref="A127:A131"/>
    <mergeCell ref="A112:A116"/>
    <mergeCell ref="A19:A23"/>
    <mergeCell ref="A64:A68"/>
    <mergeCell ref="A59:A63"/>
    <mergeCell ref="A102:A106"/>
    <mergeCell ref="A117:A121"/>
    <mergeCell ref="A49:A53"/>
    <mergeCell ref="A107:A111"/>
    <mergeCell ref="A14:A18"/>
    <mergeCell ref="A97:A101"/>
    <mergeCell ref="A78:BK78"/>
    <mergeCell ref="A92:A96"/>
    <mergeCell ref="A39:A43"/>
    <mergeCell ref="A24:A28"/>
    <mergeCell ref="A54:A58"/>
    <mergeCell ref="A87:A91"/>
    <mergeCell ref="A69:BK69"/>
    <mergeCell ref="A44:A48"/>
    <mergeCell ref="AZ1:BK1"/>
    <mergeCell ref="D1:AY1"/>
    <mergeCell ref="A3:BK3"/>
    <mergeCell ref="A34:A38"/>
    <mergeCell ref="A86:BK86"/>
    <mergeCell ref="A4:A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E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83" width="5.5" customWidth="1"/>
  </cols>
  <sheetData>
    <row r="1" spans="1:83" x14ac:dyDescent="0.2">
      <c r="A1" s="12" t="s">
        <v>186</v>
      </c>
      <c r="B1" s="12" t="s">
        <v>272</v>
      </c>
      <c r="C1" s="12" t="s">
        <v>184</v>
      </c>
      <c r="D1" s="56">
        <f>Instructions!$C$14</f>
        <v>46241</v>
      </c>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6">
        <f>Instructions!$C$14+1</f>
        <v>46242</v>
      </c>
      <c r="CC1" s="57"/>
      <c r="CD1" s="57"/>
      <c r="CE1" s="57"/>
    </row>
    <row r="2" spans="1:83" ht="58" customHeight="1" x14ac:dyDescent="0.2">
      <c r="A2" s="22"/>
      <c r="B2" s="22"/>
      <c r="C2" s="22"/>
      <c r="D2" s="23">
        <v>0.20833333333333329</v>
      </c>
      <c r="E2" s="23">
        <v>0.21875</v>
      </c>
      <c r="F2" s="23">
        <v>0.22916666666666671</v>
      </c>
      <c r="G2" s="23">
        <v>0.23958333333333329</v>
      </c>
      <c r="H2" s="23">
        <v>0.25</v>
      </c>
      <c r="I2" s="23">
        <v>0.26041666666666669</v>
      </c>
      <c r="J2" s="23">
        <v>0.27083333333333331</v>
      </c>
      <c r="K2" s="23">
        <v>0.28125</v>
      </c>
      <c r="L2" s="23">
        <v>0.29166666666666669</v>
      </c>
      <c r="M2" s="23">
        <v>0.30208333333333331</v>
      </c>
      <c r="N2" s="23">
        <v>0.3125</v>
      </c>
      <c r="O2" s="23">
        <v>0.32291666666666669</v>
      </c>
      <c r="P2" s="23">
        <v>0.33333333333333331</v>
      </c>
      <c r="Q2" s="23">
        <v>0.34375</v>
      </c>
      <c r="R2" s="23">
        <v>0.35416666666666669</v>
      </c>
      <c r="S2" s="23">
        <v>0.36458333333333331</v>
      </c>
      <c r="T2" s="23">
        <v>0.375</v>
      </c>
      <c r="U2" s="23">
        <v>0.38541666666666669</v>
      </c>
      <c r="V2" s="23">
        <v>0.39583333333333331</v>
      </c>
      <c r="W2" s="23">
        <v>0.40625</v>
      </c>
      <c r="X2" s="23">
        <v>0.41666666666666669</v>
      </c>
      <c r="Y2" s="23">
        <v>0.42708333333333331</v>
      </c>
      <c r="Z2" s="23">
        <v>0.4375</v>
      </c>
      <c r="AA2" s="23">
        <v>0.44791666666666669</v>
      </c>
      <c r="AB2" s="23">
        <v>0.45833333333333331</v>
      </c>
      <c r="AC2" s="23">
        <v>0.46875</v>
      </c>
      <c r="AD2" s="23">
        <v>0.47916666666666669</v>
      </c>
      <c r="AE2" s="23">
        <v>0.48958333333333331</v>
      </c>
      <c r="AF2" s="23">
        <v>0.5</v>
      </c>
      <c r="AG2" s="23">
        <v>0.51041666666666663</v>
      </c>
      <c r="AH2" s="23">
        <v>0.52083333333333337</v>
      </c>
      <c r="AI2" s="23">
        <v>0.53125</v>
      </c>
      <c r="AJ2" s="23">
        <v>0.54166666666666663</v>
      </c>
      <c r="AK2" s="23">
        <v>0.55208333333333337</v>
      </c>
      <c r="AL2" s="23">
        <v>0.5625</v>
      </c>
      <c r="AM2" s="23">
        <v>0.57291666666666663</v>
      </c>
      <c r="AN2" s="23">
        <v>0.58333333333333337</v>
      </c>
      <c r="AO2" s="23">
        <v>0.59375</v>
      </c>
      <c r="AP2" s="23">
        <v>0.60416666666666663</v>
      </c>
      <c r="AQ2" s="23">
        <v>0.61458333333333337</v>
      </c>
      <c r="AR2" s="23">
        <v>0.625</v>
      </c>
      <c r="AS2" s="23">
        <v>0.63541666666666663</v>
      </c>
      <c r="AT2" s="23">
        <v>0.64583333333333337</v>
      </c>
      <c r="AU2" s="23">
        <v>0.65625</v>
      </c>
      <c r="AV2" s="23">
        <v>0.66666666666666663</v>
      </c>
      <c r="AW2" s="23">
        <v>0.67708333333333337</v>
      </c>
      <c r="AX2" s="23">
        <v>0.6875</v>
      </c>
      <c r="AY2" s="23">
        <v>0.69791666666666663</v>
      </c>
      <c r="AZ2" s="23">
        <v>0.70833333333333337</v>
      </c>
      <c r="BA2" s="23">
        <v>0.71875</v>
      </c>
      <c r="BB2" s="23">
        <v>0.72916666666666663</v>
      </c>
      <c r="BC2" s="23">
        <v>0.73958333333333337</v>
      </c>
      <c r="BD2" s="23">
        <v>0.75</v>
      </c>
      <c r="BE2" s="23">
        <v>0.76041666666666663</v>
      </c>
      <c r="BF2" s="23">
        <v>0.77083333333333337</v>
      </c>
      <c r="BG2" s="23">
        <v>0.78125</v>
      </c>
      <c r="BH2" s="23">
        <v>0.79166666666666663</v>
      </c>
      <c r="BI2" s="23">
        <v>0.80208333333333337</v>
      </c>
      <c r="BJ2" s="23">
        <v>0.8125</v>
      </c>
      <c r="BK2" s="23">
        <v>0.82291666666666663</v>
      </c>
      <c r="BL2" s="23">
        <v>0.83333333333333337</v>
      </c>
      <c r="BM2" s="23">
        <v>0.84375</v>
      </c>
      <c r="BN2" s="23">
        <v>0.85416666666666663</v>
      </c>
      <c r="BO2" s="23">
        <v>0.86458333333333337</v>
      </c>
      <c r="BP2" s="23">
        <v>0.875</v>
      </c>
      <c r="BQ2" s="23">
        <v>0.88541666666666663</v>
      </c>
      <c r="BR2" s="23">
        <v>0.89583333333333337</v>
      </c>
      <c r="BS2" s="23">
        <v>0.90625</v>
      </c>
      <c r="BT2" s="23">
        <v>0.91666666666666663</v>
      </c>
      <c r="BU2" s="23">
        <v>0.92708333333333337</v>
      </c>
      <c r="BV2" s="23">
        <v>0.9375</v>
      </c>
      <c r="BW2" s="23">
        <v>0.94791666666666663</v>
      </c>
      <c r="BX2" s="23">
        <v>0.95833333333333337</v>
      </c>
      <c r="BY2" s="23">
        <v>0.96875</v>
      </c>
      <c r="BZ2" s="23">
        <v>0.97916666666666663</v>
      </c>
      <c r="CA2" s="23">
        <v>0.98958333333333337</v>
      </c>
      <c r="CB2" s="23">
        <v>0</v>
      </c>
      <c r="CC2" s="23">
        <v>1.041666666666667E-2</v>
      </c>
      <c r="CD2" s="23">
        <v>2.0833333333333329E-2</v>
      </c>
      <c r="CE2" s="23">
        <v>3.125E-2</v>
      </c>
    </row>
    <row r="3" spans="1:83" ht="18" customHeight="1" x14ac:dyDescent="0.2">
      <c r="A3" s="58" t="s">
        <v>86</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60"/>
    </row>
    <row r="4" spans="1:83" ht="44" customHeight="1" x14ac:dyDescent="0.2">
      <c r="A4" s="61" t="s">
        <v>194</v>
      </c>
      <c r="B4" s="29" t="s">
        <v>193</v>
      </c>
      <c r="C4" s="20" t="str">
        <f>IF(TRIM($B4)="","",IFERROR(INDEX(People!$A$2:$A$199,MATCH(TRIM($B4),People!$B$2:$B$199,0)),IFERROR(INDEX(Teams!$A$2:$A$9,MATCH(TRIM($B4),Teams!$B$2:$B$9,0)),"?? CHECK NAME")))</f>
        <v>BRD-01</v>
      </c>
      <c r="D4" s="25"/>
      <c r="E4" s="25"/>
      <c r="F4" s="25"/>
      <c r="G4" s="25"/>
      <c r="H4" s="62" t="s">
        <v>71</v>
      </c>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4"/>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row>
    <row r="5" spans="1:83" ht="34" customHeight="1" x14ac:dyDescent="0.2">
      <c r="A5" s="47"/>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row>
    <row r="6" spans="1:83" ht="34" customHeight="1" x14ac:dyDescent="0.2">
      <c r="A6" s="47"/>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row>
    <row r="7" spans="1:83" ht="34" customHeight="1" x14ac:dyDescent="0.2">
      <c r="A7" s="47"/>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row>
    <row r="8" spans="1:83" ht="34" customHeight="1" x14ac:dyDescent="0.2">
      <c r="A8" s="48"/>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row>
    <row r="9" spans="1:83" ht="34" customHeight="1" x14ac:dyDescent="0.2">
      <c r="A9" s="61" t="s">
        <v>273</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row>
    <row r="10" spans="1:83" ht="34" customHeight="1" x14ac:dyDescent="0.2">
      <c r="A10" s="47"/>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row>
    <row r="11" spans="1:83" ht="34" customHeight="1" x14ac:dyDescent="0.2">
      <c r="A11" s="47"/>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row>
    <row r="12" spans="1:83" ht="34" customHeight="1" x14ac:dyDescent="0.2">
      <c r="A12" s="47"/>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row>
    <row r="13" spans="1:83" ht="34" customHeight="1" x14ac:dyDescent="0.2">
      <c r="A13" s="48"/>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row>
    <row r="14" spans="1:83" ht="34" customHeight="1" x14ac:dyDescent="0.2">
      <c r="A14" s="61" t="s">
        <v>274</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row>
    <row r="15" spans="1:83" ht="34" customHeight="1" x14ac:dyDescent="0.2">
      <c r="A15" s="47"/>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row>
    <row r="16" spans="1:83" ht="34" customHeight="1" x14ac:dyDescent="0.2">
      <c r="A16" s="47"/>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row>
    <row r="17" spans="1:83" ht="34" customHeight="1" x14ac:dyDescent="0.2">
      <c r="A17" s="47"/>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row>
    <row r="18" spans="1:83" ht="34" customHeight="1" x14ac:dyDescent="0.2">
      <c r="A18" s="48"/>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row>
    <row r="19" spans="1:83" ht="34" customHeight="1" x14ac:dyDescent="0.2">
      <c r="A19" s="61" t="s">
        <v>275</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row>
    <row r="20" spans="1:83" ht="34" customHeight="1" x14ac:dyDescent="0.2">
      <c r="A20" s="47"/>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row>
    <row r="21" spans="1:83" ht="34" customHeight="1" x14ac:dyDescent="0.2">
      <c r="A21" s="47"/>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row>
    <row r="22" spans="1:83" ht="34" customHeight="1" x14ac:dyDescent="0.2">
      <c r="A22" s="47"/>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row>
    <row r="23" spans="1:83" ht="34" customHeight="1" x14ac:dyDescent="0.2">
      <c r="A23" s="48"/>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row>
    <row r="24" spans="1:83" ht="34" customHeight="1" x14ac:dyDescent="0.2">
      <c r="A24" s="61" t="s">
        <v>276</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row>
    <row r="25" spans="1:83" ht="34" customHeight="1" x14ac:dyDescent="0.2">
      <c r="A25" s="47"/>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row>
    <row r="26" spans="1:83" ht="34" customHeight="1" x14ac:dyDescent="0.2">
      <c r="A26" s="47"/>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row>
    <row r="27" spans="1:83" ht="34" customHeight="1" x14ac:dyDescent="0.2">
      <c r="A27" s="47"/>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row>
    <row r="28" spans="1:83" ht="34" customHeight="1" x14ac:dyDescent="0.2">
      <c r="A28" s="48"/>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row>
    <row r="29" spans="1:83" ht="34" customHeight="1" x14ac:dyDescent="0.2">
      <c r="A29" s="61" t="s">
        <v>277</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row>
    <row r="30" spans="1:83" ht="34" customHeight="1" x14ac:dyDescent="0.2">
      <c r="A30" s="47"/>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row>
    <row r="31" spans="1:83" ht="34" customHeight="1" x14ac:dyDescent="0.2">
      <c r="A31" s="47"/>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row>
    <row r="32" spans="1:83" ht="34" customHeight="1" x14ac:dyDescent="0.2">
      <c r="A32" s="47"/>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row>
    <row r="33" spans="1:83" ht="34" customHeight="1" x14ac:dyDescent="0.2">
      <c r="A33" s="48"/>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row>
    <row r="34" spans="1:83" ht="34" customHeight="1" x14ac:dyDescent="0.2">
      <c r="A34" s="61" t="s">
        <v>278</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row>
    <row r="35" spans="1:83" ht="34" customHeight="1" x14ac:dyDescent="0.2">
      <c r="A35" s="47"/>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row>
    <row r="36" spans="1:83" ht="34" customHeight="1" x14ac:dyDescent="0.2">
      <c r="A36" s="47"/>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row>
    <row r="37" spans="1:83" ht="34" customHeight="1" x14ac:dyDescent="0.2">
      <c r="A37" s="47"/>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row>
    <row r="38" spans="1:83" ht="34" customHeight="1" x14ac:dyDescent="0.2">
      <c r="A38" s="48"/>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row>
    <row r="39" spans="1:83" ht="34" customHeight="1" x14ac:dyDescent="0.2">
      <c r="A39" s="61" t="s">
        <v>279</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row>
    <row r="40" spans="1:83" ht="34" customHeight="1" x14ac:dyDescent="0.2">
      <c r="A40" s="47"/>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row>
    <row r="41" spans="1:83" ht="34" customHeight="1" x14ac:dyDescent="0.2">
      <c r="A41" s="47"/>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row>
    <row r="42" spans="1:83" ht="34" customHeight="1" x14ac:dyDescent="0.2">
      <c r="A42" s="47"/>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row>
    <row r="43" spans="1:83" ht="34" customHeight="1" x14ac:dyDescent="0.2">
      <c r="A43" s="48"/>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row>
    <row r="44" spans="1:83" ht="34" customHeight="1" x14ac:dyDescent="0.2">
      <c r="A44" s="61" t="s">
        <v>221</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row>
    <row r="45" spans="1:83" ht="34" customHeight="1" x14ac:dyDescent="0.2">
      <c r="A45" s="47"/>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row>
    <row r="46" spans="1:83" ht="34" customHeight="1" x14ac:dyDescent="0.2">
      <c r="A46" s="47"/>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row>
    <row r="47" spans="1:83" ht="34" customHeight="1" x14ac:dyDescent="0.2">
      <c r="A47" s="47"/>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row>
    <row r="48" spans="1:83" ht="34" customHeight="1" x14ac:dyDescent="0.2">
      <c r="A48" s="48"/>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row>
    <row r="49" spans="1:83" ht="34" customHeight="1" x14ac:dyDescent="0.2">
      <c r="A49" s="61" t="s">
        <v>215</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row>
    <row r="50" spans="1:83" ht="34" customHeight="1" x14ac:dyDescent="0.2">
      <c r="A50" s="47"/>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row>
    <row r="51" spans="1:83" ht="34" customHeight="1" x14ac:dyDescent="0.2">
      <c r="A51" s="47"/>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row>
    <row r="52" spans="1:83" ht="34" customHeight="1" x14ac:dyDescent="0.2">
      <c r="A52" s="47"/>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row>
    <row r="53" spans="1:83" ht="34" customHeight="1" x14ac:dyDescent="0.2">
      <c r="A53" s="48"/>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row>
    <row r="54" spans="1:83" ht="34" customHeight="1" x14ac:dyDescent="0.2">
      <c r="A54" s="61" t="s">
        <v>280</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row>
    <row r="55" spans="1:83" ht="34" customHeight="1" x14ac:dyDescent="0.2">
      <c r="A55" s="47"/>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row>
    <row r="56" spans="1:83" ht="34" customHeight="1" x14ac:dyDescent="0.2">
      <c r="A56" s="47"/>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row>
    <row r="57" spans="1:83" ht="34" customHeight="1" x14ac:dyDescent="0.2">
      <c r="A57" s="47"/>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row>
    <row r="58" spans="1:83" ht="34" customHeight="1" x14ac:dyDescent="0.2">
      <c r="A58" s="48"/>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row>
    <row r="59" spans="1:83" ht="34" customHeight="1" x14ac:dyDescent="0.2">
      <c r="A59" s="61" t="s">
        <v>281</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row>
    <row r="60" spans="1:83" ht="34" customHeight="1" x14ac:dyDescent="0.2">
      <c r="A60" s="47"/>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row>
    <row r="61" spans="1:83" ht="34" customHeight="1" x14ac:dyDescent="0.2">
      <c r="A61" s="47"/>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row>
    <row r="62" spans="1:83" ht="34" customHeight="1" x14ac:dyDescent="0.2">
      <c r="A62" s="47"/>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row>
    <row r="63" spans="1:83" ht="34" customHeight="1" x14ac:dyDescent="0.2">
      <c r="A63" s="48"/>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row>
    <row r="64" spans="1:83" ht="34" customHeight="1" x14ac:dyDescent="0.2">
      <c r="A64" s="61" t="s">
        <v>282</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row>
    <row r="65" spans="1:83" ht="34" customHeight="1" x14ac:dyDescent="0.2">
      <c r="A65" s="47"/>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row>
    <row r="66" spans="1:83" ht="34" customHeight="1" x14ac:dyDescent="0.2">
      <c r="A66" s="47"/>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row>
    <row r="67" spans="1:83" ht="34" customHeight="1" x14ac:dyDescent="0.2">
      <c r="A67" s="47"/>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row>
    <row r="68" spans="1:83" ht="34" customHeight="1" x14ac:dyDescent="0.2">
      <c r="A68" s="48"/>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row>
    <row r="69" spans="1:83" ht="18" customHeight="1" x14ac:dyDescent="0.2">
      <c r="A69" s="58" t="s">
        <v>283</v>
      </c>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60"/>
    </row>
    <row r="70" spans="1:83" ht="34" customHeight="1" x14ac:dyDescent="0.2">
      <c r="A70" s="10" t="s">
        <v>187</v>
      </c>
      <c r="B70" s="26" t="s">
        <v>201</v>
      </c>
      <c r="C70" s="20" t="str">
        <f>IF(TRIM($B70)="","",IFERROR(INDEX(People!$A$2:$A$199,MATCH(TRIM($B70),People!$B$2:$B$199,0)),IFERROR(INDEX(Teams!$A$2:$A$9,MATCH(TRIM($B70),Teams!$B$2:$B$9,0)),"?? CHECK NAME")))</f>
        <v>TM-UNC</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row>
    <row r="71" spans="1:83" ht="34" customHeight="1" x14ac:dyDescent="0.2">
      <c r="A71" s="10" t="s">
        <v>187</v>
      </c>
      <c r="B71" s="26" t="s">
        <v>236</v>
      </c>
      <c r="C71" s="20" t="str">
        <f>IF(TRIM($B71)="","",IFERROR(INDEX(People!$A$2:$A$199,MATCH(TRIM($B71),People!$B$2:$B$199,0)),IFERROR(INDEX(Teams!$A$2:$A$9,MATCH(TRIM($B71),Teams!$B$2:$B$9,0)),"?? CHECK NAME")))</f>
        <v>TM-ILL</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row>
    <row r="72" spans="1:83" ht="34" customHeight="1" x14ac:dyDescent="0.2">
      <c r="A72" s="10" t="s">
        <v>187</v>
      </c>
      <c r="B72" s="26" t="s">
        <v>239</v>
      </c>
      <c r="C72" s="20" t="str">
        <f>IF(TRIM($B72)="","",IFERROR(INDEX(People!$A$2:$A$199,MATCH(TRIM($B72),People!$B$2:$B$199,0)),IFERROR(INDEX(Teams!$A$2:$A$9,MATCH(TRIM($B72),Teams!$B$2:$B$9,0)),"?? CHECK NAME")))</f>
        <v>TM-UTD</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row>
    <row r="73" spans="1:83" ht="34" customHeight="1" x14ac:dyDescent="0.2">
      <c r="A73" s="10" t="s">
        <v>187</v>
      </c>
      <c r="B73" s="26" t="s">
        <v>242</v>
      </c>
      <c r="C73" s="20" t="str">
        <f>IF(TRIM($B73)="","",IFERROR(INDEX(People!$A$2:$A$199,MATCH(TRIM($B73),People!$B$2:$B$199,0)),IFERROR(INDEX(Teams!$A$2:$A$9,MATCH(TRIM($B73),Teams!$B$2:$B$9,0)),"?? CHECK NAME")))</f>
        <v>TM-UVA</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row>
    <row r="74" spans="1:83" ht="34" customHeight="1" x14ac:dyDescent="0.2">
      <c r="A74" s="10" t="s">
        <v>187</v>
      </c>
      <c r="B74" s="26" t="s">
        <v>245</v>
      </c>
      <c r="C74" s="20" t="str">
        <f>IF(TRIM($B74)="","",IFERROR(INDEX(People!$A$2:$A$199,MATCH(TRIM($B74),People!$B$2:$B$199,0)),IFERROR(INDEX(Teams!$A$2:$A$9,MATCH(TRIM($B74),Teams!$B$2:$B$9,0)),"?? CHECK NAME")))</f>
        <v>TM-UMD</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row>
    <row r="75" spans="1:83" ht="34" customHeight="1" x14ac:dyDescent="0.2">
      <c r="A75" s="10" t="s">
        <v>187</v>
      </c>
      <c r="B75" s="26" t="s">
        <v>248</v>
      </c>
      <c r="C75" s="20" t="str">
        <f>IF(TRIM($B75)="","",IFERROR(INDEX(People!$A$2:$A$199,MATCH(TRIM($B75),People!$B$2:$B$199,0)),IFERROR(INDEX(Teams!$A$2:$A$9,MATCH(TRIM($B75),Teams!$B$2:$B$9,0)),"?? CHECK NAME")))</f>
        <v>TM-UMI</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row>
    <row r="76" spans="1:83" ht="34" customHeight="1" x14ac:dyDescent="0.2">
      <c r="A76" s="10" t="s">
        <v>187</v>
      </c>
      <c r="B76" s="26" t="s">
        <v>251</v>
      </c>
      <c r="C76" s="20" t="str">
        <f>IF(TRIM($B76)="","",IFERROR(INDEX(People!$A$2:$A$199,MATCH(TRIM($B76),People!$B$2:$B$199,0)),IFERROR(INDEX(Teams!$A$2:$A$9,MATCH(TRIM($B76),Teams!$B$2:$B$9,0)),"?? CHECK NAME")))</f>
        <v>TM-MSU</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row>
    <row r="77" spans="1:83" ht="34" customHeight="1" x14ac:dyDescent="0.2">
      <c r="A77" s="10" t="s">
        <v>187</v>
      </c>
      <c r="B77" s="26" t="s">
        <v>254</v>
      </c>
      <c r="C77" s="20" t="str">
        <f>IF(TRIM($B77)="","",IFERROR(INDEX(People!$A$2:$A$199,MATCH(TRIM($B77),People!$B$2:$B$199,0)),IFERROR(INDEX(Teams!$A$2:$A$9,MATCH(TRIM($B77),Teams!$B$2:$B$9,0)),"?? CHECK NAME")))</f>
        <v>TM-GT</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row>
    <row r="78" spans="1:83" ht="18" customHeight="1" x14ac:dyDescent="0.2">
      <c r="A78" s="58" t="s">
        <v>284</v>
      </c>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60"/>
    </row>
    <row r="79" spans="1:83" ht="34" customHeight="1" x14ac:dyDescent="0.2">
      <c r="A79" s="10" t="s">
        <v>285</v>
      </c>
      <c r="B79" s="11" t="s">
        <v>286</v>
      </c>
      <c r="C79" s="20" t="s">
        <v>287</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row>
    <row r="80" spans="1:83" ht="34" customHeight="1" x14ac:dyDescent="0.2">
      <c r="A80" s="10" t="s">
        <v>288</v>
      </c>
      <c r="B80" s="11" t="s">
        <v>289</v>
      </c>
      <c r="C80" s="20" t="s">
        <v>290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row>
    <row r="81" spans="1:83" ht="34" customHeight="1" x14ac:dyDescent="0.2">
      <c r="A81" s="61" t="s">
        <v>291</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row>
    <row r="82" spans="1:83" ht="34" customHeight="1" x14ac:dyDescent="0.2">
      <c r="A82" s="47"/>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row>
    <row r="83" spans="1:83" ht="34" customHeight="1" x14ac:dyDescent="0.2">
      <c r="A83" s="47"/>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row>
    <row r="84" spans="1:83" ht="34" customHeight="1" x14ac:dyDescent="0.2">
      <c r="A84" s="47"/>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row>
    <row r="85" spans="1:83" ht="34" customHeight="1" x14ac:dyDescent="0.2">
      <c r="A85" s="48"/>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row>
    <row r="86" spans="1:83" ht="18" customHeight="1" x14ac:dyDescent="0.2">
      <c r="A86" s="58" t="s">
        <v>292</v>
      </c>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60"/>
    </row>
    <row r="87" spans="1:83" ht="34" customHeight="1" x14ac:dyDescent="0.2">
      <c r="A87" s="46" t="s">
        <v>201</v>
      </c>
      <c r="B87" s="28" t="str">
        <f>IFERROR(INDEX(People!$B$2:$B$199,MATCH($A$87&amp;"#"&amp;1,People!$H$2:$H$199,0)),"")</f>
        <v>Example Liaison One</v>
      </c>
      <c r="C87" s="20" t="str">
        <f>IF(TRIM($B87)="","",IFERROR(INDEX(People!$A$2:$A$199,MATCH(TRIM($B87),People!$B$2:$B$199,0)),"?? CHECK NAME"))</f>
        <v>LIA-01</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row>
    <row r="88" spans="1:83" ht="34" customHeight="1" x14ac:dyDescent="0.2">
      <c r="A88" s="47"/>
      <c r="B88" s="28" t="str">
        <f>IFERROR(INDEX(People!$B$2:$B$199,MATCH($A$87&amp;"#"&amp;2,People!$H$2:$H$199,0)),"")</f>
        <v>Example Liaison Two</v>
      </c>
      <c r="C88" s="20" t="str">
        <f>IF(TRIM($B88)="","",IFERROR(INDEX(People!$A$2:$A$199,MATCH(TRIM($B88),People!$B$2:$B$199,0)),"?? CHECK NAME"))</f>
        <v>LIA-02</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row>
    <row r="89" spans="1:83" ht="34" customHeight="1" x14ac:dyDescent="0.2">
      <c r="A89" s="47"/>
      <c r="B89" s="28" t="str">
        <f>IFERROR(INDEX(People!$B$2:$B$199,MATCH($A$87&amp;"#"&amp;3,People!$H$2:$H$199,0)),"")</f>
        <v>Example Liaison Three</v>
      </c>
      <c r="C89" s="20" t="str">
        <f>IF(TRIM($B89)="","",IFERROR(INDEX(People!$A$2:$A$199,MATCH(TRIM($B89),People!$B$2:$B$199,0)),"?? CHECK NAME"))</f>
        <v>LIA-03</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row>
    <row r="90" spans="1:83" ht="34" customHeight="1" x14ac:dyDescent="0.2">
      <c r="A90" s="47"/>
      <c r="B90" s="28" t="str">
        <f>IFERROR(INDEX(People!$B$2:$B$199,MATCH($A$87&amp;"#"&amp;4,People!$H$2:$H$199,0)),"")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row>
    <row r="91" spans="1:83" ht="34" customHeight="1" x14ac:dyDescent="0.2">
      <c r="A91" s="48"/>
      <c r="B91" s="28" t="str">
        <f>IFERROR(INDEX(People!$B$2:$B$199,MATCH($A$87&amp;"#"&amp;5,People!$H$2:$H$199,0)),"")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row>
    <row r="92" spans="1:83" ht="34" customHeight="1" x14ac:dyDescent="0.2">
      <c r="A92" s="46" t="s">
        <v>236</v>
      </c>
      <c r="B92" s="28" t="str">
        <f>IFERROR(INDEX(People!$B$2:$B$199,MATCH($A$92&amp;"#"&amp;1,People!$H$2:$H$199,0)),"")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row>
    <row r="93" spans="1:83" ht="34" customHeight="1" x14ac:dyDescent="0.2">
      <c r="A93" s="47"/>
      <c r="B93" s="28" t="str">
        <f>IFERROR(INDEX(People!$B$2:$B$199,MATCH($A$92&amp;"#"&amp;2,People!$H$2:$H$199,0)),"")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row>
    <row r="94" spans="1:83" ht="34" customHeight="1" x14ac:dyDescent="0.2">
      <c r="A94" s="47"/>
      <c r="B94" s="28" t="str">
        <f>IFERROR(INDEX(People!$B$2:$B$199,MATCH($A$92&amp;"#"&amp;3,People!$H$2:$H$199,0)),"")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row>
    <row r="95" spans="1:83" ht="34" customHeight="1" x14ac:dyDescent="0.2">
      <c r="A95" s="47"/>
      <c r="B95" s="28" t="str">
        <f>IFERROR(INDEX(People!$B$2:$B$199,MATCH($A$92&amp;"#"&amp;4,People!$H$2:$H$199,0)),"")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row>
    <row r="96" spans="1:83" ht="34" customHeight="1" x14ac:dyDescent="0.2">
      <c r="A96" s="48"/>
      <c r="B96" s="28" t="str">
        <f>IFERROR(INDEX(People!$B$2:$B$199,MATCH($A$92&amp;"#"&amp;5,People!$H$2:$H$199,0)),"")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row>
    <row r="97" spans="1:83" ht="34" customHeight="1" x14ac:dyDescent="0.2">
      <c r="A97" s="46" t="s">
        <v>239</v>
      </c>
      <c r="B97" s="28" t="str">
        <f>IFERROR(INDEX(People!$B$2:$B$199,MATCH($A$97&amp;"#"&amp;1,People!$H$2:$H$199,0)),"")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row>
    <row r="98" spans="1:83" ht="34" customHeight="1" x14ac:dyDescent="0.2">
      <c r="A98" s="47"/>
      <c r="B98" s="28" t="str">
        <f>IFERROR(INDEX(People!$B$2:$B$199,MATCH($A$97&amp;"#"&amp;2,People!$H$2:$H$199,0)),"")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row>
    <row r="99" spans="1:83" ht="34" customHeight="1" x14ac:dyDescent="0.2">
      <c r="A99" s="47"/>
      <c r="B99" s="28" t="str">
        <f>IFERROR(INDEX(People!$B$2:$B$199,MATCH($A$97&amp;"#"&amp;3,People!$H$2:$H$199,0)),"")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row>
    <row r="100" spans="1:83" ht="34" customHeight="1" x14ac:dyDescent="0.2">
      <c r="A100" s="47"/>
      <c r="B100" s="28" t="str">
        <f>IFERROR(INDEX(People!$B$2:$B$199,MATCH($A$97&amp;"#"&amp;4,People!$H$2:$H$199,0)),"")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row>
    <row r="101" spans="1:83" ht="34" customHeight="1" x14ac:dyDescent="0.2">
      <c r="A101" s="48"/>
      <c r="B101" s="28" t="str">
        <f>IFERROR(INDEX(People!$B$2:$B$199,MATCH($A$97&amp;"#"&amp;5,People!$H$2:$H$199,0)),"")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row>
    <row r="102" spans="1:83" ht="34" customHeight="1" x14ac:dyDescent="0.2">
      <c r="A102" s="46" t="s">
        <v>242</v>
      </c>
      <c r="B102" s="28" t="str">
        <f>IFERROR(INDEX(People!$B$2:$B$199,MATCH($A$102&amp;"#"&amp;1,People!$H$2:$H$199,0)),"")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row>
    <row r="103" spans="1:83" ht="34" customHeight="1" x14ac:dyDescent="0.2">
      <c r="A103" s="47"/>
      <c r="B103" s="28" t="str">
        <f>IFERROR(INDEX(People!$B$2:$B$199,MATCH($A$102&amp;"#"&amp;2,People!$H$2:$H$199,0)),"")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row>
    <row r="104" spans="1:83" ht="34" customHeight="1" x14ac:dyDescent="0.2">
      <c r="A104" s="47"/>
      <c r="B104" s="28" t="str">
        <f>IFERROR(INDEX(People!$B$2:$B$199,MATCH($A$102&amp;"#"&amp;3,People!$H$2:$H$199,0)),"")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row>
    <row r="105" spans="1:83" ht="34" customHeight="1" x14ac:dyDescent="0.2">
      <c r="A105" s="47"/>
      <c r="B105" s="28" t="str">
        <f>IFERROR(INDEX(People!$B$2:$B$199,MATCH($A$102&amp;"#"&amp;4,People!$H$2:$H$199,0)),"")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row>
    <row r="106" spans="1:83" ht="34" customHeight="1" x14ac:dyDescent="0.2">
      <c r="A106" s="48"/>
      <c r="B106" s="28" t="str">
        <f>IFERROR(INDEX(People!$B$2:$B$199,MATCH($A$102&amp;"#"&amp;5,People!$H$2:$H$199,0)),"")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row>
    <row r="107" spans="1:83" ht="34" customHeight="1" x14ac:dyDescent="0.2">
      <c r="A107" s="46" t="s">
        <v>245</v>
      </c>
      <c r="B107" s="28" t="str">
        <f>IFERROR(INDEX(People!$B$2:$B$199,MATCH($A$107&amp;"#"&amp;1,People!$H$2:$H$199,0)),"")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row>
    <row r="108" spans="1:83" ht="34" customHeight="1" x14ac:dyDescent="0.2">
      <c r="A108" s="47"/>
      <c r="B108" s="28" t="str">
        <f>IFERROR(INDEX(People!$B$2:$B$199,MATCH($A$107&amp;"#"&amp;2,People!$H$2:$H$199,0)),"")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row>
    <row r="109" spans="1:83" ht="34" customHeight="1" x14ac:dyDescent="0.2">
      <c r="A109" s="47"/>
      <c r="B109" s="28" t="str">
        <f>IFERROR(INDEX(People!$B$2:$B$199,MATCH($A$107&amp;"#"&amp;3,People!$H$2:$H$199,0)),"")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row>
    <row r="110" spans="1:83" ht="34" customHeight="1" x14ac:dyDescent="0.2">
      <c r="A110" s="47"/>
      <c r="B110" s="28" t="str">
        <f>IFERROR(INDEX(People!$B$2:$B$199,MATCH($A$107&amp;"#"&amp;4,People!$H$2:$H$199,0)),"")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row>
    <row r="111" spans="1:83" ht="34" customHeight="1" x14ac:dyDescent="0.2">
      <c r="A111" s="48"/>
      <c r="B111" s="28" t="str">
        <f>IFERROR(INDEX(People!$B$2:$B$199,MATCH($A$107&amp;"#"&amp;5,People!$H$2:$H$199,0)),"")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row>
    <row r="112" spans="1:83" ht="34" customHeight="1" x14ac:dyDescent="0.2">
      <c r="A112" s="46" t="s">
        <v>248</v>
      </c>
      <c r="B112" s="28" t="str">
        <f>IFERROR(INDEX(People!$B$2:$B$199,MATCH($A$112&amp;"#"&amp;1,People!$H$2:$H$199,0)),"")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row>
    <row r="113" spans="1:83" ht="34" customHeight="1" x14ac:dyDescent="0.2">
      <c r="A113" s="47"/>
      <c r="B113" s="28" t="str">
        <f>IFERROR(INDEX(People!$B$2:$B$199,MATCH($A$112&amp;"#"&amp;2,People!$H$2:$H$199,0)),"")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row>
    <row r="114" spans="1:83" ht="34" customHeight="1" x14ac:dyDescent="0.2">
      <c r="A114" s="47"/>
      <c r="B114" s="28" t="str">
        <f>IFERROR(INDEX(People!$B$2:$B$199,MATCH($A$112&amp;"#"&amp;3,People!$H$2:$H$199,0)),"")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row>
    <row r="115" spans="1:83" ht="34" customHeight="1" x14ac:dyDescent="0.2">
      <c r="A115" s="47"/>
      <c r="B115" s="28" t="str">
        <f>IFERROR(INDEX(People!$B$2:$B$199,MATCH($A$112&amp;"#"&amp;4,People!$H$2:$H$199,0)),"")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row>
    <row r="116" spans="1:83" ht="34" customHeight="1" x14ac:dyDescent="0.2">
      <c r="A116" s="48"/>
      <c r="B116" s="28" t="str">
        <f>IFERROR(INDEX(People!$B$2:$B$199,MATCH($A$112&amp;"#"&amp;5,People!$H$2:$H$199,0)),"")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row>
    <row r="117" spans="1:83" ht="34" customHeight="1" x14ac:dyDescent="0.2">
      <c r="A117" s="46" t="s">
        <v>251</v>
      </c>
      <c r="B117" s="28" t="str">
        <f>IFERROR(INDEX(People!$B$2:$B$199,MATCH($A$117&amp;"#"&amp;1,People!$H$2:$H$199,0)),"")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row>
    <row r="118" spans="1:83" ht="34" customHeight="1" x14ac:dyDescent="0.2">
      <c r="A118" s="47"/>
      <c r="B118" s="28" t="str">
        <f>IFERROR(INDEX(People!$B$2:$B$199,MATCH($A$117&amp;"#"&amp;2,People!$H$2:$H$199,0)),"")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row>
    <row r="119" spans="1:83" ht="34" customHeight="1" x14ac:dyDescent="0.2">
      <c r="A119" s="47"/>
      <c r="B119" s="28" t="str">
        <f>IFERROR(INDEX(People!$B$2:$B$199,MATCH($A$117&amp;"#"&amp;3,People!$H$2:$H$199,0)),"")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row>
    <row r="120" spans="1:83" ht="34" customHeight="1" x14ac:dyDescent="0.2">
      <c r="A120" s="47"/>
      <c r="B120" s="28" t="str">
        <f>IFERROR(INDEX(People!$B$2:$B$199,MATCH($A$117&amp;"#"&amp;4,People!$H$2:$H$199,0)),"")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row>
    <row r="121" spans="1:83" ht="34" customHeight="1" x14ac:dyDescent="0.2">
      <c r="A121" s="48"/>
      <c r="B121" s="28" t="str">
        <f>IFERROR(INDEX(People!$B$2:$B$199,MATCH($A$117&amp;"#"&amp;5,People!$H$2:$H$199,0)),"")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row>
    <row r="122" spans="1:83" ht="34" customHeight="1" x14ac:dyDescent="0.2">
      <c r="A122" s="46" t="s">
        <v>254</v>
      </c>
      <c r="B122" s="28" t="str">
        <f>IFERROR(INDEX(People!$B$2:$B$199,MATCH($A$122&amp;"#"&amp;1,People!$H$2:$H$199,0)),"")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row>
    <row r="123" spans="1:83" ht="34" customHeight="1" x14ac:dyDescent="0.2">
      <c r="A123" s="47"/>
      <c r="B123" s="28" t="str">
        <f>IFERROR(INDEX(People!$B$2:$B$199,MATCH($A$122&amp;"#"&amp;2,People!$H$2:$H$199,0)),"")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row>
    <row r="124" spans="1:83" ht="34" customHeight="1" x14ac:dyDescent="0.2">
      <c r="A124" s="47"/>
      <c r="B124" s="28" t="str">
        <f>IFERROR(INDEX(People!$B$2:$B$199,MATCH($A$122&amp;"#"&amp;3,People!$H$2:$H$199,0)),"")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row>
    <row r="125" spans="1:83" ht="34" customHeight="1" x14ac:dyDescent="0.2">
      <c r="A125" s="47"/>
      <c r="B125" s="28" t="str">
        <f>IFERROR(INDEX(People!$B$2:$B$199,MATCH($A$122&amp;"#"&amp;4,People!$H$2:$H$199,0)),"")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row>
    <row r="126" spans="1:83" ht="34" customHeight="1" x14ac:dyDescent="0.2">
      <c r="A126" s="48"/>
      <c r="B126" s="28" t="str">
        <f>IFERROR(INDEX(People!$B$2:$B$199,MATCH($A$122&amp;"#"&amp;5,People!$H$2:$H$199,0)),"")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row>
    <row r="127" spans="1:83" ht="34" customHeight="1" x14ac:dyDescent="0.2">
      <c r="A127" s="61" t="s">
        <v>293</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row>
    <row r="128" spans="1:83" ht="34" customHeight="1" x14ac:dyDescent="0.2">
      <c r="A128" s="47"/>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row>
    <row r="129" spans="1:83" ht="34" customHeight="1" x14ac:dyDescent="0.2">
      <c r="A129" s="47"/>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row>
    <row r="130" spans="1:83" ht="34" customHeight="1" x14ac:dyDescent="0.2">
      <c r="A130" s="47"/>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row>
    <row r="131" spans="1:83" ht="34" customHeight="1" x14ac:dyDescent="0.2">
      <c r="A131" s="48"/>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row>
  </sheetData>
  <mergeCells count="30">
    <mergeCell ref="A4:A8"/>
    <mergeCell ref="A14:A18"/>
    <mergeCell ref="CB1:CE1"/>
    <mergeCell ref="A97:A101"/>
    <mergeCell ref="A44:A48"/>
    <mergeCell ref="H4:AY4"/>
    <mergeCell ref="D1:CA1"/>
    <mergeCell ref="A3:CE3"/>
    <mergeCell ref="A122:A126"/>
    <mergeCell ref="A29:A33"/>
    <mergeCell ref="A9:A13"/>
    <mergeCell ref="A81:A85"/>
    <mergeCell ref="A127:A131"/>
    <mergeCell ref="A112:A116"/>
    <mergeCell ref="A19:A23"/>
    <mergeCell ref="A64:A68"/>
    <mergeCell ref="A59:A63"/>
    <mergeCell ref="A102:A106"/>
    <mergeCell ref="A117:A121"/>
    <mergeCell ref="A49:A53"/>
    <mergeCell ref="A34:A38"/>
    <mergeCell ref="A92:A96"/>
    <mergeCell ref="A39:A43"/>
    <mergeCell ref="A24:A28"/>
    <mergeCell ref="A107:A111"/>
    <mergeCell ref="A69:CE69"/>
    <mergeCell ref="A78:CE78"/>
    <mergeCell ref="A54:A58"/>
    <mergeCell ref="A87:A91"/>
    <mergeCell ref="A86:CE8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K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89" width="5.5" customWidth="1"/>
  </cols>
  <sheetData>
    <row r="1" spans="1:89" x14ac:dyDescent="0.2">
      <c r="A1" s="12" t="s">
        <v>186</v>
      </c>
      <c r="B1" s="12" t="s">
        <v>272</v>
      </c>
      <c r="C1" s="12" t="s">
        <v>184</v>
      </c>
      <c r="D1" s="56">
        <f>Instructions!$C$14+1</f>
        <v>46242</v>
      </c>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6">
        <f>Instructions!$C$14+2</f>
        <v>46243</v>
      </c>
      <c r="CI1" s="57"/>
      <c r="CJ1" s="57"/>
      <c r="CK1" s="57"/>
    </row>
    <row r="2" spans="1:89" ht="58" customHeight="1" x14ac:dyDescent="0.2">
      <c r="A2" s="22"/>
      <c r="B2" s="22"/>
      <c r="C2" s="22"/>
      <c r="D2" s="23">
        <v>0.14583333333333329</v>
      </c>
      <c r="E2" s="23">
        <v>0.15625</v>
      </c>
      <c r="F2" s="23">
        <v>0.16666666666666671</v>
      </c>
      <c r="G2" s="23">
        <v>0.17708333333333329</v>
      </c>
      <c r="H2" s="23">
        <v>0.1875</v>
      </c>
      <c r="I2" s="23">
        <v>0.19791666666666671</v>
      </c>
      <c r="J2" s="23">
        <v>0.20833333333333329</v>
      </c>
      <c r="K2" s="23">
        <v>0.21875</v>
      </c>
      <c r="L2" s="23">
        <v>0.22916666666666671</v>
      </c>
      <c r="M2" s="23">
        <v>0.23958333333333329</v>
      </c>
      <c r="N2" s="23">
        <v>0.25</v>
      </c>
      <c r="O2" s="23">
        <v>0.26041666666666669</v>
      </c>
      <c r="P2" s="23">
        <v>0.27083333333333331</v>
      </c>
      <c r="Q2" s="23">
        <v>0.28125</v>
      </c>
      <c r="R2" s="23">
        <v>0.29166666666666669</v>
      </c>
      <c r="S2" s="23">
        <v>0.30208333333333331</v>
      </c>
      <c r="T2" s="23">
        <v>0.3125</v>
      </c>
      <c r="U2" s="23">
        <v>0.32291666666666669</v>
      </c>
      <c r="V2" s="23">
        <v>0.33333333333333331</v>
      </c>
      <c r="W2" s="23">
        <v>0.34375</v>
      </c>
      <c r="X2" s="23">
        <v>0.35416666666666669</v>
      </c>
      <c r="Y2" s="23">
        <v>0.36458333333333331</v>
      </c>
      <c r="Z2" s="23">
        <v>0.375</v>
      </c>
      <c r="AA2" s="23">
        <v>0.38541666666666669</v>
      </c>
      <c r="AB2" s="23">
        <v>0.39583333333333331</v>
      </c>
      <c r="AC2" s="23">
        <v>0.40625</v>
      </c>
      <c r="AD2" s="23">
        <v>0.41666666666666669</v>
      </c>
      <c r="AE2" s="23">
        <v>0.42708333333333331</v>
      </c>
      <c r="AF2" s="23">
        <v>0.4375</v>
      </c>
      <c r="AG2" s="23">
        <v>0.44791666666666669</v>
      </c>
      <c r="AH2" s="23">
        <v>0.45833333333333331</v>
      </c>
      <c r="AI2" s="23">
        <v>0.46875</v>
      </c>
      <c r="AJ2" s="23">
        <v>0.47916666666666669</v>
      </c>
      <c r="AK2" s="23">
        <v>0.48958333333333331</v>
      </c>
      <c r="AL2" s="23">
        <v>0.5</v>
      </c>
      <c r="AM2" s="23">
        <v>0.51041666666666663</v>
      </c>
      <c r="AN2" s="23">
        <v>0.52083333333333337</v>
      </c>
      <c r="AO2" s="23">
        <v>0.53125</v>
      </c>
      <c r="AP2" s="23">
        <v>0.54166666666666663</v>
      </c>
      <c r="AQ2" s="23">
        <v>0.55208333333333337</v>
      </c>
      <c r="AR2" s="23">
        <v>0.5625</v>
      </c>
      <c r="AS2" s="23">
        <v>0.57291666666666663</v>
      </c>
      <c r="AT2" s="23">
        <v>0.58333333333333337</v>
      </c>
      <c r="AU2" s="23">
        <v>0.59375</v>
      </c>
      <c r="AV2" s="23">
        <v>0.60416666666666663</v>
      </c>
      <c r="AW2" s="23">
        <v>0.61458333333333337</v>
      </c>
      <c r="AX2" s="23">
        <v>0.625</v>
      </c>
      <c r="AY2" s="23">
        <v>0.63541666666666663</v>
      </c>
      <c r="AZ2" s="23">
        <v>0.64583333333333337</v>
      </c>
      <c r="BA2" s="23">
        <v>0.65625</v>
      </c>
      <c r="BB2" s="23">
        <v>0.66666666666666663</v>
      </c>
      <c r="BC2" s="23">
        <v>0.67708333333333337</v>
      </c>
      <c r="BD2" s="23">
        <v>0.6875</v>
      </c>
      <c r="BE2" s="23">
        <v>0.69791666666666663</v>
      </c>
      <c r="BF2" s="23">
        <v>0.70833333333333337</v>
      </c>
      <c r="BG2" s="23">
        <v>0.71875</v>
      </c>
      <c r="BH2" s="23">
        <v>0.72916666666666663</v>
      </c>
      <c r="BI2" s="23">
        <v>0.73958333333333337</v>
      </c>
      <c r="BJ2" s="23">
        <v>0.75</v>
      </c>
      <c r="BK2" s="23">
        <v>0.76041666666666663</v>
      </c>
      <c r="BL2" s="23">
        <v>0.77083333333333337</v>
      </c>
      <c r="BM2" s="23">
        <v>0.78125</v>
      </c>
      <c r="BN2" s="23">
        <v>0.79166666666666663</v>
      </c>
      <c r="BO2" s="23">
        <v>0.80208333333333337</v>
      </c>
      <c r="BP2" s="23">
        <v>0.8125</v>
      </c>
      <c r="BQ2" s="23">
        <v>0.82291666666666663</v>
      </c>
      <c r="BR2" s="23">
        <v>0.83333333333333337</v>
      </c>
      <c r="BS2" s="23">
        <v>0.84375</v>
      </c>
      <c r="BT2" s="23">
        <v>0.85416666666666663</v>
      </c>
      <c r="BU2" s="23">
        <v>0.86458333333333337</v>
      </c>
      <c r="BV2" s="23">
        <v>0.875</v>
      </c>
      <c r="BW2" s="23">
        <v>0.88541666666666663</v>
      </c>
      <c r="BX2" s="23">
        <v>0.89583333333333337</v>
      </c>
      <c r="BY2" s="23">
        <v>0.90625</v>
      </c>
      <c r="BZ2" s="23">
        <v>0.91666666666666663</v>
      </c>
      <c r="CA2" s="23">
        <v>0.92708333333333337</v>
      </c>
      <c r="CB2" s="23">
        <v>0.9375</v>
      </c>
      <c r="CC2" s="23">
        <v>0.94791666666666663</v>
      </c>
      <c r="CD2" s="23">
        <v>0.95833333333333337</v>
      </c>
      <c r="CE2" s="23">
        <v>0.96875</v>
      </c>
      <c r="CF2" s="23">
        <v>0.97916666666666663</v>
      </c>
      <c r="CG2" s="23">
        <v>0.98958333333333337</v>
      </c>
      <c r="CH2" s="23">
        <v>0</v>
      </c>
      <c r="CI2" s="23">
        <v>1.041666666666667E-2</v>
      </c>
      <c r="CJ2" s="23">
        <v>2.0833333333333329E-2</v>
      </c>
      <c r="CK2" s="23">
        <v>3.125E-2</v>
      </c>
    </row>
    <row r="3" spans="1:89" ht="18" customHeight="1" x14ac:dyDescent="0.2">
      <c r="A3" s="58" t="s">
        <v>86</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60"/>
    </row>
    <row r="4" spans="1:89" ht="34" customHeight="1" x14ac:dyDescent="0.2">
      <c r="A4" s="61" t="s">
        <v>194</v>
      </c>
      <c r="B4" s="24"/>
      <c r="C4" s="20" t="str">
        <f>IF(TRIM($B4)="","",IFERROR(INDEX(People!$A$2:$A$199,MATCH(TRIM($B4),People!$B$2:$B$199,0)),IFERROR(INDEX(Teams!$A$2:$A$9,MATCH(TRIM($B4),Teams!$B$2:$B$9,0)),"?? CHECK NAME")))</f>
        <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row>
    <row r="5" spans="1:89" ht="34" customHeight="1" x14ac:dyDescent="0.2">
      <c r="A5" s="47"/>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row>
    <row r="6" spans="1:89" ht="34" customHeight="1" x14ac:dyDescent="0.2">
      <c r="A6" s="47"/>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row>
    <row r="7" spans="1:89" ht="34" customHeight="1" x14ac:dyDescent="0.2">
      <c r="A7" s="47"/>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row>
    <row r="8" spans="1:89" ht="34" customHeight="1" x14ac:dyDescent="0.2">
      <c r="A8" s="48"/>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row>
    <row r="9" spans="1:89" ht="34" customHeight="1" x14ac:dyDescent="0.2">
      <c r="A9" s="61" t="s">
        <v>273</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row>
    <row r="10" spans="1:89" ht="34" customHeight="1" x14ac:dyDescent="0.2">
      <c r="A10" s="47"/>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row>
    <row r="11" spans="1:89" ht="34" customHeight="1" x14ac:dyDescent="0.2">
      <c r="A11" s="47"/>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row>
    <row r="12" spans="1:89" ht="34" customHeight="1" x14ac:dyDescent="0.2">
      <c r="A12" s="47"/>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row>
    <row r="13" spans="1:89" ht="34" customHeight="1" x14ac:dyDescent="0.2">
      <c r="A13" s="48"/>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row>
    <row r="14" spans="1:89" ht="34" customHeight="1" x14ac:dyDescent="0.2">
      <c r="A14" s="61" t="s">
        <v>274</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row>
    <row r="15" spans="1:89" ht="34" customHeight="1" x14ac:dyDescent="0.2">
      <c r="A15" s="47"/>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row>
    <row r="16" spans="1:89" ht="34" customHeight="1" x14ac:dyDescent="0.2">
      <c r="A16" s="47"/>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row>
    <row r="17" spans="1:89" ht="34" customHeight="1" x14ac:dyDescent="0.2">
      <c r="A17" s="47"/>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row>
    <row r="18" spans="1:89" ht="34" customHeight="1" x14ac:dyDescent="0.2">
      <c r="A18" s="48"/>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row>
    <row r="19" spans="1:89" ht="34" customHeight="1" x14ac:dyDescent="0.2">
      <c r="A19" s="61" t="s">
        <v>275</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row>
    <row r="20" spans="1:89" ht="34" customHeight="1" x14ac:dyDescent="0.2">
      <c r="A20" s="47"/>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row>
    <row r="21" spans="1:89" ht="34" customHeight="1" x14ac:dyDescent="0.2">
      <c r="A21" s="47"/>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row>
    <row r="22" spans="1:89" ht="34" customHeight="1" x14ac:dyDescent="0.2">
      <c r="A22" s="47"/>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row>
    <row r="23" spans="1:89" ht="34" customHeight="1" x14ac:dyDescent="0.2">
      <c r="A23" s="48"/>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row>
    <row r="24" spans="1:89" ht="34" customHeight="1" x14ac:dyDescent="0.2">
      <c r="A24" s="61" t="s">
        <v>276</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row>
    <row r="25" spans="1:89" ht="34" customHeight="1" x14ac:dyDescent="0.2">
      <c r="A25" s="47"/>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row>
    <row r="26" spans="1:89" ht="34" customHeight="1" x14ac:dyDescent="0.2">
      <c r="A26" s="47"/>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row>
    <row r="27" spans="1:89" ht="34" customHeight="1" x14ac:dyDescent="0.2">
      <c r="A27" s="47"/>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row>
    <row r="28" spans="1:89" ht="34" customHeight="1" x14ac:dyDescent="0.2">
      <c r="A28" s="48"/>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row>
    <row r="29" spans="1:89" ht="34" customHeight="1" x14ac:dyDescent="0.2">
      <c r="A29" s="61" t="s">
        <v>277</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row>
    <row r="30" spans="1:89" ht="34" customHeight="1" x14ac:dyDescent="0.2">
      <c r="A30" s="47"/>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row>
    <row r="31" spans="1:89" ht="34" customHeight="1" x14ac:dyDescent="0.2">
      <c r="A31" s="47"/>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row>
    <row r="32" spans="1:89" ht="34" customHeight="1" x14ac:dyDescent="0.2">
      <c r="A32" s="47"/>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row>
    <row r="33" spans="1:89" ht="34" customHeight="1" x14ac:dyDescent="0.2">
      <c r="A33" s="48"/>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row>
    <row r="34" spans="1:89" ht="34" customHeight="1" x14ac:dyDescent="0.2">
      <c r="A34" s="61" t="s">
        <v>278</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row>
    <row r="35" spans="1:89" ht="34" customHeight="1" x14ac:dyDescent="0.2">
      <c r="A35" s="47"/>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row>
    <row r="36" spans="1:89" ht="34" customHeight="1" x14ac:dyDescent="0.2">
      <c r="A36" s="47"/>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row>
    <row r="37" spans="1:89" ht="34" customHeight="1" x14ac:dyDescent="0.2">
      <c r="A37" s="47"/>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row>
    <row r="38" spans="1:89" ht="34" customHeight="1" x14ac:dyDescent="0.2">
      <c r="A38" s="48"/>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row>
    <row r="39" spans="1:89" ht="34" customHeight="1" x14ac:dyDescent="0.2">
      <c r="A39" s="61" t="s">
        <v>279</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row>
    <row r="40" spans="1:89" ht="34" customHeight="1" x14ac:dyDescent="0.2">
      <c r="A40" s="47"/>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row>
    <row r="41" spans="1:89" ht="34" customHeight="1" x14ac:dyDescent="0.2">
      <c r="A41" s="47"/>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row>
    <row r="42" spans="1:89" ht="34" customHeight="1" x14ac:dyDescent="0.2">
      <c r="A42" s="47"/>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row>
    <row r="43" spans="1:89" ht="34" customHeight="1" x14ac:dyDescent="0.2">
      <c r="A43" s="48"/>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row>
    <row r="44" spans="1:89" ht="34" customHeight="1" x14ac:dyDescent="0.2">
      <c r="A44" s="61" t="s">
        <v>221</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row>
    <row r="45" spans="1:89" ht="34" customHeight="1" x14ac:dyDescent="0.2">
      <c r="A45" s="47"/>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row>
    <row r="46" spans="1:89" ht="34" customHeight="1" x14ac:dyDescent="0.2">
      <c r="A46" s="47"/>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row>
    <row r="47" spans="1:89" ht="34" customHeight="1" x14ac:dyDescent="0.2">
      <c r="A47" s="47"/>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row>
    <row r="48" spans="1:89" ht="34" customHeight="1" x14ac:dyDescent="0.2">
      <c r="A48" s="48"/>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row>
    <row r="49" spans="1:89" ht="34" customHeight="1" x14ac:dyDescent="0.2">
      <c r="A49" s="61" t="s">
        <v>215</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row>
    <row r="50" spans="1:89" ht="34" customHeight="1" x14ac:dyDescent="0.2">
      <c r="A50" s="47"/>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row>
    <row r="51" spans="1:89" ht="34" customHeight="1" x14ac:dyDescent="0.2">
      <c r="A51" s="47"/>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row>
    <row r="52" spans="1:89" ht="34" customHeight="1" x14ac:dyDescent="0.2">
      <c r="A52" s="47"/>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row>
    <row r="53" spans="1:89" ht="34" customHeight="1" x14ac:dyDescent="0.2">
      <c r="A53" s="48"/>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row>
    <row r="54" spans="1:89" ht="34" customHeight="1" x14ac:dyDescent="0.2">
      <c r="A54" s="61" t="s">
        <v>280</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row>
    <row r="55" spans="1:89" ht="34" customHeight="1" x14ac:dyDescent="0.2">
      <c r="A55" s="47"/>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row>
    <row r="56" spans="1:89" ht="34" customHeight="1" x14ac:dyDescent="0.2">
      <c r="A56" s="47"/>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row>
    <row r="57" spans="1:89" ht="34" customHeight="1" x14ac:dyDescent="0.2">
      <c r="A57" s="47"/>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row>
    <row r="58" spans="1:89" ht="34" customHeight="1" x14ac:dyDescent="0.2">
      <c r="A58" s="48"/>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row>
    <row r="59" spans="1:89" ht="34" customHeight="1" x14ac:dyDescent="0.2">
      <c r="A59" s="61" t="s">
        <v>281</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row>
    <row r="60" spans="1:89" ht="34" customHeight="1" x14ac:dyDescent="0.2">
      <c r="A60" s="47"/>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row>
    <row r="61" spans="1:89" ht="34" customHeight="1" x14ac:dyDescent="0.2">
      <c r="A61" s="47"/>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row>
    <row r="62" spans="1:89" ht="34" customHeight="1" x14ac:dyDescent="0.2">
      <c r="A62" s="47"/>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row>
    <row r="63" spans="1:89" ht="34" customHeight="1" x14ac:dyDescent="0.2">
      <c r="A63" s="48"/>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row>
    <row r="64" spans="1:89" ht="34" customHeight="1" x14ac:dyDescent="0.2">
      <c r="A64" s="61" t="s">
        <v>282</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row>
    <row r="65" spans="1:89" ht="34" customHeight="1" x14ac:dyDescent="0.2">
      <c r="A65" s="47"/>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row>
    <row r="66" spans="1:89" ht="34" customHeight="1" x14ac:dyDescent="0.2">
      <c r="A66" s="47"/>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row>
    <row r="67" spans="1:89" ht="34" customHeight="1" x14ac:dyDescent="0.2">
      <c r="A67" s="47"/>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row>
    <row r="68" spans="1:89" ht="34" customHeight="1" x14ac:dyDescent="0.2">
      <c r="A68" s="48"/>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row>
    <row r="69" spans="1:89" ht="18" customHeight="1" x14ac:dyDescent="0.2">
      <c r="A69" s="58" t="s">
        <v>294</v>
      </c>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60"/>
    </row>
    <row r="70" spans="1:89" ht="34" customHeight="1" x14ac:dyDescent="0.2">
      <c r="A70" s="10" t="str">
        <f>IFERROR(INDEX(Teams!$B$2:$B$9,MATCH($C70,Teams!$A$2:$A$9,0)),"(not drawn)")</f>
        <v>(not drawn)</v>
      </c>
      <c r="B70" s="11" t="s">
        <v>295</v>
      </c>
      <c r="C70" s="20" t="str">
        <f>IF(TRIM($B70)="","",IFERROR(INDEX(Teams!$A$2:$A$9,MATCH(IFERROR(VALUE(TRIM(SUBSTITUTE(UPPER(TRIM($B70)),"SHOW ORDER",""))),-1),Teams!$D$2:$D$9,0)),"(not drawn)"))</f>
        <v>(not drawn)</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row>
    <row r="71" spans="1:89" ht="34" customHeight="1" x14ac:dyDescent="0.2">
      <c r="A71" s="10" t="str">
        <f>IFERROR(INDEX(Teams!$B$2:$B$9,MATCH($C71,Teams!$A$2:$A$9,0)),"(not drawn)")</f>
        <v>(not drawn)</v>
      </c>
      <c r="B71" s="11" t="s">
        <v>296</v>
      </c>
      <c r="C71" s="20" t="str">
        <f>IF(TRIM($B71)="","",IFERROR(INDEX(Teams!$A$2:$A$9,MATCH(IFERROR(VALUE(TRIM(SUBSTITUTE(UPPER(TRIM($B71)),"SHOW ORDER",""))),-1),Teams!$D$2:$D$9,0)),"(not drawn)"))</f>
        <v>(not drawn)</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row>
    <row r="72" spans="1:89" ht="34" customHeight="1" x14ac:dyDescent="0.2">
      <c r="A72" s="10" t="str">
        <f>IFERROR(INDEX(Teams!$B$2:$B$9,MATCH($C72,Teams!$A$2:$A$9,0)),"(not drawn)")</f>
        <v>(not drawn)</v>
      </c>
      <c r="B72" s="11" t="s">
        <v>297</v>
      </c>
      <c r="C72" s="20" t="str">
        <f>IF(TRIM($B72)="","",IFERROR(INDEX(Teams!$A$2:$A$9,MATCH(IFERROR(VALUE(TRIM(SUBSTITUTE(UPPER(TRIM($B72)),"SHOW ORDER",""))),-1),Teams!$D$2:$D$9,0)),"(not drawn)"))</f>
        <v>(not drawn)</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row>
    <row r="73" spans="1:89" ht="34" customHeight="1" x14ac:dyDescent="0.2">
      <c r="A73" s="10" t="str">
        <f>IFERROR(INDEX(Teams!$B$2:$B$9,MATCH($C73,Teams!$A$2:$A$9,0)),"(not drawn)")</f>
        <v>(not drawn)</v>
      </c>
      <c r="B73" s="11" t="s">
        <v>298</v>
      </c>
      <c r="C73" s="20" t="str">
        <f>IF(TRIM($B73)="","",IFERROR(INDEX(Teams!$A$2:$A$9,MATCH(IFERROR(VALUE(TRIM(SUBSTITUTE(UPPER(TRIM($B73)),"SHOW ORDER",""))),-1),Teams!$D$2:$D$9,0)),"(not drawn)"))</f>
        <v>(not drawn)</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row>
    <row r="74" spans="1:89" ht="34" customHeight="1" x14ac:dyDescent="0.2">
      <c r="A74" s="10" t="str">
        <f>IFERROR(INDEX(Teams!$B$2:$B$9,MATCH($C74,Teams!$A$2:$A$9,0)),"(not drawn)")</f>
        <v>(not drawn)</v>
      </c>
      <c r="B74" s="11" t="s">
        <v>299</v>
      </c>
      <c r="C74" s="20" t="str">
        <f>IF(TRIM($B74)="","",IFERROR(INDEX(Teams!$A$2:$A$9,MATCH(IFERROR(VALUE(TRIM(SUBSTITUTE(UPPER(TRIM($B74)),"SHOW ORDER",""))),-1),Teams!$D$2:$D$9,0)),"(not drawn)"))</f>
        <v>(not drawn)</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row>
    <row r="75" spans="1:89" ht="34" customHeight="1" x14ac:dyDescent="0.2">
      <c r="A75" s="10" t="str">
        <f>IFERROR(INDEX(Teams!$B$2:$B$9,MATCH($C75,Teams!$A$2:$A$9,0)),"(not drawn)")</f>
        <v>(not drawn)</v>
      </c>
      <c r="B75" s="11" t="s">
        <v>300</v>
      </c>
      <c r="C75" s="20" t="str">
        <f>IF(TRIM($B75)="","",IFERROR(INDEX(Teams!$A$2:$A$9,MATCH(IFERROR(VALUE(TRIM(SUBSTITUTE(UPPER(TRIM($B75)),"SHOW ORDER",""))),-1),Teams!$D$2:$D$9,0)),"(not drawn)"))</f>
        <v>(not drawn)</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row>
    <row r="76" spans="1:89" ht="34" customHeight="1" x14ac:dyDescent="0.2">
      <c r="A76" s="10" t="str">
        <f>IFERROR(INDEX(Teams!$B$2:$B$9,MATCH($C76,Teams!$A$2:$A$9,0)),"(not drawn)")</f>
        <v>(not drawn)</v>
      </c>
      <c r="B76" s="11" t="s">
        <v>301</v>
      </c>
      <c r="C76" s="20" t="str">
        <f>IF(TRIM($B76)="","",IFERROR(INDEX(Teams!$A$2:$A$9,MATCH(IFERROR(VALUE(TRIM(SUBSTITUTE(UPPER(TRIM($B76)),"SHOW ORDER",""))),-1),Teams!$D$2:$D$9,0)),"(not drawn)"))</f>
        <v>(not drawn)</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row>
    <row r="77" spans="1:89" ht="34" customHeight="1" x14ac:dyDescent="0.2">
      <c r="A77" s="10" t="str">
        <f>IFERROR(INDEX(Teams!$B$2:$B$9,MATCH($C77,Teams!$A$2:$A$9,0)),"(not drawn)")</f>
        <v>(not drawn)</v>
      </c>
      <c r="B77" s="11" t="s">
        <v>302</v>
      </c>
      <c r="C77" s="20" t="str">
        <f>IF(TRIM($B77)="","",IFERROR(INDEX(Teams!$A$2:$A$9,MATCH(IFERROR(VALUE(TRIM(SUBSTITUTE(UPPER(TRIM($B77)),"SHOW ORDER",""))),-1),Teams!$D$2:$D$9,0)),"(not drawn)"))</f>
        <v>(not drawn)</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row>
    <row r="78" spans="1:89" ht="18" customHeight="1" x14ac:dyDescent="0.2">
      <c r="A78" s="58" t="s">
        <v>284</v>
      </c>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60"/>
    </row>
    <row r="79" spans="1:89" ht="34" customHeight="1" x14ac:dyDescent="0.2">
      <c r="A79" s="10" t="s">
        <v>285</v>
      </c>
      <c r="B79" s="11" t="s">
        <v>286</v>
      </c>
      <c r="C79" s="20" t="s">
        <v>287</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row>
    <row r="80" spans="1:89" ht="34" customHeight="1" x14ac:dyDescent="0.2">
      <c r="A80" s="10" t="s">
        <v>288</v>
      </c>
      <c r="B80" s="11" t="s">
        <v>289</v>
      </c>
      <c r="C80" s="20" t="s">
        <v>290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row>
    <row r="81" spans="1:89" ht="34" customHeight="1" x14ac:dyDescent="0.2">
      <c r="A81" s="61" t="s">
        <v>291</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row>
    <row r="82" spans="1:89" ht="34" customHeight="1" x14ac:dyDescent="0.2">
      <c r="A82" s="47"/>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row>
    <row r="83" spans="1:89" ht="34" customHeight="1" x14ac:dyDescent="0.2">
      <c r="A83" s="47"/>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row>
    <row r="84" spans="1:89" ht="34" customHeight="1" x14ac:dyDescent="0.2">
      <c r="A84" s="47"/>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row>
    <row r="85" spans="1:89" ht="34" customHeight="1" x14ac:dyDescent="0.2">
      <c r="A85" s="48"/>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row>
    <row r="86" spans="1:89" ht="18" customHeight="1" x14ac:dyDescent="0.2">
      <c r="A86" s="58" t="s">
        <v>303</v>
      </c>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60"/>
    </row>
    <row r="87" spans="1:89" ht="34" customHeight="1" x14ac:dyDescent="0.2">
      <c r="A87" s="46" t="str">
        <f>IFERROR("Show Order "&amp;1&amp;"  —  "&amp;INDEX(Teams!$B$2:$B$9,MATCH(1,Teams!$D$2:$D$9,0)),"Show Order "&amp;1&amp;"  —  (not drawn)")</f>
        <v>Show Order 1  —  (not drawn)</v>
      </c>
      <c r="B87" s="28" t="str">
        <f>IFERROR(INDEX(People!$B$2:$B$199,MATCH(INDEX(Teams!$B$2:$B$9,MATCH(1,Teams!$D$2:$D$9,0))&amp;"#"&amp;1,People!$H$2:$H$199,0)),"")</f>
        <v/>
      </c>
      <c r="C87" s="20" t="str">
        <f>IF(TRIM($B87)="","",IFERROR(INDEX(People!$A$2:$A$199,MATCH(TRIM($B87),People!$B$2:$B$199,0)),"?? CHECK NAME"))</f>
        <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row>
    <row r="88" spans="1:89" ht="34" customHeight="1" x14ac:dyDescent="0.2">
      <c r="A88" s="47"/>
      <c r="B88" s="28" t="str">
        <f>IFERROR(INDEX(People!$B$2:$B$199,MATCH(INDEX(Teams!$B$2:$B$9,MATCH(1,Teams!$D$2:$D$9,0))&amp;"#"&amp;2,People!$H$2:$H$199,0)),"")</f>
        <v/>
      </c>
      <c r="C88" s="20" t="str">
        <f>IF(TRIM($B88)="","",IFERROR(INDEX(People!$A$2:$A$199,MATCH(TRIM($B88),People!$B$2:$B$199,0)),"?? CHECK NAME"))</f>
        <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row>
    <row r="89" spans="1:89" ht="34" customHeight="1" x14ac:dyDescent="0.2">
      <c r="A89" s="47"/>
      <c r="B89" s="28" t="str">
        <f>IFERROR(INDEX(People!$B$2:$B$199,MATCH(INDEX(Teams!$B$2:$B$9,MATCH(1,Teams!$D$2:$D$9,0))&amp;"#"&amp;3,People!$H$2:$H$199,0)),"")</f>
        <v/>
      </c>
      <c r="C89" s="20" t="str">
        <f>IF(TRIM($B89)="","",IFERROR(INDEX(People!$A$2:$A$199,MATCH(TRIM($B89),People!$B$2:$B$199,0)),"?? CHECK NAME"))</f>
        <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row>
    <row r="90" spans="1:89" ht="34" customHeight="1" x14ac:dyDescent="0.2">
      <c r="A90" s="47"/>
      <c r="B90" s="28" t="str">
        <f>IFERROR(INDEX(People!$B$2:$B$199,MATCH(INDEX(Teams!$B$2:$B$9,MATCH(1,Teams!$D$2:$D$9,0))&amp;"#"&amp;4,People!$H$2:$H$199,0)),"")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row>
    <row r="91" spans="1:89" ht="34" customHeight="1" x14ac:dyDescent="0.2">
      <c r="A91" s="48"/>
      <c r="B91" s="28" t="str">
        <f>IFERROR(INDEX(People!$B$2:$B$199,MATCH(INDEX(Teams!$B$2:$B$9,MATCH(1,Teams!$D$2:$D$9,0))&amp;"#"&amp;5,People!$H$2:$H$199,0)),"")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row>
    <row r="92" spans="1:89" ht="34" customHeight="1" x14ac:dyDescent="0.2">
      <c r="A92" s="46" t="str">
        <f>IFERROR("Show Order "&amp;2&amp;"  —  "&amp;INDEX(Teams!$B$2:$B$9,MATCH(2,Teams!$D$2:$D$9,0)),"Show Order "&amp;2&amp;"  —  (not drawn)")</f>
        <v>Show Order 2  —  (not drawn)</v>
      </c>
      <c r="B92" s="28" t="str">
        <f>IFERROR(INDEX(People!$B$2:$B$199,MATCH(INDEX(Teams!$B$2:$B$9,MATCH(2,Teams!$D$2:$D$9,0))&amp;"#"&amp;1,People!$H$2:$H$199,0)),"")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row>
    <row r="93" spans="1:89" ht="34" customHeight="1" x14ac:dyDescent="0.2">
      <c r="A93" s="47"/>
      <c r="B93" s="28" t="str">
        <f>IFERROR(INDEX(People!$B$2:$B$199,MATCH(INDEX(Teams!$B$2:$B$9,MATCH(2,Teams!$D$2:$D$9,0))&amp;"#"&amp;2,People!$H$2:$H$199,0)),"")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row>
    <row r="94" spans="1:89" ht="34" customHeight="1" x14ac:dyDescent="0.2">
      <c r="A94" s="47"/>
      <c r="B94" s="28" t="str">
        <f>IFERROR(INDEX(People!$B$2:$B$199,MATCH(INDEX(Teams!$B$2:$B$9,MATCH(2,Teams!$D$2:$D$9,0))&amp;"#"&amp;3,People!$H$2:$H$199,0)),"")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row>
    <row r="95" spans="1:89" ht="34" customHeight="1" x14ac:dyDescent="0.2">
      <c r="A95" s="47"/>
      <c r="B95" s="28" t="str">
        <f>IFERROR(INDEX(People!$B$2:$B$199,MATCH(INDEX(Teams!$B$2:$B$9,MATCH(2,Teams!$D$2:$D$9,0))&amp;"#"&amp;4,People!$H$2:$H$199,0)),"")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row>
    <row r="96" spans="1:89" ht="34" customHeight="1" x14ac:dyDescent="0.2">
      <c r="A96" s="48"/>
      <c r="B96" s="28" t="str">
        <f>IFERROR(INDEX(People!$B$2:$B$199,MATCH(INDEX(Teams!$B$2:$B$9,MATCH(2,Teams!$D$2:$D$9,0))&amp;"#"&amp;5,People!$H$2:$H$199,0)),"")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row>
    <row r="97" spans="1:89" ht="34" customHeight="1" x14ac:dyDescent="0.2">
      <c r="A97" s="46" t="str">
        <f>IFERROR("Show Order "&amp;3&amp;"  —  "&amp;INDEX(Teams!$B$2:$B$9,MATCH(3,Teams!$D$2:$D$9,0)),"Show Order "&amp;3&amp;"  —  (not drawn)")</f>
        <v>Show Order 3  —  (not drawn)</v>
      </c>
      <c r="B97" s="28" t="str">
        <f>IFERROR(INDEX(People!$B$2:$B$199,MATCH(INDEX(Teams!$B$2:$B$9,MATCH(3,Teams!$D$2:$D$9,0))&amp;"#"&amp;1,People!$H$2:$H$199,0)),"")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row>
    <row r="98" spans="1:89" ht="34" customHeight="1" x14ac:dyDescent="0.2">
      <c r="A98" s="47"/>
      <c r="B98" s="28" t="str">
        <f>IFERROR(INDEX(People!$B$2:$B$199,MATCH(INDEX(Teams!$B$2:$B$9,MATCH(3,Teams!$D$2:$D$9,0))&amp;"#"&amp;2,People!$H$2:$H$199,0)),"")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row>
    <row r="99" spans="1:89" ht="34" customHeight="1" x14ac:dyDescent="0.2">
      <c r="A99" s="47"/>
      <c r="B99" s="28" t="str">
        <f>IFERROR(INDEX(People!$B$2:$B$199,MATCH(INDEX(Teams!$B$2:$B$9,MATCH(3,Teams!$D$2:$D$9,0))&amp;"#"&amp;3,People!$H$2:$H$199,0)),"")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row>
    <row r="100" spans="1:89" ht="34" customHeight="1" x14ac:dyDescent="0.2">
      <c r="A100" s="47"/>
      <c r="B100" s="28" t="str">
        <f>IFERROR(INDEX(People!$B$2:$B$199,MATCH(INDEX(Teams!$B$2:$B$9,MATCH(3,Teams!$D$2:$D$9,0))&amp;"#"&amp;4,People!$H$2:$H$199,0)),"")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row>
    <row r="101" spans="1:89" ht="34" customHeight="1" x14ac:dyDescent="0.2">
      <c r="A101" s="48"/>
      <c r="B101" s="28" t="str">
        <f>IFERROR(INDEX(People!$B$2:$B$199,MATCH(INDEX(Teams!$B$2:$B$9,MATCH(3,Teams!$D$2:$D$9,0))&amp;"#"&amp;5,People!$H$2:$H$199,0)),"")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row>
    <row r="102" spans="1:89" ht="34" customHeight="1" x14ac:dyDescent="0.2">
      <c r="A102" s="46" t="str">
        <f>IFERROR("Show Order "&amp;4&amp;"  —  "&amp;INDEX(Teams!$B$2:$B$9,MATCH(4,Teams!$D$2:$D$9,0)),"Show Order "&amp;4&amp;"  —  (not drawn)")</f>
        <v>Show Order 4  —  (not drawn)</v>
      </c>
      <c r="B102" s="28" t="str">
        <f>IFERROR(INDEX(People!$B$2:$B$199,MATCH(INDEX(Teams!$B$2:$B$9,MATCH(4,Teams!$D$2:$D$9,0))&amp;"#"&amp;1,People!$H$2:$H$199,0)),"")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row>
    <row r="103" spans="1:89" ht="34" customHeight="1" x14ac:dyDescent="0.2">
      <c r="A103" s="47"/>
      <c r="B103" s="28" t="str">
        <f>IFERROR(INDEX(People!$B$2:$B$199,MATCH(INDEX(Teams!$B$2:$B$9,MATCH(4,Teams!$D$2:$D$9,0))&amp;"#"&amp;2,People!$H$2:$H$199,0)),"")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row>
    <row r="104" spans="1:89" ht="34" customHeight="1" x14ac:dyDescent="0.2">
      <c r="A104" s="47"/>
      <c r="B104" s="28" t="str">
        <f>IFERROR(INDEX(People!$B$2:$B$199,MATCH(INDEX(Teams!$B$2:$B$9,MATCH(4,Teams!$D$2:$D$9,0))&amp;"#"&amp;3,People!$H$2:$H$199,0)),"")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row>
    <row r="105" spans="1:89" ht="34" customHeight="1" x14ac:dyDescent="0.2">
      <c r="A105" s="47"/>
      <c r="B105" s="28" t="str">
        <f>IFERROR(INDEX(People!$B$2:$B$199,MATCH(INDEX(Teams!$B$2:$B$9,MATCH(4,Teams!$D$2:$D$9,0))&amp;"#"&amp;4,People!$H$2:$H$199,0)),"")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row>
    <row r="106" spans="1:89" ht="34" customHeight="1" x14ac:dyDescent="0.2">
      <c r="A106" s="48"/>
      <c r="B106" s="28" t="str">
        <f>IFERROR(INDEX(People!$B$2:$B$199,MATCH(INDEX(Teams!$B$2:$B$9,MATCH(4,Teams!$D$2:$D$9,0))&amp;"#"&amp;5,People!$H$2:$H$199,0)),"")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row>
    <row r="107" spans="1:89" ht="34" customHeight="1" x14ac:dyDescent="0.2">
      <c r="A107" s="46" t="str">
        <f>IFERROR("Show Order "&amp;5&amp;"  —  "&amp;INDEX(Teams!$B$2:$B$9,MATCH(5,Teams!$D$2:$D$9,0)),"Show Order "&amp;5&amp;"  —  (not drawn)")</f>
        <v>Show Order 5  —  (not drawn)</v>
      </c>
      <c r="B107" s="28" t="str">
        <f>IFERROR(INDEX(People!$B$2:$B$199,MATCH(INDEX(Teams!$B$2:$B$9,MATCH(5,Teams!$D$2:$D$9,0))&amp;"#"&amp;1,People!$H$2:$H$199,0)),"")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row>
    <row r="108" spans="1:89" ht="34" customHeight="1" x14ac:dyDescent="0.2">
      <c r="A108" s="47"/>
      <c r="B108" s="28" t="str">
        <f>IFERROR(INDEX(People!$B$2:$B$199,MATCH(INDEX(Teams!$B$2:$B$9,MATCH(5,Teams!$D$2:$D$9,0))&amp;"#"&amp;2,People!$H$2:$H$199,0)),"")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row>
    <row r="109" spans="1:89" ht="34" customHeight="1" x14ac:dyDescent="0.2">
      <c r="A109" s="47"/>
      <c r="B109" s="28" t="str">
        <f>IFERROR(INDEX(People!$B$2:$B$199,MATCH(INDEX(Teams!$B$2:$B$9,MATCH(5,Teams!$D$2:$D$9,0))&amp;"#"&amp;3,People!$H$2:$H$199,0)),"")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row>
    <row r="110" spans="1:89" ht="34" customHeight="1" x14ac:dyDescent="0.2">
      <c r="A110" s="47"/>
      <c r="B110" s="28" t="str">
        <f>IFERROR(INDEX(People!$B$2:$B$199,MATCH(INDEX(Teams!$B$2:$B$9,MATCH(5,Teams!$D$2:$D$9,0))&amp;"#"&amp;4,People!$H$2:$H$199,0)),"")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row>
    <row r="111" spans="1:89" ht="34" customHeight="1" x14ac:dyDescent="0.2">
      <c r="A111" s="48"/>
      <c r="B111" s="28" t="str">
        <f>IFERROR(INDEX(People!$B$2:$B$199,MATCH(INDEX(Teams!$B$2:$B$9,MATCH(5,Teams!$D$2:$D$9,0))&amp;"#"&amp;5,People!$H$2:$H$199,0)),"")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row>
    <row r="112" spans="1:89" ht="34" customHeight="1" x14ac:dyDescent="0.2">
      <c r="A112" s="46" t="str">
        <f>IFERROR("Show Order "&amp;6&amp;"  —  "&amp;INDEX(Teams!$B$2:$B$9,MATCH(6,Teams!$D$2:$D$9,0)),"Show Order "&amp;6&amp;"  —  (not drawn)")</f>
        <v>Show Order 6  —  (not drawn)</v>
      </c>
      <c r="B112" s="28" t="str">
        <f>IFERROR(INDEX(People!$B$2:$B$199,MATCH(INDEX(Teams!$B$2:$B$9,MATCH(6,Teams!$D$2:$D$9,0))&amp;"#"&amp;1,People!$H$2:$H$199,0)),"")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row>
    <row r="113" spans="1:89" ht="34" customHeight="1" x14ac:dyDescent="0.2">
      <c r="A113" s="47"/>
      <c r="B113" s="28" t="str">
        <f>IFERROR(INDEX(People!$B$2:$B$199,MATCH(INDEX(Teams!$B$2:$B$9,MATCH(6,Teams!$D$2:$D$9,0))&amp;"#"&amp;2,People!$H$2:$H$199,0)),"")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row>
    <row r="114" spans="1:89" ht="34" customHeight="1" x14ac:dyDescent="0.2">
      <c r="A114" s="47"/>
      <c r="B114" s="28" t="str">
        <f>IFERROR(INDEX(People!$B$2:$B$199,MATCH(INDEX(Teams!$B$2:$B$9,MATCH(6,Teams!$D$2:$D$9,0))&amp;"#"&amp;3,People!$H$2:$H$199,0)),"")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row>
    <row r="115" spans="1:89" ht="34" customHeight="1" x14ac:dyDescent="0.2">
      <c r="A115" s="47"/>
      <c r="B115" s="28" t="str">
        <f>IFERROR(INDEX(People!$B$2:$B$199,MATCH(INDEX(Teams!$B$2:$B$9,MATCH(6,Teams!$D$2:$D$9,0))&amp;"#"&amp;4,People!$H$2:$H$199,0)),"")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row>
    <row r="116" spans="1:89" ht="34" customHeight="1" x14ac:dyDescent="0.2">
      <c r="A116" s="48"/>
      <c r="B116" s="28" t="str">
        <f>IFERROR(INDEX(People!$B$2:$B$199,MATCH(INDEX(Teams!$B$2:$B$9,MATCH(6,Teams!$D$2:$D$9,0))&amp;"#"&amp;5,People!$H$2:$H$199,0)),"")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row>
    <row r="117" spans="1:89" ht="34" customHeight="1" x14ac:dyDescent="0.2">
      <c r="A117" s="46" t="str">
        <f>IFERROR("Show Order "&amp;7&amp;"  —  "&amp;INDEX(Teams!$B$2:$B$9,MATCH(7,Teams!$D$2:$D$9,0)),"Show Order "&amp;7&amp;"  —  (not drawn)")</f>
        <v>Show Order 7  —  (not drawn)</v>
      </c>
      <c r="B117" s="28" t="str">
        <f>IFERROR(INDEX(People!$B$2:$B$199,MATCH(INDEX(Teams!$B$2:$B$9,MATCH(7,Teams!$D$2:$D$9,0))&amp;"#"&amp;1,People!$H$2:$H$199,0)),"")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row>
    <row r="118" spans="1:89" ht="34" customHeight="1" x14ac:dyDescent="0.2">
      <c r="A118" s="47"/>
      <c r="B118" s="28" t="str">
        <f>IFERROR(INDEX(People!$B$2:$B$199,MATCH(INDEX(Teams!$B$2:$B$9,MATCH(7,Teams!$D$2:$D$9,0))&amp;"#"&amp;2,People!$H$2:$H$199,0)),"")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row>
    <row r="119" spans="1:89" ht="34" customHeight="1" x14ac:dyDescent="0.2">
      <c r="A119" s="47"/>
      <c r="B119" s="28" t="str">
        <f>IFERROR(INDEX(People!$B$2:$B$199,MATCH(INDEX(Teams!$B$2:$B$9,MATCH(7,Teams!$D$2:$D$9,0))&amp;"#"&amp;3,People!$H$2:$H$199,0)),"")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row>
    <row r="120" spans="1:89" ht="34" customHeight="1" x14ac:dyDescent="0.2">
      <c r="A120" s="47"/>
      <c r="B120" s="28" t="str">
        <f>IFERROR(INDEX(People!$B$2:$B$199,MATCH(INDEX(Teams!$B$2:$B$9,MATCH(7,Teams!$D$2:$D$9,0))&amp;"#"&amp;4,People!$H$2:$H$199,0)),"")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row>
    <row r="121" spans="1:89" ht="34" customHeight="1" x14ac:dyDescent="0.2">
      <c r="A121" s="48"/>
      <c r="B121" s="28" t="str">
        <f>IFERROR(INDEX(People!$B$2:$B$199,MATCH(INDEX(Teams!$B$2:$B$9,MATCH(7,Teams!$D$2:$D$9,0))&amp;"#"&amp;5,People!$H$2:$H$199,0)),"")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row>
    <row r="122" spans="1:89" ht="34" customHeight="1" x14ac:dyDescent="0.2">
      <c r="A122" s="46" t="str">
        <f>IFERROR("Show Order "&amp;8&amp;"  —  "&amp;INDEX(Teams!$B$2:$B$9,MATCH(8,Teams!$D$2:$D$9,0)),"Show Order "&amp;8&amp;"  —  (not drawn)")</f>
        <v>Show Order 8  —  (not drawn)</v>
      </c>
      <c r="B122" s="28" t="str">
        <f>IFERROR(INDEX(People!$B$2:$B$199,MATCH(INDEX(Teams!$B$2:$B$9,MATCH(8,Teams!$D$2:$D$9,0))&amp;"#"&amp;1,People!$H$2:$H$199,0)),"")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row>
    <row r="123" spans="1:89" ht="34" customHeight="1" x14ac:dyDescent="0.2">
      <c r="A123" s="47"/>
      <c r="B123" s="28" t="str">
        <f>IFERROR(INDEX(People!$B$2:$B$199,MATCH(INDEX(Teams!$B$2:$B$9,MATCH(8,Teams!$D$2:$D$9,0))&amp;"#"&amp;2,People!$H$2:$H$199,0)),"")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row>
    <row r="124" spans="1:89" ht="34" customHeight="1" x14ac:dyDescent="0.2">
      <c r="A124" s="47"/>
      <c r="B124" s="28" t="str">
        <f>IFERROR(INDEX(People!$B$2:$B$199,MATCH(INDEX(Teams!$B$2:$B$9,MATCH(8,Teams!$D$2:$D$9,0))&amp;"#"&amp;3,People!$H$2:$H$199,0)),"")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row>
    <row r="125" spans="1:89" ht="34" customHeight="1" x14ac:dyDescent="0.2">
      <c r="A125" s="47"/>
      <c r="B125" s="28" t="str">
        <f>IFERROR(INDEX(People!$B$2:$B$199,MATCH(INDEX(Teams!$B$2:$B$9,MATCH(8,Teams!$D$2:$D$9,0))&amp;"#"&amp;4,People!$H$2:$H$199,0)),"")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row>
    <row r="126" spans="1:89" ht="34" customHeight="1" x14ac:dyDescent="0.2">
      <c r="A126" s="48"/>
      <c r="B126" s="28" t="str">
        <f>IFERROR(INDEX(People!$B$2:$B$199,MATCH(INDEX(Teams!$B$2:$B$9,MATCH(8,Teams!$D$2:$D$9,0))&amp;"#"&amp;5,People!$H$2:$H$199,0)),"")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row>
    <row r="127" spans="1:89" ht="34" customHeight="1" x14ac:dyDescent="0.2">
      <c r="A127" s="61" t="s">
        <v>293</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row>
    <row r="128" spans="1:89" ht="34" customHeight="1" x14ac:dyDescent="0.2">
      <c r="A128" s="47"/>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row>
    <row r="129" spans="1:89" ht="34" customHeight="1" x14ac:dyDescent="0.2">
      <c r="A129" s="47"/>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row>
    <row r="130" spans="1:89" ht="34" customHeight="1" x14ac:dyDescent="0.2">
      <c r="A130" s="47"/>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row>
    <row r="131" spans="1:89" ht="34" customHeight="1" x14ac:dyDescent="0.2">
      <c r="A131" s="48"/>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row>
  </sheetData>
  <mergeCells count="29">
    <mergeCell ref="A122:A126"/>
    <mergeCell ref="A29:A33"/>
    <mergeCell ref="A9:A13"/>
    <mergeCell ref="A81:A85"/>
    <mergeCell ref="A127:A131"/>
    <mergeCell ref="A112:A116"/>
    <mergeCell ref="A19:A23"/>
    <mergeCell ref="A64:A68"/>
    <mergeCell ref="A59:A63"/>
    <mergeCell ref="A102:A106"/>
    <mergeCell ref="A117:A121"/>
    <mergeCell ref="A49:A53"/>
    <mergeCell ref="A34:A38"/>
    <mergeCell ref="A92:A96"/>
    <mergeCell ref="A39:A43"/>
    <mergeCell ref="A24:A28"/>
    <mergeCell ref="A107:A111"/>
    <mergeCell ref="A54:A58"/>
    <mergeCell ref="A78:CK78"/>
    <mergeCell ref="A69:CK69"/>
    <mergeCell ref="CH1:CK1"/>
    <mergeCell ref="A87:A91"/>
    <mergeCell ref="D1:CG1"/>
    <mergeCell ref="A3:CK3"/>
    <mergeCell ref="A86:CK86"/>
    <mergeCell ref="A4:A8"/>
    <mergeCell ref="A14:A18"/>
    <mergeCell ref="A97:A101"/>
    <mergeCell ref="A44:A4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131"/>
  <sheetViews>
    <sheetView workbookViewId="0">
      <pane xSplit="3" ySplit="2" topLeftCell="D3" activePane="bottomRight" state="frozen"/>
      <selection pane="topRight"/>
      <selection pane="bottomLeft"/>
      <selection pane="bottomRight"/>
    </sheetView>
  </sheetViews>
  <sheetFormatPr baseColWidth="10" defaultColWidth="8.83203125" defaultRowHeight="15" x14ac:dyDescent="0.2"/>
  <cols>
    <col min="1" max="1" width="20" customWidth="1"/>
    <col min="2" max="2" width="22" customWidth="1"/>
    <col min="3" max="3" width="10" customWidth="1"/>
    <col min="4" max="75" width="5.5" customWidth="1"/>
  </cols>
  <sheetData>
    <row r="1" spans="1:75" x14ac:dyDescent="0.2">
      <c r="A1" s="12" t="s">
        <v>186</v>
      </c>
      <c r="B1" s="12" t="s">
        <v>272</v>
      </c>
      <c r="C1" s="12" t="s">
        <v>184</v>
      </c>
      <c r="D1" s="56">
        <f>Instructions!$C$14+2</f>
        <v>46243</v>
      </c>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row>
    <row r="2" spans="1:75" ht="58" customHeight="1" x14ac:dyDescent="0.2">
      <c r="A2" s="22"/>
      <c r="B2" s="22"/>
      <c r="C2" s="22"/>
      <c r="D2" s="23">
        <v>0.125</v>
      </c>
      <c r="E2" s="23">
        <v>0.13541666666666671</v>
      </c>
      <c r="F2" s="23">
        <v>0.14583333333333329</v>
      </c>
      <c r="G2" s="23">
        <v>0.15625</v>
      </c>
      <c r="H2" s="23">
        <v>0.16666666666666671</v>
      </c>
      <c r="I2" s="23">
        <v>0.17708333333333329</v>
      </c>
      <c r="J2" s="23">
        <v>0.1875</v>
      </c>
      <c r="K2" s="23">
        <v>0.19791666666666671</v>
      </c>
      <c r="L2" s="23">
        <v>0.20833333333333329</v>
      </c>
      <c r="M2" s="23">
        <v>0.21875</v>
      </c>
      <c r="N2" s="23">
        <v>0.22916666666666671</v>
      </c>
      <c r="O2" s="23">
        <v>0.23958333333333329</v>
      </c>
      <c r="P2" s="23">
        <v>0.25</v>
      </c>
      <c r="Q2" s="23">
        <v>0.26041666666666669</v>
      </c>
      <c r="R2" s="23">
        <v>0.27083333333333331</v>
      </c>
      <c r="S2" s="23">
        <v>0.28125</v>
      </c>
      <c r="T2" s="23">
        <v>0.29166666666666669</v>
      </c>
      <c r="U2" s="23">
        <v>0.30208333333333331</v>
      </c>
      <c r="V2" s="23">
        <v>0.3125</v>
      </c>
      <c r="W2" s="23">
        <v>0.32291666666666669</v>
      </c>
      <c r="X2" s="23">
        <v>0.33333333333333331</v>
      </c>
      <c r="Y2" s="23">
        <v>0.34375</v>
      </c>
      <c r="Z2" s="23">
        <v>0.35416666666666669</v>
      </c>
      <c r="AA2" s="23">
        <v>0.36458333333333331</v>
      </c>
      <c r="AB2" s="23">
        <v>0.375</v>
      </c>
      <c r="AC2" s="23">
        <v>0.38541666666666669</v>
      </c>
      <c r="AD2" s="23">
        <v>0.39583333333333331</v>
      </c>
      <c r="AE2" s="23">
        <v>0.40625</v>
      </c>
      <c r="AF2" s="23">
        <v>0.41666666666666669</v>
      </c>
      <c r="AG2" s="23">
        <v>0.42708333333333331</v>
      </c>
      <c r="AH2" s="23">
        <v>0.4375</v>
      </c>
      <c r="AI2" s="23">
        <v>0.44791666666666669</v>
      </c>
      <c r="AJ2" s="23">
        <v>0.45833333333333331</v>
      </c>
      <c r="AK2" s="23">
        <v>0.46875</v>
      </c>
      <c r="AL2" s="23">
        <v>0.47916666666666669</v>
      </c>
      <c r="AM2" s="23">
        <v>0.48958333333333331</v>
      </c>
      <c r="AN2" s="23">
        <v>0.5</v>
      </c>
      <c r="AO2" s="23">
        <v>0.51041666666666663</v>
      </c>
      <c r="AP2" s="23">
        <v>0.52083333333333337</v>
      </c>
      <c r="AQ2" s="23">
        <v>0.53125</v>
      </c>
      <c r="AR2" s="23">
        <v>0.54166666666666663</v>
      </c>
      <c r="AS2" s="23">
        <v>0.55208333333333337</v>
      </c>
      <c r="AT2" s="23">
        <v>0.5625</v>
      </c>
      <c r="AU2" s="23">
        <v>0.57291666666666663</v>
      </c>
      <c r="AV2" s="23">
        <v>0.58333333333333337</v>
      </c>
      <c r="AW2" s="23">
        <v>0.59375</v>
      </c>
      <c r="AX2" s="23">
        <v>0.60416666666666663</v>
      </c>
      <c r="AY2" s="23">
        <v>0.61458333333333337</v>
      </c>
      <c r="AZ2" s="23">
        <v>0.625</v>
      </c>
      <c r="BA2" s="23">
        <v>0.63541666666666663</v>
      </c>
      <c r="BB2" s="23">
        <v>0.64583333333333337</v>
      </c>
      <c r="BC2" s="23">
        <v>0.65625</v>
      </c>
      <c r="BD2" s="23">
        <v>0.66666666666666663</v>
      </c>
      <c r="BE2" s="23">
        <v>0.67708333333333337</v>
      </c>
      <c r="BF2" s="23">
        <v>0.6875</v>
      </c>
      <c r="BG2" s="23">
        <v>0.69791666666666663</v>
      </c>
      <c r="BH2" s="23">
        <v>0.70833333333333337</v>
      </c>
      <c r="BI2" s="23">
        <v>0.71875</v>
      </c>
      <c r="BJ2" s="23">
        <v>0.72916666666666663</v>
      </c>
      <c r="BK2" s="23">
        <v>0.73958333333333337</v>
      </c>
      <c r="BL2" s="23">
        <v>0.75</v>
      </c>
      <c r="BM2" s="23">
        <v>0.76041666666666663</v>
      </c>
      <c r="BN2" s="23">
        <v>0.77083333333333337</v>
      </c>
      <c r="BO2" s="23">
        <v>0.78125</v>
      </c>
      <c r="BP2" s="23">
        <v>0.79166666666666663</v>
      </c>
      <c r="BQ2" s="23">
        <v>0.80208333333333337</v>
      </c>
      <c r="BR2" s="23">
        <v>0.8125</v>
      </c>
      <c r="BS2" s="23">
        <v>0.82291666666666663</v>
      </c>
      <c r="BT2" s="23">
        <v>0.83333333333333337</v>
      </c>
      <c r="BU2" s="23">
        <v>0.84375</v>
      </c>
      <c r="BV2" s="23">
        <v>0.85416666666666663</v>
      </c>
      <c r="BW2" s="23">
        <v>0.86458333333333337</v>
      </c>
    </row>
    <row r="3" spans="1:75" ht="18" customHeight="1" x14ac:dyDescent="0.2">
      <c r="A3" s="58" t="s">
        <v>86</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60"/>
    </row>
    <row r="4" spans="1:75" ht="34" customHeight="1" x14ac:dyDescent="0.2">
      <c r="A4" s="61" t="s">
        <v>194</v>
      </c>
      <c r="B4" s="24"/>
      <c r="C4" s="20" t="str">
        <f>IF(TRIM($B4)="","",IFERROR(INDEX(People!$A$2:$A$199,MATCH(TRIM($B4),People!$B$2:$B$199,0)),IFERROR(INDEX(Teams!$A$2:$A$9,MATCH(TRIM($B4),Teams!$B$2:$B$9,0)),"?? CHECK NAME")))</f>
        <v/>
      </c>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row>
    <row r="5" spans="1:75" ht="34" customHeight="1" x14ac:dyDescent="0.2">
      <c r="A5" s="47"/>
      <c r="B5" s="24"/>
      <c r="C5" s="20" t="str">
        <f>IF(TRIM($B5)="","",IFERROR(INDEX(People!$A$2:$A$199,MATCH(TRIM($B5),People!$B$2:$B$199,0)),IFERROR(INDEX(Teams!$A$2:$A$9,MATCH(TRIM($B5),Teams!$B$2:$B$9,0)),"?? CHECK NAME")))</f>
        <v/>
      </c>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row>
    <row r="6" spans="1:75" ht="34" customHeight="1" x14ac:dyDescent="0.2">
      <c r="A6" s="47"/>
      <c r="B6" s="24"/>
      <c r="C6" s="20" t="str">
        <f>IF(TRIM($B6)="","",IFERROR(INDEX(People!$A$2:$A$199,MATCH(TRIM($B6),People!$B$2:$B$199,0)),IFERROR(INDEX(Teams!$A$2:$A$9,MATCH(TRIM($B6),Teams!$B$2:$B$9,0)),"?? CHECK NAME")))</f>
        <v/>
      </c>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row>
    <row r="7" spans="1:75" ht="34" customHeight="1" x14ac:dyDescent="0.2">
      <c r="A7" s="47"/>
      <c r="B7" s="24"/>
      <c r="C7" s="20" t="str">
        <f>IF(TRIM($B7)="","",IFERROR(INDEX(People!$A$2:$A$199,MATCH(TRIM($B7),People!$B$2:$B$199,0)),IFERROR(INDEX(Teams!$A$2:$A$9,MATCH(TRIM($B7),Teams!$B$2:$B$9,0)),"?? CHECK NAME")))</f>
        <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row>
    <row r="8" spans="1:75" ht="34" customHeight="1" x14ac:dyDescent="0.2">
      <c r="A8" s="48"/>
      <c r="B8" s="24"/>
      <c r="C8" s="20" t="str">
        <f>IF(TRIM($B8)="","",IFERROR(INDEX(People!$A$2:$A$199,MATCH(TRIM($B8),People!$B$2:$B$199,0)),IFERROR(INDEX(Teams!$A$2:$A$9,MATCH(TRIM($B8),Teams!$B$2:$B$9,0)),"?? CHECK NAME")))</f>
        <v/>
      </c>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row>
    <row r="9" spans="1:75" ht="34" customHeight="1" x14ac:dyDescent="0.2">
      <c r="A9" s="61" t="s">
        <v>273</v>
      </c>
      <c r="B9" s="24"/>
      <c r="C9" s="20" t="str">
        <f>IF(TRIM($B9)="","",IFERROR(INDEX(People!$A$2:$A$199,MATCH(TRIM($B9),People!$B$2:$B$199,0)),IFERROR(INDEX(Teams!$A$2:$A$9,MATCH(TRIM($B9),Teams!$B$2:$B$9,0)),"?? CHECK NAME")))</f>
        <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row>
    <row r="10" spans="1:75" ht="34" customHeight="1" x14ac:dyDescent="0.2">
      <c r="A10" s="47"/>
      <c r="B10" s="24"/>
      <c r="C10" s="20" t="str">
        <f>IF(TRIM($B10)="","",IFERROR(INDEX(People!$A$2:$A$199,MATCH(TRIM($B10),People!$B$2:$B$199,0)),IFERROR(INDEX(Teams!$A$2:$A$9,MATCH(TRIM($B10),Teams!$B$2:$B$9,0)),"?? CHECK NAME")))</f>
        <v/>
      </c>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row>
    <row r="11" spans="1:75" ht="34" customHeight="1" x14ac:dyDescent="0.2">
      <c r="A11" s="47"/>
      <c r="B11" s="24"/>
      <c r="C11" s="20" t="str">
        <f>IF(TRIM($B11)="","",IFERROR(INDEX(People!$A$2:$A$199,MATCH(TRIM($B11),People!$B$2:$B$199,0)),IFERROR(INDEX(Teams!$A$2:$A$9,MATCH(TRIM($B11),Teams!$B$2:$B$9,0)),"?? CHECK NAME")))</f>
        <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row>
    <row r="12" spans="1:75" ht="34" customHeight="1" x14ac:dyDescent="0.2">
      <c r="A12" s="47"/>
      <c r="B12" s="24"/>
      <c r="C12" s="20" t="str">
        <f>IF(TRIM($B12)="","",IFERROR(INDEX(People!$A$2:$A$199,MATCH(TRIM($B12),People!$B$2:$B$199,0)),IFERROR(INDEX(Teams!$A$2:$A$9,MATCH(TRIM($B12),Teams!$B$2:$B$9,0)),"?? CHECK NAME")))</f>
        <v/>
      </c>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row>
    <row r="13" spans="1:75" ht="34" customHeight="1" x14ac:dyDescent="0.2">
      <c r="A13" s="48"/>
      <c r="B13" s="24"/>
      <c r="C13" s="20" t="str">
        <f>IF(TRIM($B13)="","",IFERROR(INDEX(People!$A$2:$A$199,MATCH(TRIM($B13),People!$B$2:$B$199,0)),IFERROR(INDEX(Teams!$A$2:$A$9,MATCH(TRIM($B13),Teams!$B$2:$B$9,0)),"?? CHECK NAME")))</f>
        <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row>
    <row r="14" spans="1:75" ht="34" customHeight="1" x14ac:dyDescent="0.2">
      <c r="A14" s="61" t="s">
        <v>274</v>
      </c>
      <c r="B14" s="24"/>
      <c r="C14" s="20" t="str">
        <f>IF(TRIM($B14)="","",IFERROR(INDEX(People!$A$2:$A$199,MATCH(TRIM($B14),People!$B$2:$B$199,0)),IFERROR(INDEX(Teams!$A$2:$A$9,MATCH(TRIM($B14),Teams!$B$2:$B$9,0)),"?? CHECK NAME")))</f>
        <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row>
    <row r="15" spans="1:75" ht="34" customHeight="1" x14ac:dyDescent="0.2">
      <c r="A15" s="47"/>
      <c r="B15" s="24"/>
      <c r="C15" s="20" t="str">
        <f>IF(TRIM($B15)="","",IFERROR(INDEX(People!$A$2:$A$199,MATCH(TRIM($B15),People!$B$2:$B$199,0)),IFERROR(INDEX(Teams!$A$2:$A$9,MATCH(TRIM($B15),Teams!$B$2:$B$9,0)),"?? CHECK NAME")))</f>
        <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row>
    <row r="16" spans="1:75" ht="34" customHeight="1" x14ac:dyDescent="0.2">
      <c r="A16" s="47"/>
      <c r="B16" s="24"/>
      <c r="C16" s="20" t="str">
        <f>IF(TRIM($B16)="","",IFERROR(INDEX(People!$A$2:$A$199,MATCH(TRIM($B16),People!$B$2:$B$199,0)),IFERROR(INDEX(Teams!$A$2:$A$9,MATCH(TRIM($B16),Teams!$B$2:$B$9,0)),"?? CHECK NAME")))</f>
        <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row>
    <row r="17" spans="1:75" ht="34" customHeight="1" x14ac:dyDescent="0.2">
      <c r="A17" s="47"/>
      <c r="B17" s="24"/>
      <c r="C17" s="20" t="str">
        <f>IF(TRIM($B17)="","",IFERROR(INDEX(People!$A$2:$A$199,MATCH(TRIM($B17),People!$B$2:$B$199,0)),IFERROR(INDEX(Teams!$A$2:$A$9,MATCH(TRIM($B17),Teams!$B$2:$B$9,0)),"?? CHECK NAME")))</f>
        <v/>
      </c>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row>
    <row r="18" spans="1:75" ht="34" customHeight="1" x14ac:dyDescent="0.2">
      <c r="A18" s="48"/>
      <c r="B18" s="24"/>
      <c r="C18" s="20" t="str">
        <f>IF(TRIM($B18)="","",IFERROR(INDEX(People!$A$2:$A$199,MATCH(TRIM($B18),People!$B$2:$B$199,0)),IFERROR(INDEX(Teams!$A$2:$A$9,MATCH(TRIM($B18),Teams!$B$2:$B$9,0)),"?? CHECK NAME")))</f>
        <v/>
      </c>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row>
    <row r="19" spans="1:75" ht="34" customHeight="1" x14ac:dyDescent="0.2">
      <c r="A19" s="61" t="s">
        <v>275</v>
      </c>
      <c r="B19" s="24"/>
      <c r="C19" s="20" t="str">
        <f>IF(TRIM($B19)="","",IFERROR(INDEX(People!$A$2:$A$199,MATCH(TRIM($B19),People!$B$2:$B$199,0)),IFERROR(INDEX(Teams!$A$2:$A$9,MATCH(TRIM($B19),Teams!$B$2:$B$9,0)),"?? CHECK NAME")))</f>
        <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row>
    <row r="20" spans="1:75" ht="34" customHeight="1" x14ac:dyDescent="0.2">
      <c r="A20" s="47"/>
      <c r="B20" s="24"/>
      <c r="C20" s="20" t="str">
        <f>IF(TRIM($B20)="","",IFERROR(INDEX(People!$A$2:$A$199,MATCH(TRIM($B20),People!$B$2:$B$199,0)),IFERROR(INDEX(Teams!$A$2:$A$9,MATCH(TRIM($B20),Teams!$B$2:$B$9,0)),"?? CHECK NAME")))</f>
        <v/>
      </c>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row>
    <row r="21" spans="1:75" ht="34" customHeight="1" x14ac:dyDescent="0.2">
      <c r="A21" s="47"/>
      <c r="B21" s="24"/>
      <c r="C21" s="20" t="str">
        <f>IF(TRIM($B21)="","",IFERROR(INDEX(People!$A$2:$A$199,MATCH(TRIM($B21),People!$B$2:$B$199,0)),IFERROR(INDEX(Teams!$A$2:$A$9,MATCH(TRIM($B21),Teams!$B$2:$B$9,0)),"?? CHECK NAME")))</f>
        <v/>
      </c>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row>
    <row r="22" spans="1:75" ht="34" customHeight="1" x14ac:dyDescent="0.2">
      <c r="A22" s="47"/>
      <c r="B22" s="24"/>
      <c r="C22" s="20" t="str">
        <f>IF(TRIM($B22)="","",IFERROR(INDEX(People!$A$2:$A$199,MATCH(TRIM($B22),People!$B$2:$B$199,0)),IFERROR(INDEX(Teams!$A$2:$A$9,MATCH(TRIM($B22),Teams!$B$2:$B$9,0)),"?? CHECK NAME")))</f>
        <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row>
    <row r="23" spans="1:75" ht="34" customHeight="1" x14ac:dyDescent="0.2">
      <c r="A23" s="48"/>
      <c r="B23" s="24"/>
      <c r="C23" s="20" t="str">
        <f>IF(TRIM($B23)="","",IFERROR(INDEX(People!$A$2:$A$199,MATCH(TRIM($B23),People!$B$2:$B$199,0)),IFERROR(INDEX(Teams!$A$2:$A$9,MATCH(TRIM($B23),Teams!$B$2:$B$9,0)),"?? CHECK NAME")))</f>
        <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row>
    <row r="24" spans="1:75" ht="34" customHeight="1" x14ac:dyDescent="0.2">
      <c r="A24" s="61" t="s">
        <v>276</v>
      </c>
      <c r="B24" s="24"/>
      <c r="C24" s="20" t="str">
        <f>IF(TRIM($B24)="","",IFERROR(INDEX(People!$A$2:$A$199,MATCH(TRIM($B24),People!$B$2:$B$199,0)),IFERROR(INDEX(Teams!$A$2:$A$9,MATCH(TRIM($B24),Teams!$B$2:$B$9,0)),"?? CHECK NAME")))</f>
        <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row>
    <row r="25" spans="1:75" ht="34" customHeight="1" x14ac:dyDescent="0.2">
      <c r="A25" s="47"/>
      <c r="B25" s="24"/>
      <c r="C25" s="20" t="str">
        <f>IF(TRIM($B25)="","",IFERROR(INDEX(People!$A$2:$A$199,MATCH(TRIM($B25),People!$B$2:$B$199,0)),IFERROR(INDEX(Teams!$A$2:$A$9,MATCH(TRIM($B25),Teams!$B$2:$B$9,0)),"?? CHECK NAME")))</f>
        <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row>
    <row r="26" spans="1:75" ht="34" customHeight="1" x14ac:dyDescent="0.2">
      <c r="A26" s="47"/>
      <c r="B26" s="24"/>
      <c r="C26" s="20" t="str">
        <f>IF(TRIM($B26)="","",IFERROR(INDEX(People!$A$2:$A$199,MATCH(TRIM($B26),People!$B$2:$B$199,0)),IFERROR(INDEX(Teams!$A$2:$A$9,MATCH(TRIM($B26),Teams!$B$2:$B$9,0)),"?? CHECK NAME")))</f>
        <v/>
      </c>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row>
    <row r="27" spans="1:75" ht="34" customHeight="1" x14ac:dyDescent="0.2">
      <c r="A27" s="47"/>
      <c r="B27" s="24"/>
      <c r="C27" s="20" t="str">
        <f>IF(TRIM($B27)="","",IFERROR(INDEX(People!$A$2:$A$199,MATCH(TRIM($B27),People!$B$2:$B$199,0)),IFERROR(INDEX(Teams!$A$2:$A$9,MATCH(TRIM($B27),Teams!$B$2:$B$9,0)),"?? CHECK NAME")))</f>
        <v/>
      </c>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row>
    <row r="28" spans="1:75" ht="34" customHeight="1" x14ac:dyDescent="0.2">
      <c r="A28" s="48"/>
      <c r="B28" s="24"/>
      <c r="C28" s="20" t="str">
        <f>IF(TRIM($B28)="","",IFERROR(INDEX(People!$A$2:$A$199,MATCH(TRIM($B28),People!$B$2:$B$199,0)),IFERROR(INDEX(Teams!$A$2:$A$9,MATCH(TRIM($B28),Teams!$B$2:$B$9,0)),"?? CHECK NAME")))</f>
        <v/>
      </c>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row>
    <row r="29" spans="1:75" ht="34" customHeight="1" x14ac:dyDescent="0.2">
      <c r="A29" s="61" t="s">
        <v>277</v>
      </c>
      <c r="B29" s="24"/>
      <c r="C29" s="20" t="str">
        <f>IF(TRIM($B29)="","",IFERROR(INDEX(People!$A$2:$A$199,MATCH(TRIM($B29),People!$B$2:$B$199,0)),IFERROR(INDEX(Teams!$A$2:$A$9,MATCH(TRIM($B29),Teams!$B$2:$B$9,0)),"?? CHECK NAME")))</f>
        <v/>
      </c>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row>
    <row r="30" spans="1:75" ht="34" customHeight="1" x14ac:dyDescent="0.2">
      <c r="A30" s="47"/>
      <c r="B30" s="24"/>
      <c r="C30" s="20" t="str">
        <f>IF(TRIM($B30)="","",IFERROR(INDEX(People!$A$2:$A$199,MATCH(TRIM($B30),People!$B$2:$B$199,0)),IFERROR(INDEX(Teams!$A$2:$A$9,MATCH(TRIM($B30),Teams!$B$2:$B$9,0)),"?? CHECK NAME")))</f>
        <v/>
      </c>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row>
    <row r="31" spans="1:75" ht="34" customHeight="1" x14ac:dyDescent="0.2">
      <c r="A31" s="47"/>
      <c r="B31" s="24"/>
      <c r="C31" s="20" t="str">
        <f>IF(TRIM($B31)="","",IFERROR(INDEX(People!$A$2:$A$199,MATCH(TRIM($B31),People!$B$2:$B$199,0)),IFERROR(INDEX(Teams!$A$2:$A$9,MATCH(TRIM($B31),Teams!$B$2:$B$9,0)),"?? CHECK NAME")))</f>
        <v/>
      </c>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row>
    <row r="32" spans="1:75" ht="34" customHeight="1" x14ac:dyDescent="0.2">
      <c r="A32" s="47"/>
      <c r="B32" s="24"/>
      <c r="C32" s="20" t="str">
        <f>IF(TRIM($B32)="","",IFERROR(INDEX(People!$A$2:$A$199,MATCH(TRIM($B32),People!$B$2:$B$199,0)),IFERROR(INDEX(Teams!$A$2:$A$9,MATCH(TRIM($B32),Teams!$B$2:$B$9,0)),"?? CHECK NAME")))</f>
        <v/>
      </c>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row>
    <row r="33" spans="1:75" ht="34" customHeight="1" x14ac:dyDescent="0.2">
      <c r="A33" s="48"/>
      <c r="B33" s="24"/>
      <c r="C33" s="20" t="str">
        <f>IF(TRIM($B33)="","",IFERROR(INDEX(People!$A$2:$A$199,MATCH(TRIM($B33),People!$B$2:$B$199,0)),IFERROR(INDEX(Teams!$A$2:$A$9,MATCH(TRIM($B33),Teams!$B$2:$B$9,0)),"?? CHECK NAME")))</f>
        <v/>
      </c>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row>
    <row r="34" spans="1:75" ht="34" customHeight="1" x14ac:dyDescent="0.2">
      <c r="A34" s="61" t="s">
        <v>278</v>
      </c>
      <c r="B34" s="24"/>
      <c r="C34" s="20" t="str">
        <f>IF(TRIM($B34)="","",IFERROR(INDEX(People!$A$2:$A$199,MATCH(TRIM($B34),People!$B$2:$B$199,0)),IFERROR(INDEX(Teams!$A$2:$A$9,MATCH(TRIM($B34),Teams!$B$2:$B$9,0)),"?? CHECK NAME")))</f>
        <v/>
      </c>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row>
    <row r="35" spans="1:75" ht="34" customHeight="1" x14ac:dyDescent="0.2">
      <c r="A35" s="47"/>
      <c r="B35" s="24"/>
      <c r="C35" s="20" t="str">
        <f>IF(TRIM($B35)="","",IFERROR(INDEX(People!$A$2:$A$199,MATCH(TRIM($B35),People!$B$2:$B$199,0)),IFERROR(INDEX(Teams!$A$2:$A$9,MATCH(TRIM($B35),Teams!$B$2:$B$9,0)),"?? CHECK NAME")))</f>
        <v/>
      </c>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row>
    <row r="36" spans="1:75" ht="34" customHeight="1" x14ac:dyDescent="0.2">
      <c r="A36" s="47"/>
      <c r="B36" s="24"/>
      <c r="C36" s="20" t="str">
        <f>IF(TRIM($B36)="","",IFERROR(INDEX(People!$A$2:$A$199,MATCH(TRIM($B36),People!$B$2:$B$199,0)),IFERROR(INDEX(Teams!$A$2:$A$9,MATCH(TRIM($B36),Teams!$B$2:$B$9,0)),"?? CHECK NAME")))</f>
        <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row>
    <row r="37" spans="1:75" ht="34" customHeight="1" x14ac:dyDescent="0.2">
      <c r="A37" s="47"/>
      <c r="B37" s="24"/>
      <c r="C37" s="20" t="str">
        <f>IF(TRIM($B37)="","",IFERROR(INDEX(People!$A$2:$A$199,MATCH(TRIM($B37),People!$B$2:$B$199,0)),IFERROR(INDEX(Teams!$A$2:$A$9,MATCH(TRIM($B37),Teams!$B$2:$B$9,0)),"?? CHECK NAME")))</f>
        <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row>
    <row r="38" spans="1:75" ht="34" customHeight="1" x14ac:dyDescent="0.2">
      <c r="A38" s="48"/>
      <c r="B38" s="24"/>
      <c r="C38" s="20" t="str">
        <f>IF(TRIM($B38)="","",IFERROR(INDEX(People!$A$2:$A$199,MATCH(TRIM($B38),People!$B$2:$B$199,0)),IFERROR(INDEX(Teams!$A$2:$A$9,MATCH(TRIM($B38),Teams!$B$2:$B$9,0)),"?? CHECK NAME")))</f>
        <v/>
      </c>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row>
    <row r="39" spans="1:75" ht="34" customHeight="1" x14ac:dyDescent="0.2">
      <c r="A39" s="61" t="s">
        <v>279</v>
      </c>
      <c r="B39" s="24"/>
      <c r="C39" s="20" t="str">
        <f>IF(TRIM($B39)="","",IFERROR(INDEX(People!$A$2:$A$199,MATCH(TRIM($B39),People!$B$2:$B$199,0)),IFERROR(INDEX(Teams!$A$2:$A$9,MATCH(TRIM($B39),Teams!$B$2:$B$9,0)),"?? CHECK NAME")))</f>
        <v/>
      </c>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row>
    <row r="40" spans="1:75" ht="34" customHeight="1" x14ac:dyDescent="0.2">
      <c r="A40" s="47"/>
      <c r="B40" s="24"/>
      <c r="C40" s="20" t="str">
        <f>IF(TRIM($B40)="","",IFERROR(INDEX(People!$A$2:$A$199,MATCH(TRIM($B40),People!$B$2:$B$199,0)),IFERROR(INDEX(Teams!$A$2:$A$9,MATCH(TRIM($B40),Teams!$B$2:$B$9,0)),"?? CHECK NAME")))</f>
        <v/>
      </c>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row>
    <row r="41" spans="1:75" ht="34" customHeight="1" x14ac:dyDescent="0.2">
      <c r="A41" s="47"/>
      <c r="B41" s="24"/>
      <c r="C41" s="20" t="str">
        <f>IF(TRIM($B41)="","",IFERROR(INDEX(People!$A$2:$A$199,MATCH(TRIM($B41),People!$B$2:$B$199,0)),IFERROR(INDEX(Teams!$A$2:$A$9,MATCH(TRIM($B41),Teams!$B$2:$B$9,0)),"?? CHECK NAME")))</f>
        <v/>
      </c>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row>
    <row r="42" spans="1:75" ht="34" customHeight="1" x14ac:dyDescent="0.2">
      <c r="A42" s="47"/>
      <c r="B42" s="24"/>
      <c r="C42" s="20" t="str">
        <f>IF(TRIM($B42)="","",IFERROR(INDEX(People!$A$2:$A$199,MATCH(TRIM($B42),People!$B$2:$B$199,0)),IFERROR(INDEX(Teams!$A$2:$A$9,MATCH(TRIM($B42),Teams!$B$2:$B$9,0)),"?? CHECK NAME")))</f>
        <v/>
      </c>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row>
    <row r="43" spans="1:75" ht="34" customHeight="1" x14ac:dyDescent="0.2">
      <c r="A43" s="48"/>
      <c r="B43" s="24"/>
      <c r="C43" s="20" t="str">
        <f>IF(TRIM($B43)="","",IFERROR(INDEX(People!$A$2:$A$199,MATCH(TRIM($B43),People!$B$2:$B$199,0)),IFERROR(INDEX(Teams!$A$2:$A$9,MATCH(TRIM($B43),Teams!$B$2:$B$9,0)),"?? CHECK NAME")))</f>
        <v/>
      </c>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row>
    <row r="44" spans="1:75" ht="34" customHeight="1" x14ac:dyDescent="0.2">
      <c r="A44" s="61" t="s">
        <v>221</v>
      </c>
      <c r="B44" s="24"/>
      <c r="C44" s="20" t="str">
        <f>IF(TRIM($B44)="","",IFERROR(INDEX(People!$A$2:$A$199,MATCH(TRIM($B44),People!$B$2:$B$199,0)),IFERROR(INDEX(Teams!$A$2:$A$9,MATCH(TRIM($B44),Teams!$B$2:$B$9,0)),"?? CHECK NAME")))</f>
        <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row>
    <row r="45" spans="1:75" ht="34" customHeight="1" x14ac:dyDescent="0.2">
      <c r="A45" s="47"/>
      <c r="B45" s="24"/>
      <c r="C45" s="20" t="str">
        <f>IF(TRIM($B45)="","",IFERROR(INDEX(People!$A$2:$A$199,MATCH(TRIM($B45),People!$B$2:$B$199,0)),IFERROR(INDEX(Teams!$A$2:$A$9,MATCH(TRIM($B45),Teams!$B$2:$B$9,0)),"?? CHECK NAME")))</f>
        <v/>
      </c>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row>
    <row r="46" spans="1:75" ht="34" customHeight="1" x14ac:dyDescent="0.2">
      <c r="A46" s="47"/>
      <c r="B46" s="24"/>
      <c r="C46" s="20" t="str">
        <f>IF(TRIM($B46)="","",IFERROR(INDEX(People!$A$2:$A$199,MATCH(TRIM($B46),People!$B$2:$B$199,0)),IFERROR(INDEX(Teams!$A$2:$A$9,MATCH(TRIM($B46),Teams!$B$2:$B$9,0)),"?? CHECK NAME")))</f>
        <v/>
      </c>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row>
    <row r="47" spans="1:75" ht="34" customHeight="1" x14ac:dyDescent="0.2">
      <c r="A47" s="47"/>
      <c r="B47" s="24"/>
      <c r="C47" s="20" t="str">
        <f>IF(TRIM($B47)="","",IFERROR(INDEX(People!$A$2:$A$199,MATCH(TRIM($B47),People!$B$2:$B$199,0)),IFERROR(INDEX(Teams!$A$2:$A$9,MATCH(TRIM($B47),Teams!$B$2:$B$9,0)),"?? CHECK NAME")))</f>
        <v/>
      </c>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row>
    <row r="48" spans="1:75" ht="34" customHeight="1" x14ac:dyDescent="0.2">
      <c r="A48" s="48"/>
      <c r="B48" s="24"/>
      <c r="C48" s="20" t="str">
        <f>IF(TRIM($B48)="","",IFERROR(INDEX(People!$A$2:$A$199,MATCH(TRIM($B48),People!$B$2:$B$199,0)),IFERROR(INDEX(Teams!$A$2:$A$9,MATCH(TRIM($B48),Teams!$B$2:$B$9,0)),"?? CHECK NAME")))</f>
        <v/>
      </c>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row>
    <row r="49" spans="1:75" ht="34" customHeight="1" x14ac:dyDescent="0.2">
      <c r="A49" s="61" t="s">
        <v>215</v>
      </c>
      <c r="B49" s="24"/>
      <c r="C49" s="20" t="str">
        <f>IF(TRIM($B49)="","",IFERROR(INDEX(People!$A$2:$A$199,MATCH(TRIM($B49),People!$B$2:$B$199,0)),IFERROR(INDEX(Teams!$A$2:$A$9,MATCH(TRIM($B49),Teams!$B$2:$B$9,0)),"?? CHECK NAME")))</f>
        <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row>
    <row r="50" spans="1:75" ht="34" customHeight="1" x14ac:dyDescent="0.2">
      <c r="A50" s="47"/>
      <c r="B50" s="24"/>
      <c r="C50" s="20" t="str">
        <f>IF(TRIM($B50)="","",IFERROR(INDEX(People!$A$2:$A$199,MATCH(TRIM($B50),People!$B$2:$B$199,0)),IFERROR(INDEX(Teams!$A$2:$A$9,MATCH(TRIM($B50),Teams!$B$2:$B$9,0)),"?? CHECK NAME")))</f>
        <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row>
    <row r="51" spans="1:75" ht="34" customHeight="1" x14ac:dyDescent="0.2">
      <c r="A51" s="47"/>
      <c r="B51" s="24"/>
      <c r="C51" s="20" t="str">
        <f>IF(TRIM($B51)="","",IFERROR(INDEX(People!$A$2:$A$199,MATCH(TRIM($B51),People!$B$2:$B$199,0)),IFERROR(INDEX(Teams!$A$2:$A$9,MATCH(TRIM($B51),Teams!$B$2:$B$9,0)),"?? CHECK NAME")))</f>
        <v/>
      </c>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row>
    <row r="52" spans="1:75" ht="34" customHeight="1" x14ac:dyDescent="0.2">
      <c r="A52" s="47"/>
      <c r="B52" s="24"/>
      <c r="C52" s="20" t="str">
        <f>IF(TRIM($B52)="","",IFERROR(INDEX(People!$A$2:$A$199,MATCH(TRIM($B52),People!$B$2:$B$199,0)),IFERROR(INDEX(Teams!$A$2:$A$9,MATCH(TRIM($B52),Teams!$B$2:$B$9,0)),"?? CHECK NAME")))</f>
        <v/>
      </c>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row>
    <row r="53" spans="1:75" ht="34" customHeight="1" x14ac:dyDescent="0.2">
      <c r="A53" s="48"/>
      <c r="B53" s="24"/>
      <c r="C53" s="20" t="str">
        <f>IF(TRIM($B53)="","",IFERROR(INDEX(People!$A$2:$A$199,MATCH(TRIM($B53),People!$B$2:$B$199,0)),IFERROR(INDEX(Teams!$A$2:$A$9,MATCH(TRIM($B53),Teams!$B$2:$B$9,0)),"?? CHECK NAME")))</f>
        <v/>
      </c>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row>
    <row r="54" spans="1:75" ht="34" customHeight="1" x14ac:dyDescent="0.2">
      <c r="A54" s="61" t="s">
        <v>280</v>
      </c>
      <c r="B54" s="24"/>
      <c r="C54" s="20" t="str">
        <f>IF(TRIM($B54)="","",IFERROR(INDEX(People!$A$2:$A$199,MATCH(TRIM($B54),People!$B$2:$B$199,0)),IFERROR(INDEX(Teams!$A$2:$A$9,MATCH(TRIM($B54),Teams!$B$2:$B$9,0)),"?? CHECK NAME")))</f>
        <v/>
      </c>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row>
    <row r="55" spans="1:75" ht="34" customHeight="1" x14ac:dyDescent="0.2">
      <c r="A55" s="47"/>
      <c r="B55" s="24"/>
      <c r="C55" s="20" t="str">
        <f>IF(TRIM($B55)="","",IFERROR(INDEX(People!$A$2:$A$199,MATCH(TRIM($B55),People!$B$2:$B$199,0)),IFERROR(INDEX(Teams!$A$2:$A$9,MATCH(TRIM($B55),Teams!$B$2:$B$9,0)),"?? CHECK NAME")))</f>
        <v/>
      </c>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row>
    <row r="56" spans="1:75" ht="34" customHeight="1" x14ac:dyDescent="0.2">
      <c r="A56" s="47"/>
      <c r="B56" s="24"/>
      <c r="C56" s="20" t="str">
        <f>IF(TRIM($B56)="","",IFERROR(INDEX(People!$A$2:$A$199,MATCH(TRIM($B56),People!$B$2:$B$199,0)),IFERROR(INDEX(Teams!$A$2:$A$9,MATCH(TRIM($B56),Teams!$B$2:$B$9,0)),"?? CHECK NAME")))</f>
        <v/>
      </c>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row>
    <row r="57" spans="1:75" ht="34" customHeight="1" x14ac:dyDescent="0.2">
      <c r="A57" s="47"/>
      <c r="B57" s="24"/>
      <c r="C57" s="20" t="str">
        <f>IF(TRIM($B57)="","",IFERROR(INDEX(People!$A$2:$A$199,MATCH(TRIM($B57),People!$B$2:$B$199,0)),IFERROR(INDEX(Teams!$A$2:$A$9,MATCH(TRIM($B57),Teams!$B$2:$B$9,0)),"?? CHECK NAME")))</f>
        <v/>
      </c>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row>
    <row r="58" spans="1:75" ht="34" customHeight="1" x14ac:dyDescent="0.2">
      <c r="A58" s="48"/>
      <c r="B58" s="24"/>
      <c r="C58" s="20" t="str">
        <f>IF(TRIM($B58)="","",IFERROR(INDEX(People!$A$2:$A$199,MATCH(TRIM($B58),People!$B$2:$B$199,0)),IFERROR(INDEX(Teams!$A$2:$A$9,MATCH(TRIM($B58),Teams!$B$2:$B$9,0)),"?? CHECK NAME")))</f>
        <v/>
      </c>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row>
    <row r="59" spans="1:75" ht="34" customHeight="1" x14ac:dyDescent="0.2">
      <c r="A59" s="61" t="s">
        <v>281</v>
      </c>
      <c r="B59" s="24"/>
      <c r="C59" s="20" t="str">
        <f>IF(TRIM($B59)="","",IFERROR(INDEX(People!$A$2:$A$199,MATCH(TRIM($B59),People!$B$2:$B$199,0)),IFERROR(INDEX(Teams!$A$2:$A$9,MATCH(TRIM($B59),Teams!$B$2:$B$9,0)),"?? CHECK NAME")))</f>
        <v/>
      </c>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row>
    <row r="60" spans="1:75" ht="34" customHeight="1" x14ac:dyDescent="0.2">
      <c r="A60" s="47"/>
      <c r="B60" s="24"/>
      <c r="C60" s="20" t="str">
        <f>IF(TRIM($B60)="","",IFERROR(INDEX(People!$A$2:$A$199,MATCH(TRIM($B60),People!$B$2:$B$199,0)),IFERROR(INDEX(Teams!$A$2:$A$9,MATCH(TRIM($B60),Teams!$B$2:$B$9,0)),"?? CHECK NAME")))</f>
        <v/>
      </c>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row>
    <row r="61" spans="1:75" ht="34" customHeight="1" x14ac:dyDescent="0.2">
      <c r="A61" s="47"/>
      <c r="B61" s="24"/>
      <c r="C61" s="20" t="str">
        <f>IF(TRIM($B61)="","",IFERROR(INDEX(People!$A$2:$A$199,MATCH(TRIM($B61),People!$B$2:$B$199,0)),IFERROR(INDEX(Teams!$A$2:$A$9,MATCH(TRIM($B61),Teams!$B$2:$B$9,0)),"?? CHECK NAME")))</f>
        <v/>
      </c>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row>
    <row r="62" spans="1:75" ht="34" customHeight="1" x14ac:dyDescent="0.2">
      <c r="A62" s="47"/>
      <c r="B62" s="24"/>
      <c r="C62" s="20" t="str">
        <f>IF(TRIM($B62)="","",IFERROR(INDEX(People!$A$2:$A$199,MATCH(TRIM($B62),People!$B$2:$B$199,0)),IFERROR(INDEX(Teams!$A$2:$A$9,MATCH(TRIM($B62),Teams!$B$2:$B$9,0)),"?? CHECK NAME")))</f>
        <v/>
      </c>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row>
    <row r="63" spans="1:75" ht="34" customHeight="1" x14ac:dyDescent="0.2">
      <c r="A63" s="48"/>
      <c r="B63" s="24"/>
      <c r="C63" s="20" t="str">
        <f>IF(TRIM($B63)="","",IFERROR(INDEX(People!$A$2:$A$199,MATCH(TRIM($B63),People!$B$2:$B$199,0)),IFERROR(INDEX(Teams!$A$2:$A$9,MATCH(TRIM($B63),Teams!$B$2:$B$9,0)),"?? CHECK NAME")))</f>
        <v/>
      </c>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row>
    <row r="64" spans="1:75" ht="34" customHeight="1" x14ac:dyDescent="0.2">
      <c r="A64" s="61" t="s">
        <v>282</v>
      </c>
      <c r="B64" s="24"/>
      <c r="C64" s="20" t="str">
        <f>IF(TRIM($B64)="","",IFERROR(INDEX(People!$A$2:$A$199,MATCH(TRIM($B64),People!$B$2:$B$199,0)),IFERROR(INDEX(Teams!$A$2:$A$9,MATCH(TRIM($B64),Teams!$B$2:$B$9,0)),"?? CHECK NAME")))</f>
        <v/>
      </c>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row>
    <row r="65" spans="1:75" ht="34" customHeight="1" x14ac:dyDescent="0.2">
      <c r="A65" s="47"/>
      <c r="B65" s="24"/>
      <c r="C65" s="20" t="str">
        <f>IF(TRIM($B65)="","",IFERROR(INDEX(People!$A$2:$A$199,MATCH(TRIM($B65),People!$B$2:$B$199,0)),IFERROR(INDEX(Teams!$A$2:$A$9,MATCH(TRIM($B65),Teams!$B$2:$B$9,0)),"?? CHECK NAME")))</f>
        <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row>
    <row r="66" spans="1:75" ht="34" customHeight="1" x14ac:dyDescent="0.2">
      <c r="A66" s="47"/>
      <c r="B66" s="24"/>
      <c r="C66" s="20" t="str">
        <f>IF(TRIM($B66)="","",IFERROR(INDEX(People!$A$2:$A$199,MATCH(TRIM($B66),People!$B$2:$B$199,0)),IFERROR(INDEX(Teams!$A$2:$A$9,MATCH(TRIM($B66),Teams!$B$2:$B$9,0)),"?? CHECK NAME")))</f>
        <v/>
      </c>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row>
    <row r="67" spans="1:75" ht="34" customHeight="1" x14ac:dyDescent="0.2">
      <c r="A67" s="47"/>
      <c r="B67" s="24"/>
      <c r="C67" s="20" t="str">
        <f>IF(TRIM($B67)="","",IFERROR(INDEX(People!$A$2:$A$199,MATCH(TRIM($B67),People!$B$2:$B$199,0)),IFERROR(INDEX(Teams!$A$2:$A$9,MATCH(TRIM($B67),Teams!$B$2:$B$9,0)),"?? CHECK NAME")))</f>
        <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row>
    <row r="68" spans="1:75" ht="34" customHeight="1" x14ac:dyDescent="0.2">
      <c r="A68" s="48"/>
      <c r="B68" s="24"/>
      <c r="C68" s="20" t="str">
        <f>IF(TRIM($B68)="","",IFERROR(INDEX(People!$A$2:$A$199,MATCH(TRIM($B68),People!$B$2:$B$199,0)),IFERROR(INDEX(Teams!$A$2:$A$9,MATCH(TRIM($B68),Teams!$B$2:$B$9,0)),"?? CHECK NAME")))</f>
        <v/>
      </c>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row>
    <row r="69" spans="1:75" ht="18" customHeight="1" x14ac:dyDescent="0.2">
      <c r="A69" s="58" t="s">
        <v>283</v>
      </c>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60"/>
    </row>
    <row r="70" spans="1:75" ht="34" customHeight="1" x14ac:dyDescent="0.2">
      <c r="A70" s="10" t="s">
        <v>187</v>
      </c>
      <c r="B70" s="26" t="s">
        <v>201</v>
      </c>
      <c r="C70" s="20" t="str">
        <f>IF(TRIM($B70)="","",IFERROR(INDEX(People!$A$2:$A$199,MATCH(TRIM($B70),People!$B$2:$B$199,0)),IFERROR(INDEX(Teams!$A$2:$A$9,MATCH(TRIM($B70),Teams!$B$2:$B$9,0)),"?? CHECK NAME")))</f>
        <v>TM-UNC</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row>
    <row r="71" spans="1:75" ht="34" customHeight="1" x14ac:dyDescent="0.2">
      <c r="A71" s="10" t="s">
        <v>187</v>
      </c>
      <c r="B71" s="26" t="s">
        <v>236</v>
      </c>
      <c r="C71" s="20" t="str">
        <f>IF(TRIM($B71)="","",IFERROR(INDEX(People!$A$2:$A$199,MATCH(TRIM($B71),People!$B$2:$B$199,0)),IFERROR(INDEX(Teams!$A$2:$A$9,MATCH(TRIM($B71),Teams!$B$2:$B$9,0)),"?? CHECK NAME")))</f>
        <v>TM-ILL</v>
      </c>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row>
    <row r="72" spans="1:75" ht="34" customHeight="1" x14ac:dyDescent="0.2">
      <c r="A72" s="10" t="s">
        <v>187</v>
      </c>
      <c r="B72" s="26" t="s">
        <v>239</v>
      </c>
      <c r="C72" s="20" t="str">
        <f>IF(TRIM($B72)="","",IFERROR(INDEX(People!$A$2:$A$199,MATCH(TRIM($B72),People!$B$2:$B$199,0)),IFERROR(INDEX(Teams!$A$2:$A$9,MATCH(TRIM($B72),Teams!$B$2:$B$9,0)),"?? CHECK NAME")))</f>
        <v>TM-UTD</v>
      </c>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row>
    <row r="73" spans="1:75" ht="34" customHeight="1" x14ac:dyDescent="0.2">
      <c r="A73" s="10" t="s">
        <v>187</v>
      </c>
      <c r="B73" s="26" t="s">
        <v>242</v>
      </c>
      <c r="C73" s="20" t="str">
        <f>IF(TRIM($B73)="","",IFERROR(INDEX(People!$A$2:$A$199,MATCH(TRIM($B73),People!$B$2:$B$199,0)),IFERROR(INDEX(Teams!$A$2:$A$9,MATCH(TRIM($B73),Teams!$B$2:$B$9,0)),"?? CHECK NAME")))</f>
        <v>TM-UVA</v>
      </c>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row>
    <row r="74" spans="1:75" ht="34" customHeight="1" x14ac:dyDescent="0.2">
      <c r="A74" s="10" t="s">
        <v>187</v>
      </c>
      <c r="B74" s="26" t="s">
        <v>245</v>
      </c>
      <c r="C74" s="20" t="str">
        <f>IF(TRIM($B74)="","",IFERROR(INDEX(People!$A$2:$A$199,MATCH(TRIM($B74),People!$B$2:$B$199,0)),IFERROR(INDEX(Teams!$A$2:$A$9,MATCH(TRIM($B74),Teams!$B$2:$B$9,0)),"?? CHECK NAME")))</f>
        <v>TM-UMD</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row>
    <row r="75" spans="1:75" ht="34" customHeight="1" x14ac:dyDescent="0.2">
      <c r="A75" s="10" t="s">
        <v>187</v>
      </c>
      <c r="B75" s="26" t="s">
        <v>248</v>
      </c>
      <c r="C75" s="20" t="str">
        <f>IF(TRIM($B75)="","",IFERROR(INDEX(People!$A$2:$A$199,MATCH(TRIM($B75),People!$B$2:$B$199,0)),IFERROR(INDEX(Teams!$A$2:$A$9,MATCH(TRIM($B75),Teams!$B$2:$B$9,0)),"?? CHECK NAME")))</f>
        <v>TM-UMI</v>
      </c>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row>
    <row r="76" spans="1:75" ht="34" customHeight="1" x14ac:dyDescent="0.2">
      <c r="A76" s="10" t="s">
        <v>187</v>
      </c>
      <c r="B76" s="26" t="s">
        <v>251</v>
      </c>
      <c r="C76" s="20" t="str">
        <f>IF(TRIM($B76)="","",IFERROR(INDEX(People!$A$2:$A$199,MATCH(TRIM($B76),People!$B$2:$B$199,0)),IFERROR(INDEX(Teams!$A$2:$A$9,MATCH(TRIM($B76),Teams!$B$2:$B$9,0)),"?? CHECK NAME")))</f>
        <v>TM-MSU</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row>
    <row r="77" spans="1:75" ht="34" customHeight="1" x14ac:dyDescent="0.2">
      <c r="A77" s="10" t="s">
        <v>187</v>
      </c>
      <c r="B77" s="26" t="s">
        <v>254</v>
      </c>
      <c r="C77" s="20" t="str">
        <f>IF(TRIM($B77)="","",IFERROR(INDEX(People!$A$2:$A$199,MATCH(TRIM($B77),People!$B$2:$B$199,0)),IFERROR(INDEX(Teams!$A$2:$A$9,MATCH(TRIM($B77),Teams!$B$2:$B$9,0)),"?? CHECK NAME")))</f>
        <v>TM-GT</v>
      </c>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row>
    <row r="78" spans="1:75" ht="18" customHeight="1" x14ac:dyDescent="0.2">
      <c r="A78" s="58" t="s">
        <v>284</v>
      </c>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60"/>
    </row>
    <row r="79" spans="1:75" ht="34" customHeight="1" x14ac:dyDescent="0.2">
      <c r="A79" s="10" t="s">
        <v>285</v>
      </c>
      <c r="B79" s="11" t="s">
        <v>286</v>
      </c>
      <c r="C79" s="20" t="s">
        <v>287</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row>
    <row r="80" spans="1:75" ht="34" customHeight="1" x14ac:dyDescent="0.2">
      <c r="A80" s="10" t="s">
        <v>288</v>
      </c>
      <c r="B80" s="11" t="s">
        <v>289</v>
      </c>
      <c r="C80" s="20" t="s">
        <v>290</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row>
    <row r="81" spans="1:75" ht="34" customHeight="1" x14ac:dyDescent="0.2">
      <c r="A81" s="61" t="s">
        <v>291</v>
      </c>
      <c r="B81" s="24"/>
      <c r="C81" s="20" t="str">
        <f>IF(TRIM($B81)="","",IFERROR(INDEX(People!$A$2:$A$199,MATCH(TRIM($B81),People!$B$2:$B$199,0)),IFERROR(INDEX(Teams!$A$2:$A$9,MATCH(TRIM($B81),Teams!$B$2:$B$9,0)),"?? CHECK NAME")))</f>
        <v/>
      </c>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row>
    <row r="82" spans="1:75" ht="34" customHeight="1" x14ac:dyDescent="0.2">
      <c r="A82" s="47"/>
      <c r="B82" s="24"/>
      <c r="C82" s="20" t="str">
        <f>IF(TRIM($B82)="","",IFERROR(INDEX(People!$A$2:$A$199,MATCH(TRIM($B82),People!$B$2:$B$199,0)),IFERROR(INDEX(Teams!$A$2:$A$9,MATCH(TRIM($B82),Teams!$B$2:$B$9,0)),"?? CHECK NAME")))</f>
        <v/>
      </c>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row>
    <row r="83" spans="1:75" ht="34" customHeight="1" x14ac:dyDescent="0.2">
      <c r="A83" s="47"/>
      <c r="B83" s="24"/>
      <c r="C83" s="20" t="str">
        <f>IF(TRIM($B83)="","",IFERROR(INDEX(People!$A$2:$A$199,MATCH(TRIM($B83),People!$B$2:$B$199,0)),IFERROR(INDEX(Teams!$A$2:$A$9,MATCH(TRIM($B83),Teams!$B$2:$B$9,0)),"?? CHECK NAME")))</f>
        <v/>
      </c>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row>
    <row r="84" spans="1:75" ht="34" customHeight="1" x14ac:dyDescent="0.2">
      <c r="A84" s="47"/>
      <c r="B84" s="24"/>
      <c r="C84" s="20" t="str">
        <f>IF(TRIM($B84)="","",IFERROR(INDEX(People!$A$2:$A$199,MATCH(TRIM($B84),People!$B$2:$B$199,0)),IFERROR(INDEX(Teams!$A$2:$A$9,MATCH(TRIM($B84),Teams!$B$2:$B$9,0)),"?? CHECK NAME")))</f>
        <v/>
      </c>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row>
    <row r="85" spans="1:75" ht="34" customHeight="1" x14ac:dyDescent="0.2">
      <c r="A85" s="48"/>
      <c r="B85" s="24"/>
      <c r="C85" s="20" t="str">
        <f>IF(TRIM($B85)="","",IFERROR(INDEX(People!$A$2:$A$199,MATCH(TRIM($B85),People!$B$2:$B$199,0)),IFERROR(INDEX(Teams!$A$2:$A$9,MATCH(TRIM($B85),Teams!$B$2:$B$9,0)),"?? CHECK NAME")))</f>
        <v/>
      </c>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row>
    <row r="86" spans="1:75" ht="18" customHeight="1" x14ac:dyDescent="0.2">
      <c r="A86" s="58" t="s">
        <v>292</v>
      </c>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60"/>
    </row>
    <row r="87" spans="1:75" ht="34" customHeight="1" x14ac:dyDescent="0.2">
      <c r="A87" s="46" t="s">
        <v>201</v>
      </c>
      <c r="B87" s="28" t="str">
        <f>IFERROR(INDEX(People!$B$2:$B$199,MATCH($A$87&amp;"#"&amp;1,People!$H$2:$H$199,0)),"")</f>
        <v>Example Liaison One</v>
      </c>
      <c r="C87" s="20" t="str">
        <f>IF(TRIM($B87)="","",IFERROR(INDEX(People!$A$2:$A$199,MATCH(TRIM($B87),People!$B$2:$B$199,0)),"?? CHECK NAME"))</f>
        <v>LIA-01</v>
      </c>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row>
    <row r="88" spans="1:75" ht="34" customHeight="1" x14ac:dyDescent="0.2">
      <c r="A88" s="47"/>
      <c r="B88" s="28" t="str">
        <f>IFERROR(INDEX(People!$B$2:$B$199,MATCH($A$87&amp;"#"&amp;2,People!$H$2:$H$199,0)),"")</f>
        <v>Example Liaison Two</v>
      </c>
      <c r="C88" s="20" t="str">
        <f>IF(TRIM($B88)="","",IFERROR(INDEX(People!$A$2:$A$199,MATCH(TRIM($B88),People!$B$2:$B$199,0)),"?? CHECK NAME"))</f>
        <v>LIA-02</v>
      </c>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row>
    <row r="89" spans="1:75" ht="34" customHeight="1" x14ac:dyDescent="0.2">
      <c r="A89" s="47"/>
      <c r="B89" s="28" t="str">
        <f>IFERROR(INDEX(People!$B$2:$B$199,MATCH($A$87&amp;"#"&amp;3,People!$H$2:$H$199,0)),"")</f>
        <v>Example Liaison Three</v>
      </c>
      <c r="C89" s="20" t="str">
        <f>IF(TRIM($B89)="","",IFERROR(INDEX(People!$A$2:$A$199,MATCH(TRIM($B89),People!$B$2:$B$199,0)),"?? CHECK NAME"))</f>
        <v>LIA-03</v>
      </c>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row>
    <row r="90" spans="1:75" ht="34" customHeight="1" x14ac:dyDescent="0.2">
      <c r="A90" s="47"/>
      <c r="B90" s="28" t="str">
        <f>IFERROR(INDEX(People!$B$2:$B$199,MATCH($A$87&amp;"#"&amp;4,People!$H$2:$H$199,0)),"")</f>
        <v/>
      </c>
      <c r="C90" s="20" t="str">
        <f>IF(TRIM($B90)="","",IFERROR(INDEX(People!$A$2:$A$199,MATCH(TRIM($B90),People!$B$2:$B$199,0)),"?? CHECK NAME"))</f>
        <v/>
      </c>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row>
    <row r="91" spans="1:75" ht="34" customHeight="1" x14ac:dyDescent="0.2">
      <c r="A91" s="48"/>
      <c r="B91" s="28" t="str">
        <f>IFERROR(INDEX(People!$B$2:$B$199,MATCH($A$87&amp;"#"&amp;5,People!$H$2:$H$199,0)),"")</f>
        <v/>
      </c>
      <c r="C91" s="20" t="str">
        <f>IF(TRIM($B91)="","",IFERROR(INDEX(People!$A$2:$A$199,MATCH(TRIM($B91),People!$B$2:$B$199,0)),"?? CHECK NAME"))</f>
        <v/>
      </c>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row>
    <row r="92" spans="1:75" ht="34" customHeight="1" x14ac:dyDescent="0.2">
      <c r="A92" s="46" t="s">
        <v>236</v>
      </c>
      <c r="B92" s="28" t="str">
        <f>IFERROR(INDEX(People!$B$2:$B$199,MATCH($A$92&amp;"#"&amp;1,People!$H$2:$H$199,0)),"")</f>
        <v/>
      </c>
      <c r="C92" s="20" t="str">
        <f>IF(TRIM($B92)="","",IFERROR(INDEX(People!$A$2:$A$199,MATCH(TRIM($B92),People!$B$2:$B$199,0)),"?? CHECK NAME"))</f>
        <v/>
      </c>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row>
    <row r="93" spans="1:75" ht="34" customHeight="1" x14ac:dyDescent="0.2">
      <c r="A93" s="47"/>
      <c r="B93" s="28" t="str">
        <f>IFERROR(INDEX(People!$B$2:$B$199,MATCH($A$92&amp;"#"&amp;2,People!$H$2:$H$199,0)),"")</f>
        <v/>
      </c>
      <c r="C93" s="20" t="str">
        <f>IF(TRIM($B93)="","",IFERROR(INDEX(People!$A$2:$A$199,MATCH(TRIM($B93),People!$B$2:$B$199,0)),"?? CHECK NAME"))</f>
        <v/>
      </c>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row>
    <row r="94" spans="1:75" ht="34" customHeight="1" x14ac:dyDescent="0.2">
      <c r="A94" s="47"/>
      <c r="B94" s="28" t="str">
        <f>IFERROR(INDEX(People!$B$2:$B$199,MATCH($A$92&amp;"#"&amp;3,People!$H$2:$H$199,0)),"")</f>
        <v/>
      </c>
      <c r="C94" s="20" t="str">
        <f>IF(TRIM($B94)="","",IFERROR(INDEX(People!$A$2:$A$199,MATCH(TRIM($B94),People!$B$2:$B$199,0)),"?? CHECK NAME"))</f>
        <v/>
      </c>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row>
    <row r="95" spans="1:75" ht="34" customHeight="1" x14ac:dyDescent="0.2">
      <c r="A95" s="47"/>
      <c r="B95" s="28" t="str">
        <f>IFERROR(INDEX(People!$B$2:$B$199,MATCH($A$92&amp;"#"&amp;4,People!$H$2:$H$199,0)),"")</f>
        <v/>
      </c>
      <c r="C95" s="20" t="str">
        <f>IF(TRIM($B95)="","",IFERROR(INDEX(People!$A$2:$A$199,MATCH(TRIM($B95),People!$B$2:$B$199,0)),"?? CHECK NAME"))</f>
        <v/>
      </c>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row>
    <row r="96" spans="1:75" ht="34" customHeight="1" x14ac:dyDescent="0.2">
      <c r="A96" s="48"/>
      <c r="B96" s="28" t="str">
        <f>IFERROR(INDEX(People!$B$2:$B$199,MATCH($A$92&amp;"#"&amp;5,People!$H$2:$H$199,0)),"")</f>
        <v/>
      </c>
      <c r="C96" s="20" t="str">
        <f>IF(TRIM($B96)="","",IFERROR(INDEX(People!$A$2:$A$199,MATCH(TRIM($B96),People!$B$2:$B$199,0)),"?? CHECK NAME"))</f>
        <v/>
      </c>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row>
    <row r="97" spans="1:75" ht="34" customHeight="1" x14ac:dyDescent="0.2">
      <c r="A97" s="46" t="s">
        <v>239</v>
      </c>
      <c r="B97" s="28" t="str">
        <f>IFERROR(INDEX(People!$B$2:$B$199,MATCH($A$97&amp;"#"&amp;1,People!$H$2:$H$199,0)),"")</f>
        <v/>
      </c>
      <c r="C97" s="20" t="str">
        <f>IF(TRIM($B97)="","",IFERROR(INDEX(People!$A$2:$A$199,MATCH(TRIM($B97),People!$B$2:$B$199,0)),"?? CHECK NAME"))</f>
        <v/>
      </c>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row>
    <row r="98" spans="1:75" ht="34" customHeight="1" x14ac:dyDescent="0.2">
      <c r="A98" s="47"/>
      <c r="B98" s="28" t="str">
        <f>IFERROR(INDEX(People!$B$2:$B$199,MATCH($A$97&amp;"#"&amp;2,People!$H$2:$H$199,0)),"")</f>
        <v/>
      </c>
      <c r="C98" s="20" t="str">
        <f>IF(TRIM($B98)="","",IFERROR(INDEX(People!$A$2:$A$199,MATCH(TRIM($B98),People!$B$2:$B$199,0)),"?? CHECK NAME"))</f>
        <v/>
      </c>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row>
    <row r="99" spans="1:75" ht="34" customHeight="1" x14ac:dyDescent="0.2">
      <c r="A99" s="47"/>
      <c r="B99" s="28" t="str">
        <f>IFERROR(INDEX(People!$B$2:$B$199,MATCH($A$97&amp;"#"&amp;3,People!$H$2:$H$199,0)),"")</f>
        <v/>
      </c>
      <c r="C99" s="20" t="str">
        <f>IF(TRIM($B99)="","",IFERROR(INDEX(People!$A$2:$A$199,MATCH(TRIM($B99),People!$B$2:$B$199,0)),"?? CHECK NAME"))</f>
        <v/>
      </c>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row>
    <row r="100" spans="1:75" ht="34" customHeight="1" x14ac:dyDescent="0.2">
      <c r="A100" s="47"/>
      <c r="B100" s="28" t="str">
        <f>IFERROR(INDEX(People!$B$2:$B$199,MATCH($A$97&amp;"#"&amp;4,People!$H$2:$H$199,0)),"")</f>
        <v/>
      </c>
      <c r="C100" s="20" t="str">
        <f>IF(TRIM($B100)="","",IFERROR(INDEX(People!$A$2:$A$199,MATCH(TRIM($B100),People!$B$2:$B$199,0)),"?? CHECK NAME"))</f>
        <v/>
      </c>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row>
    <row r="101" spans="1:75" ht="34" customHeight="1" x14ac:dyDescent="0.2">
      <c r="A101" s="48"/>
      <c r="B101" s="28" t="str">
        <f>IFERROR(INDEX(People!$B$2:$B$199,MATCH($A$97&amp;"#"&amp;5,People!$H$2:$H$199,0)),"")</f>
        <v/>
      </c>
      <c r="C101" s="20" t="str">
        <f>IF(TRIM($B101)="","",IFERROR(INDEX(People!$A$2:$A$199,MATCH(TRIM($B101),People!$B$2:$B$199,0)),"?? CHECK NAME"))</f>
        <v/>
      </c>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row>
    <row r="102" spans="1:75" ht="34" customHeight="1" x14ac:dyDescent="0.2">
      <c r="A102" s="46" t="s">
        <v>242</v>
      </c>
      <c r="B102" s="28" t="str">
        <f>IFERROR(INDEX(People!$B$2:$B$199,MATCH($A$102&amp;"#"&amp;1,People!$H$2:$H$199,0)),"")</f>
        <v/>
      </c>
      <c r="C102" s="20" t="str">
        <f>IF(TRIM($B102)="","",IFERROR(INDEX(People!$A$2:$A$199,MATCH(TRIM($B102),People!$B$2:$B$199,0)),"?? CHECK NAME"))</f>
        <v/>
      </c>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row>
    <row r="103" spans="1:75" ht="34" customHeight="1" x14ac:dyDescent="0.2">
      <c r="A103" s="47"/>
      <c r="B103" s="28" t="str">
        <f>IFERROR(INDEX(People!$B$2:$B$199,MATCH($A$102&amp;"#"&amp;2,People!$H$2:$H$199,0)),"")</f>
        <v/>
      </c>
      <c r="C103" s="20" t="str">
        <f>IF(TRIM($B103)="","",IFERROR(INDEX(People!$A$2:$A$199,MATCH(TRIM($B103),People!$B$2:$B$199,0)),"?? CHECK NAME"))</f>
        <v/>
      </c>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row>
    <row r="104" spans="1:75" ht="34" customHeight="1" x14ac:dyDescent="0.2">
      <c r="A104" s="47"/>
      <c r="B104" s="28" t="str">
        <f>IFERROR(INDEX(People!$B$2:$B$199,MATCH($A$102&amp;"#"&amp;3,People!$H$2:$H$199,0)),"")</f>
        <v/>
      </c>
      <c r="C104" s="20" t="str">
        <f>IF(TRIM($B104)="","",IFERROR(INDEX(People!$A$2:$A$199,MATCH(TRIM($B104),People!$B$2:$B$199,0)),"?? CHECK NAME"))</f>
        <v/>
      </c>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row>
    <row r="105" spans="1:75" ht="34" customHeight="1" x14ac:dyDescent="0.2">
      <c r="A105" s="47"/>
      <c r="B105" s="28" t="str">
        <f>IFERROR(INDEX(People!$B$2:$B$199,MATCH($A$102&amp;"#"&amp;4,People!$H$2:$H$199,0)),"")</f>
        <v/>
      </c>
      <c r="C105" s="20" t="str">
        <f>IF(TRIM($B105)="","",IFERROR(INDEX(People!$A$2:$A$199,MATCH(TRIM($B105),People!$B$2:$B$199,0)),"?? CHECK NAME"))</f>
        <v/>
      </c>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row>
    <row r="106" spans="1:75" ht="34" customHeight="1" x14ac:dyDescent="0.2">
      <c r="A106" s="48"/>
      <c r="B106" s="28" t="str">
        <f>IFERROR(INDEX(People!$B$2:$B$199,MATCH($A$102&amp;"#"&amp;5,People!$H$2:$H$199,0)),"")</f>
        <v/>
      </c>
      <c r="C106" s="20" t="str">
        <f>IF(TRIM($B106)="","",IFERROR(INDEX(People!$A$2:$A$199,MATCH(TRIM($B106),People!$B$2:$B$199,0)),"?? CHECK NAME"))</f>
        <v/>
      </c>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row>
    <row r="107" spans="1:75" ht="34" customHeight="1" x14ac:dyDescent="0.2">
      <c r="A107" s="46" t="s">
        <v>245</v>
      </c>
      <c r="B107" s="28" t="str">
        <f>IFERROR(INDEX(People!$B$2:$B$199,MATCH($A$107&amp;"#"&amp;1,People!$H$2:$H$199,0)),"")</f>
        <v/>
      </c>
      <c r="C107" s="20" t="str">
        <f>IF(TRIM($B107)="","",IFERROR(INDEX(People!$A$2:$A$199,MATCH(TRIM($B107),People!$B$2:$B$199,0)),"?? CHECK NAME"))</f>
        <v/>
      </c>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row>
    <row r="108" spans="1:75" ht="34" customHeight="1" x14ac:dyDescent="0.2">
      <c r="A108" s="47"/>
      <c r="B108" s="28" t="str">
        <f>IFERROR(INDEX(People!$B$2:$B$199,MATCH($A$107&amp;"#"&amp;2,People!$H$2:$H$199,0)),"")</f>
        <v/>
      </c>
      <c r="C108" s="20" t="str">
        <f>IF(TRIM($B108)="","",IFERROR(INDEX(People!$A$2:$A$199,MATCH(TRIM($B108),People!$B$2:$B$199,0)),"?? CHECK NAME"))</f>
        <v/>
      </c>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row>
    <row r="109" spans="1:75" ht="34" customHeight="1" x14ac:dyDescent="0.2">
      <c r="A109" s="47"/>
      <c r="B109" s="28" t="str">
        <f>IFERROR(INDEX(People!$B$2:$B$199,MATCH($A$107&amp;"#"&amp;3,People!$H$2:$H$199,0)),"")</f>
        <v/>
      </c>
      <c r="C109" s="20" t="str">
        <f>IF(TRIM($B109)="","",IFERROR(INDEX(People!$A$2:$A$199,MATCH(TRIM($B109),People!$B$2:$B$199,0)),"?? CHECK NAME"))</f>
        <v/>
      </c>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row>
    <row r="110" spans="1:75" ht="34" customHeight="1" x14ac:dyDescent="0.2">
      <c r="A110" s="47"/>
      <c r="B110" s="28" t="str">
        <f>IFERROR(INDEX(People!$B$2:$B$199,MATCH($A$107&amp;"#"&amp;4,People!$H$2:$H$199,0)),"")</f>
        <v/>
      </c>
      <c r="C110" s="20" t="str">
        <f>IF(TRIM($B110)="","",IFERROR(INDEX(People!$A$2:$A$199,MATCH(TRIM($B110),People!$B$2:$B$199,0)),"?? CHECK NAME"))</f>
        <v/>
      </c>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row>
    <row r="111" spans="1:75" ht="34" customHeight="1" x14ac:dyDescent="0.2">
      <c r="A111" s="48"/>
      <c r="B111" s="28" t="str">
        <f>IFERROR(INDEX(People!$B$2:$B$199,MATCH($A$107&amp;"#"&amp;5,People!$H$2:$H$199,0)),"")</f>
        <v/>
      </c>
      <c r="C111" s="20" t="str">
        <f>IF(TRIM($B111)="","",IFERROR(INDEX(People!$A$2:$A$199,MATCH(TRIM($B111),People!$B$2:$B$199,0)),"?? CHECK NAME"))</f>
        <v/>
      </c>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row>
    <row r="112" spans="1:75" ht="34" customHeight="1" x14ac:dyDescent="0.2">
      <c r="A112" s="46" t="s">
        <v>248</v>
      </c>
      <c r="B112" s="28" t="str">
        <f>IFERROR(INDEX(People!$B$2:$B$199,MATCH($A$112&amp;"#"&amp;1,People!$H$2:$H$199,0)),"")</f>
        <v/>
      </c>
      <c r="C112" s="20" t="str">
        <f>IF(TRIM($B112)="","",IFERROR(INDEX(People!$A$2:$A$199,MATCH(TRIM($B112),People!$B$2:$B$199,0)),"?? CHECK NAME"))</f>
        <v/>
      </c>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row>
    <row r="113" spans="1:75" ht="34" customHeight="1" x14ac:dyDescent="0.2">
      <c r="A113" s="47"/>
      <c r="B113" s="28" t="str">
        <f>IFERROR(INDEX(People!$B$2:$B$199,MATCH($A$112&amp;"#"&amp;2,People!$H$2:$H$199,0)),"")</f>
        <v/>
      </c>
      <c r="C113" s="20" t="str">
        <f>IF(TRIM($B113)="","",IFERROR(INDEX(People!$A$2:$A$199,MATCH(TRIM($B113),People!$B$2:$B$199,0)),"?? CHECK NAME"))</f>
        <v/>
      </c>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row>
    <row r="114" spans="1:75" ht="34" customHeight="1" x14ac:dyDescent="0.2">
      <c r="A114" s="47"/>
      <c r="B114" s="28" t="str">
        <f>IFERROR(INDEX(People!$B$2:$B$199,MATCH($A$112&amp;"#"&amp;3,People!$H$2:$H$199,0)),"")</f>
        <v/>
      </c>
      <c r="C114" s="20" t="str">
        <f>IF(TRIM($B114)="","",IFERROR(INDEX(People!$A$2:$A$199,MATCH(TRIM($B114),People!$B$2:$B$199,0)),"?? CHECK NAME"))</f>
        <v/>
      </c>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row>
    <row r="115" spans="1:75" ht="34" customHeight="1" x14ac:dyDescent="0.2">
      <c r="A115" s="47"/>
      <c r="B115" s="28" t="str">
        <f>IFERROR(INDEX(People!$B$2:$B$199,MATCH($A$112&amp;"#"&amp;4,People!$H$2:$H$199,0)),"")</f>
        <v/>
      </c>
      <c r="C115" s="20" t="str">
        <f>IF(TRIM($B115)="","",IFERROR(INDEX(People!$A$2:$A$199,MATCH(TRIM($B115),People!$B$2:$B$199,0)),"?? CHECK NAME"))</f>
        <v/>
      </c>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row>
    <row r="116" spans="1:75" ht="34" customHeight="1" x14ac:dyDescent="0.2">
      <c r="A116" s="48"/>
      <c r="B116" s="28" t="str">
        <f>IFERROR(INDEX(People!$B$2:$B$199,MATCH($A$112&amp;"#"&amp;5,People!$H$2:$H$199,0)),"")</f>
        <v/>
      </c>
      <c r="C116" s="20" t="str">
        <f>IF(TRIM($B116)="","",IFERROR(INDEX(People!$A$2:$A$199,MATCH(TRIM($B116),People!$B$2:$B$199,0)),"?? CHECK NAME"))</f>
        <v/>
      </c>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row>
    <row r="117" spans="1:75" ht="34" customHeight="1" x14ac:dyDescent="0.2">
      <c r="A117" s="46" t="s">
        <v>251</v>
      </c>
      <c r="B117" s="28" t="str">
        <f>IFERROR(INDEX(People!$B$2:$B$199,MATCH($A$117&amp;"#"&amp;1,People!$H$2:$H$199,0)),"")</f>
        <v/>
      </c>
      <c r="C117" s="20" t="str">
        <f>IF(TRIM($B117)="","",IFERROR(INDEX(People!$A$2:$A$199,MATCH(TRIM($B117),People!$B$2:$B$199,0)),"?? CHECK NAME"))</f>
        <v/>
      </c>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row>
    <row r="118" spans="1:75" ht="34" customHeight="1" x14ac:dyDescent="0.2">
      <c r="A118" s="47"/>
      <c r="B118" s="28" t="str">
        <f>IFERROR(INDEX(People!$B$2:$B$199,MATCH($A$117&amp;"#"&amp;2,People!$H$2:$H$199,0)),"")</f>
        <v/>
      </c>
      <c r="C118" s="20" t="str">
        <f>IF(TRIM($B118)="","",IFERROR(INDEX(People!$A$2:$A$199,MATCH(TRIM($B118),People!$B$2:$B$199,0)),"?? CHECK NAME"))</f>
        <v/>
      </c>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row>
    <row r="119" spans="1:75" ht="34" customHeight="1" x14ac:dyDescent="0.2">
      <c r="A119" s="47"/>
      <c r="B119" s="28" t="str">
        <f>IFERROR(INDEX(People!$B$2:$B$199,MATCH($A$117&amp;"#"&amp;3,People!$H$2:$H$199,0)),"")</f>
        <v/>
      </c>
      <c r="C119" s="20" t="str">
        <f>IF(TRIM($B119)="","",IFERROR(INDEX(People!$A$2:$A$199,MATCH(TRIM($B119),People!$B$2:$B$199,0)),"?? CHECK NAME"))</f>
        <v/>
      </c>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row>
    <row r="120" spans="1:75" ht="34" customHeight="1" x14ac:dyDescent="0.2">
      <c r="A120" s="47"/>
      <c r="B120" s="28" t="str">
        <f>IFERROR(INDEX(People!$B$2:$B$199,MATCH($A$117&amp;"#"&amp;4,People!$H$2:$H$199,0)),"")</f>
        <v/>
      </c>
      <c r="C120" s="20" t="str">
        <f>IF(TRIM($B120)="","",IFERROR(INDEX(People!$A$2:$A$199,MATCH(TRIM($B120),People!$B$2:$B$199,0)),"?? CHECK NAME"))</f>
        <v/>
      </c>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row>
    <row r="121" spans="1:75" ht="34" customHeight="1" x14ac:dyDescent="0.2">
      <c r="A121" s="48"/>
      <c r="B121" s="28" t="str">
        <f>IFERROR(INDEX(People!$B$2:$B$199,MATCH($A$117&amp;"#"&amp;5,People!$H$2:$H$199,0)),"")</f>
        <v/>
      </c>
      <c r="C121" s="20" t="str">
        <f>IF(TRIM($B121)="","",IFERROR(INDEX(People!$A$2:$A$199,MATCH(TRIM($B121),People!$B$2:$B$199,0)),"?? CHECK NAME"))</f>
        <v/>
      </c>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row>
    <row r="122" spans="1:75" ht="34" customHeight="1" x14ac:dyDescent="0.2">
      <c r="A122" s="46" t="s">
        <v>254</v>
      </c>
      <c r="B122" s="28" t="str">
        <f>IFERROR(INDEX(People!$B$2:$B$199,MATCH($A$122&amp;"#"&amp;1,People!$H$2:$H$199,0)),"")</f>
        <v/>
      </c>
      <c r="C122" s="20" t="str">
        <f>IF(TRIM($B122)="","",IFERROR(INDEX(People!$A$2:$A$199,MATCH(TRIM($B122),People!$B$2:$B$199,0)),"?? CHECK NAME"))</f>
        <v/>
      </c>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row>
    <row r="123" spans="1:75" ht="34" customHeight="1" x14ac:dyDescent="0.2">
      <c r="A123" s="47"/>
      <c r="B123" s="28" t="str">
        <f>IFERROR(INDEX(People!$B$2:$B$199,MATCH($A$122&amp;"#"&amp;2,People!$H$2:$H$199,0)),"")</f>
        <v/>
      </c>
      <c r="C123" s="20" t="str">
        <f>IF(TRIM($B123)="","",IFERROR(INDEX(People!$A$2:$A$199,MATCH(TRIM($B123),People!$B$2:$B$199,0)),"?? CHECK NAME"))</f>
        <v/>
      </c>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row>
    <row r="124" spans="1:75" ht="34" customHeight="1" x14ac:dyDescent="0.2">
      <c r="A124" s="47"/>
      <c r="B124" s="28" t="str">
        <f>IFERROR(INDEX(People!$B$2:$B$199,MATCH($A$122&amp;"#"&amp;3,People!$H$2:$H$199,0)),"")</f>
        <v/>
      </c>
      <c r="C124" s="20" t="str">
        <f>IF(TRIM($B124)="","",IFERROR(INDEX(People!$A$2:$A$199,MATCH(TRIM($B124),People!$B$2:$B$199,0)),"?? CHECK NAME"))</f>
        <v/>
      </c>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row>
    <row r="125" spans="1:75" ht="34" customHeight="1" x14ac:dyDescent="0.2">
      <c r="A125" s="47"/>
      <c r="B125" s="28" t="str">
        <f>IFERROR(INDEX(People!$B$2:$B$199,MATCH($A$122&amp;"#"&amp;4,People!$H$2:$H$199,0)),"")</f>
        <v/>
      </c>
      <c r="C125" s="20" t="str">
        <f>IF(TRIM($B125)="","",IFERROR(INDEX(People!$A$2:$A$199,MATCH(TRIM($B125),People!$B$2:$B$199,0)),"?? CHECK NAME"))</f>
        <v/>
      </c>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row>
    <row r="126" spans="1:75" ht="34" customHeight="1" x14ac:dyDescent="0.2">
      <c r="A126" s="48"/>
      <c r="B126" s="28" t="str">
        <f>IFERROR(INDEX(People!$B$2:$B$199,MATCH($A$122&amp;"#"&amp;5,People!$H$2:$H$199,0)),"")</f>
        <v/>
      </c>
      <c r="C126" s="20" t="str">
        <f>IF(TRIM($B126)="","",IFERROR(INDEX(People!$A$2:$A$199,MATCH(TRIM($B126),People!$B$2:$B$199,0)),"?? CHECK NAME"))</f>
        <v/>
      </c>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row>
    <row r="127" spans="1:75" ht="34" customHeight="1" x14ac:dyDescent="0.2">
      <c r="A127" s="61" t="s">
        <v>293</v>
      </c>
      <c r="B127" s="24"/>
      <c r="C127" s="20" t="str">
        <f>IF(TRIM($B127)="","",IFERROR(INDEX(People!$A$2:$A$199,MATCH(TRIM($B127),People!$B$2:$B$199,0)),IFERROR(INDEX(Teams!$A$2:$A$9,MATCH(TRIM($B127),Teams!$B$2:$B$9,0)),"?? CHECK NAME")))</f>
        <v/>
      </c>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row>
    <row r="128" spans="1:75" ht="34" customHeight="1" x14ac:dyDescent="0.2">
      <c r="A128" s="47"/>
      <c r="B128" s="24"/>
      <c r="C128" s="20" t="str">
        <f>IF(TRIM($B128)="","",IFERROR(INDEX(People!$A$2:$A$199,MATCH(TRIM($B128),People!$B$2:$B$199,0)),IFERROR(INDEX(Teams!$A$2:$A$9,MATCH(TRIM($B128),Teams!$B$2:$B$9,0)),"?? CHECK NAME")))</f>
        <v/>
      </c>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row>
    <row r="129" spans="1:75" ht="34" customHeight="1" x14ac:dyDescent="0.2">
      <c r="A129" s="47"/>
      <c r="B129" s="24"/>
      <c r="C129" s="20" t="str">
        <f>IF(TRIM($B129)="","",IFERROR(INDEX(People!$A$2:$A$199,MATCH(TRIM($B129),People!$B$2:$B$199,0)),IFERROR(INDEX(Teams!$A$2:$A$9,MATCH(TRIM($B129),Teams!$B$2:$B$9,0)),"?? CHECK NAME")))</f>
        <v/>
      </c>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row>
    <row r="130" spans="1:75" ht="34" customHeight="1" x14ac:dyDescent="0.2">
      <c r="A130" s="47"/>
      <c r="B130" s="24"/>
      <c r="C130" s="20" t="str">
        <f>IF(TRIM($B130)="","",IFERROR(INDEX(People!$A$2:$A$199,MATCH(TRIM($B130),People!$B$2:$B$199,0)),IFERROR(INDEX(Teams!$A$2:$A$9,MATCH(TRIM($B130),Teams!$B$2:$B$9,0)),"?? CHECK NAME")))</f>
        <v/>
      </c>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row>
    <row r="131" spans="1:75" ht="34" customHeight="1" x14ac:dyDescent="0.2">
      <c r="A131" s="48"/>
      <c r="B131" s="24"/>
      <c r="C131" s="20" t="str">
        <f>IF(TRIM($B131)="","",IFERROR(INDEX(People!$A$2:$A$199,MATCH(TRIM($B131),People!$B$2:$B$199,0)),IFERROR(INDEX(Teams!$A$2:$A$9,MATCH(TRIM($B131),Teams!$B$2:$B$9,0)),"?? CHECK NAME")))</f>
        <v/>
      </c>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row>
  </sheetData>
  <mergeCells count="28">
    <mergeCell ref="D1:BW1"/>
    <mergeCell ref="A4:A8"/>
    <mergeCell ref="A14:A18"/>
    <mergeCell ref="A97:A101"/>
    <mergeCell ref="A44:A48"/>
    <mergeCell ref="A69:BW69"/>
    <mergeCell ref="A3:BW3"/>
    <mergeCell ref="A122:A126"/>
    <mergeCell ref="A29:A33"/>
    <mergeCell ref="A9:A13"/>
    <mergeCell ref="A78:BW78"/>
    <mergeCell ref="A81:A85"/>
    <mergeCell ref="A127:A131"/>
    <mergeCell ref="A112:A116"/>
    <mergeCell ref="A19:A23"/>
    <mergeCell ref="A64:A68"/>
    <mergeCell ref="A59:A63"/>
    <mergeCell ref="A102:A106"/>
    <mergeCell ref="A117:A121"/>
    <mergeCell ref="A49:A53"/>
    <mergeCell ref="A34:A38"/>
    <mergeCell ref="A92:A96"/>
    <mergeCell ref="A39:A43"/>
    <mergeCell ref="A24:A28"/>
    <mergeCell ref="A86:BW86"/>
    <mergeCell ref="A107:A111"/>
    <mergeCell ref="A54:A58"/>
    <mergeCell ref="A87:A9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7"/>
  <sheetViews>
    <sheetView workbookViewId="0">
      <pane ySplit="1" topLeftCell="A11" activePane="bottomLeft" state="frozen"/>
      <selection pane="bottomLeft"/>
    </sheetView>
  </sheetViews>
  <sheetFormatPr baseColWidth="10" defaultColWidth="8.83203125" defaultRowHeight="15" x14ac:dyDescent="0.2"/>
  <cols>
    <col min="1" max="1" width="20" customWidth="1"/>
    <col min="2" max="2" width="26" customWidth="1"/>
    <col min="3" max="4" width="12" customWidth="1"/>
    <col min="5" max="5" width="32" customWidth="1"/>
    <col min="6" max="6" width="12" customWidth="1"/>
    <col min="7" max="7" width="44" customWidth="1"/>
  </cols>
  <sheetData>
    <row r="1" spans="1:7" x14ac:dyDescent="0.2">
      <c r="A1" s="12" t="s">
        <v>304</v>
      </c>
      <c r="B1" s="12" t="s">
        <v>305</v>
      </c>
      <c r="C1" s="12" t="s">
        <v>306</v>
      </c>
      <c r="D1" s="12" t="s">
        <v>307</v>
      </c>
      <c r="E1" s="12" t="s">
        <v>308</v>
      </c>
      <c r="F1" s="12" t="s">
        <v>309</v>
      </c>
      <c r="G1" s="12" t="s">
        <v>310</v>
      </c>
    </row>
    <row r="2" spans="1:7" x14ac:dyDescent="0.2">
      <c r="A2" s="46" t="s">
        <v>311</v>
      </c>
      <c r="B2" s="18" t="s">
        <v>312</v>
      </c>
      <c r="C2" s="30">
        <v>0</v>
      </c>
      <c r="D2" s="30">
        <v>5</v>
      </c>
      <c r="E2" s="18" t="s">
        <v>313</v>
      </c>
      <c r="F2" s="65" t="s">
        <v>314</v>
      </c>
      <c r="G2" s="66" t="s">
        <v>315</v>
      </c>
    </row>
    <row r="3" spans="1:7" x14ac:dyDescent="0.2">
      <c r="A3" s="47"/>
      <c r="B3" s="18" t="s">
        <v>316</v>
      </c>
      <c r="C3" s="30">
        <v>5</v>
      </c>
      <c r="D3" s="30">
        <v>10</v>
      </c>
      <c r="E3" s="18" t="s">
        <v>317</v>
      </c>
      <c r="F3" s="47"/>
      <c r="G3" s="47"/>
    </row>
    <row r="4" spans="1:7" x14ac:dyDescent="0.2">
      <c r="A4" s="47"/>
      <c r="B4" s="18" t="s">
        <v>318</v>
      </c>
      <c r="C4" s="30">
        <v>15</v>
      </c>
      <c r="D4" s="30">
        <v>20</v>
      </c>
      <c r="E4" s="18" t="s">
        <v>319</v>
      </c>
      <c r="F4" s="47"/>
      <c r="G4" s="47"/>
    </row>
    <row r="5" spans="1:7" x14ac:dyDescent="0.2">
      <c r="A5" s="47"/>
      <c r="B5" s="18" t="s">
        <v>320</v>
      </c>
      <c r="C5" s="30">
        <v>35</v>
      </c>
      <c r="D5" s="30">
        <v>20</v>
      </c>
      <c r="E5" s="18" t="s">
        <v>321</v>
      </c>
      <c r="F5" s="47"/>
      <c r="G5" s="47"/>
    </row>
    <row r="6" spans="1:7" x14ac:dyDescent="0.2">
      <c r="A6" s="47"/>
      <c r="B6" s="18" t="s">
        <v>322</v>
      </c>
      <c r="C6" s="30">
        <v>55</v>
      </c>
      <c r="D6" s="30">
        <v>10</v>
      </c>
      <c r="E6" s="18" t="s">
        <v>323</v>
      </c>
      <c r="F6" s="47"/>
      <c r="G6" s="47"/>
    </row>
    <row r="7" spans="1:7" x14ac:dyDescent="0.2">
      <c r="A7" s="47"/>
      <c r="B7" s="18" t="s">
        <v>324</v>
      </c>
      <c r="C7" s="30">
        <v>65</v>
      </c>
      <c r="D7" s="30">
        <v>20</v>
      </c>
      <c r="E7" s="18" t="s">
        <v>325</v>
      </c>
      <c r="F7" s="47"/>
      <c r="G7" s="47"/>
    </row>
    <row r="8" spans="1:7" x14ac:dyDescent="0.2">
      <c r="A8" s="47"/>
      <c r="B8" s="18" t="s">
        <v>326</v>
      </c>
      <c r="C8" s="30">
        <v>85</v>
      </c>
      <c r="D8" s="30">
        <v>15</v>
      </c>
      <c r="E8" s="18" t="s">
        <v>327</v>
      </c>
      <c r="F8" s="47"/>
      <c r="G8" s="47"/>
    </row>
    <row r="9" spans="1:7" x14ac:dyDescent="0.2">
      <c r="A9" s="47"/>
      <c r="B9" s="18" t="s">
        <v>328</v>
      </c>
      <c r="C9" s="30">
        <v>100</v>
      </c>
      <c r="D9" s="30">
        <v>20</v>
      </c>
      <c r="E9" s="18" t="s">
        <v>327</v>
      </c>
      <c r="F9" s="47"/>
      <c r="G9" s="47"/>
    </row>
    <row r="10" spans="1:7" x14ac:dyDescent="0.2">
      <c r="A10" s="47"/>
      <c r="B10" s="18" t="s">
        <v>329</v>
      </c>
      <c r="C10" s="30">
        <v>120</v>
      </c>
      <c r="D10" s="30">
        <v>10</v>
      </c>
      <c r="E10" s="18" t="s">
        <v>327</v>
      </c>
      <c r="F10" s="47"/>
      <c r="G10" s="47"/>
    </row>
    <row r="11" spans="1:7" x14ac:dyDescent="0.2">
      <c r="A11" s="47"/>
      <c r="B11" s="18" t="s">
        <v>330</v>
      </c>
      <c r="C11" s="30">
        <v>130</v>
      </c>
      <c r="D11" s="30">
        <v>15</v>
      </c>
      <c r="E11" s="18" t="s">
        <v>319</v>
      </c>
      <c r="F11" s="47"/>
      <c r="G11" s="47"/>
    </row>
    <row r="12" spans="1:7" x14ac:dyDescent="0.2">
      <c r="A12" s="47"/>
      <c r="B12" s="15"/>
      <c r="C12" s="15"/>
      <c r="D12" s="15"/>
      <c r="E12" s="15"/>
      <c r="F12" s="47"/>
      <c r="G12" s="47"/>
    </row>
    <row r="13" spans="1:7" x14ac:dyDescent="0.2">
      <c r="A13" s="47"/>
      <c r="B13" s="15"/>
      <c r="C13" s="15"/>
      <c r="D13" s="15"/>
      <c r="E13" s="15"/>
      <c r="F13" s="47"/>
      <c r="G13" s="47"/>
    </row>
    <row r="14" spans="1:7" x14ac:dyDescent="0.2">
      <c r="A14" s="47"/>
      <c r="B14" s="15"/>
      <c r="C14" s="15"/>
      <c r="D14" s="15"/>
      <c r="E14" s="15"/>
      <c r="F14" s="47"/>
      <c r="G14" s="47"/>
    </row>
    <row r="15" spans="1:7" x14ac:dyDescent="0.2">
      <c r="A15" s="48"/>
      <c r="B15" s="15"/>
      <c r="C15" s="15"/>
      <c r="D15" s="15"/>
      <c r="E15" s="15"/>
      <c r="F15" s="48"/>
      <c r="G15" s="48"/>
    </row>
    <row r="16" spans="1:7" x14ac:dyDescent="0.2">
      <c r="A16" s="46" t="s">
        <v>331</v>
      </c>
      <c r="B16" s="18" t="s">
        <v>332</v>
      </c>
      <c r="C16" s="30">
        <v>0</v>
      </c>
      <c r="D16" s="30">
        <v>5</v>
      </c>
      <c r="E16" s="18" t="s">
        <v>333</v>
      </c>
      <c r="F16" s="65" t="s">
        <v>314</v>
      </c>
      <c r="G16" s="66" t="s">
        <v>334</v>
      </c>
    </row>
    <row r="17" spans="1:7" x14ac:dyDescent="0.2">
      <c r="A17" s="47"/>
      <c r="B17" s="18" t="s">
        <v>335</v>
      </c>
      <c r="C17" s="30">
        <v>5</v>
      </c>
      <c r="D17" s="30">
        <v>5</v>
      </c>
      <c r="E17" s="18" t="s">
        <v>336</v>
      </c>
      <c r="F17" s="47"/>
      <c r="G17" s="47"/>
    </row>
    <row r="18" spans="1:7" x14ac:dyDescent="0.2">
      <c r="A18" s="47"/>
      <c r="B18" s="15"/>
      <c r="C18" s="15"/>
      <c r="D18" s="15"/>
      <c r="E18" s="15"/>
      <c r="F18" s="47"/>
      <c r="G18" s="47"/>
    </row>
    <row r="19" spans="1:7" x14ac:dyDescent="0.2">
      <c r="A19" s="47"/>
      <c r="B19" s="15"/>
      <c r="C19" s="15"/>
      <c r="D19" s="15"/>
      <c r="E19" s="15"/>
      <c r="F19" s="47"/>
      <c r="G19" s="47"/>
    </row>
    <row r="20" spans="1:7" x14ac:dyDescent="0.2">
      <c r="A20" s="47"/>
      <c r="B20" s="15"/>
      <c r="C20" s="15"/>
      <c r="D20" s="15"/>
      <c r="E20" s="15"/>
      <c r="F20" s="47"/>
      <c r="G20" s="47"/>
    </row>
    <row r="21" spans="1:7" x14ac:dyDescent="0.2">
      <c r="A21" s="47"/>
      <c r="B21" s="15"/>
      <c r="C21" s="15"/>
      <c r="D21" s="15"/>
      <c r="E21" s="15"/>
      <c r="F21" s="47"/>
      <c r="G21" s="47"/>
    </row>
    <row r="22" spans="1:7" x14ac:dyDescent="0.2">
      <c r="A22" s="47"/>
      <c r="B22" s="15"/>
      <c r="C22" s="15"/>
      <c r="D22" s="15"/>
      <c r="E22" s="15"/>
      <c r="F22" s="47"/>
      <c r="G22" s="47"/>
    </row>
    <row r="23" spans="1:7" x14ac:dyDescent="0.2">
      <c r="A23" s="47"/>
      <c r="B23" s="15"/>
      <c r="C23" s="15"/>
      <c r="D23" s="15"/>
      <c r="E23" s="15"/>
      <c r="F23" s="47"/>
      <c r="G23" s="47"/>
    </row>
    <row r="24" spans="1:7" x14ac:dyDescent="0.2">
      <c r="A24" s="47"/>
      <c r="B24" s="15"/>
      <c r="C24" s="15"/>
      <c r="D24" s="15"/>
      <c r="E24" s="15"/>
      <c r="F24" s="47"/>
      <c r="G24" s="47"/>
    </row>
    <row r="25" spans="1:7" x14ac:dyDescent="0.2">
      <c r="A25" s="47"/>
      <c r="B25" s="15"/>
      <c r="C25" s="15"/>
      <c r="D25" s="15"/>
      <c r="E25" s="15"/>
      <c r="F25" s="47"/>
      <c r="G25" s="47"/>
    </row>
    <row r="26" spans="1:7" x14ac:dyDescent="0.2">
      <c r="A26" s="47"/>
      <c r="B26" s="15"/>
      <c r="C26" s="15"/>
      <c r="D26" s="15"/>
      <c r="E26" s="15"/>
      <c r="F26" s="47"/>
      <c r="G26" s="47"/>
    </row>
    <row r="27" spans="1:7" x14ac:dyDescent="0.2">
      <c r="A27" s="47"/>
      <c r="B27" s="15"/>
      <c r="C27" s="15"/>
      <c r="D27" s="15"/>
      <c r="E27" s="15"/>
      <c r="F27" s="47"/>
      <c r="G27" s="47"/>
    </row>
    <row r="28" spans="1:7" x14ac:dyDescent="0.2">
      <c r="A28" s="47"/>
      <c r="B28" s="15"/>
      <c r="C28" s="15"/>
      <c r="D28" s="15"/>
      <c r="E28" s="15"/>
      <c r="F28" s="47"/>
      <c r="G28" s="47"/>
    </row>
    <row r="29" spans="1:7" x14ac:dyDescent="0.2">
      <c r="A29" s="48"/>
      <c r="B29" s="15"/>
      <c r="C29" s="15"/>
      <c r="D29" s="15"/>
      <c r="E29" s="15"/>
      <c r="F29" s="48"/>
      <c r="G29" s="48"/>
    </row>
    <row r="30" spans="1:7" x14ac:dyDescent="0.2">
      <c r="A30" s="46" t="s">
        <v>337</v>
      </c>
      <c r="B30" s="18" t="s">
        <v>338</v>
      </c>
      <c r="C30" s="30">
        <v>-25</v>
      </c>
      <c r="D30" s="30">
        <v>5</v>
      </c>
      <c r="E30" s="18" t="s">
        <v>339</v>
      </c>
      <c r="F30" s="65" t="s">
        <v>314</v>
      </c>
      <c r="G30" s="66" t="s">
        <v>340</v>
      </c>
    </row>
    <row r="31" spans="1:7" x14ac:dyDescent="0.2">
      <c r="A31" s="47"/>
      <c r="B31" s="18" t="s">
        <v>341</v>
      </c>
      <c r="C31" s="30">
        <v>-20</v>
      </c>
      <c r="D31" s="30">
        <v>10</v>
      </c>
      <c r="E31" s="18" t="s">
        <v>342</v>
      </c>
      <c r="F31" s="47"/>
      <c r="G31" s="47"/>
    </row>
    <row r="32" spans="1:7" x14ac:dyDescent="0.2">
      <c r="A32" s="47"/>
      <c r="B32" s="18" t="s">
        <v>343</v>
      </c>
      <c r="C32" s="30">
        <v>-10</v>
      </c>
      <c r="D32" s="30">
        <v>10</v>
      </c>
      <c r="E32" s="18" t="s">
        <v>344</v>
      </c>
      <c r="F32" s="47"/>
      <c r="G32" s="47"/>
    </row>
    <row r="33" spans="1:7" x14ac:dyDescent="0.2">
      <c r="A33" s="47"/>
      <c r="B33" s="18" t="s">
        <v>345</v>
      </c>
      <c r="C33" s="30">
        <v>0</v>
      </c>
      <c r="D33" s="30">
        <v>10</v>
      </c>
      <c r="E33" s="18" t="s">
        <v>321</v>
      </c>
      <c r="F33" s="47"/>
      <c r="G33" s="47"/>
    </row>
    <row r="34" spans="1:7" x14ac:dyDescent="0.2">
      <c r="A34" s="47"/>
      <c r="B34" s="18" t="s">
        <v>346</v>
      </c>
      <c r="C34" s="30">
        <v>10</v>
      </c>
      <c r="D34" s="30">
        <v>10</v>
      </c>
      <c r="E34" s="18" t="s">
        <v>347</v>
      </c>
      <c r="F34" s="47"/>
      <c r="G34" s="47"/>
    </row>
    <row r="35" spans="1:7" x14ac:dyDescent="0.2">
      <c r="A35" s="47"/>
      <c r="B35" s="15"/>
      <c r="C35" s="15"/>
      <c r="D35" s="15"/>
      <c r="E35" s="15"/>
      <c r="F35" s="47"/>
      <c r="G35" s="47"/>
    </row>
    <row r="36" spans="1:7" x14ac:dyDescent="0.2">
      <c r="A36" s="47"/>
      <c r="B36" s="15"/>
      <c r="C36" s="15"/>
      <c r="D36" s="15"/>
      <c r="E36" s="15"/>
      <c r="F36" s="47"/>
      <c r="G36" s="47"/>
    </row>
    <row r="37" spans="1:7" x14ac:dyDescent="0.2">
      <c r="A37" s="47"/>
      <c r="B37" s="15"/>
      <c r="C37" s="15"/>
      <c r="D37" s="15"/>
      <c r="E37" s="15"/>
      <c r="F37" s="47"/>
      <c r="G37" s="47"/>
    </row>
    <row r="38" spans="1:7" x14ac:dyDescent="0.2">
      <c r="A38" s="47"/>
      <c r="B38" s="15"/>
      <c r="C38" s="15"/>
      <c r="D38" s="15"/>
      <c r="E38" s="15"/>
      <c r="F38" s="47"/>
      <c r="G38" s="47"/>
    </row>
    <row r="39" spans="1:7" x14ac:dyDescent="0.2">
      <c r="A39" s="47"/>
      <c r="B39" s="15"/>
      <c r="C39" s="15"/>
      <c r="D39" s="15"/>
      <c r="E39" s="15"/>
      <c r="F39" s="47"/>
      <c r="G39" s="47"/>
    </row>
    <row r="40" spans="1:7" x14ac:dyDescent="0.2">
      <c r="A40" s="47"/>
      <c r="B40" s="15"/>
      <c r="C40" s="15"/>
      <c r="D40" s="15"/>
      <c r="E40" s="15"/>
      <c r="F40" s="47"/>
      <c r="G40" s="47"/>
    </row>
    <row r="41" spans="1:7" x14ac:dyDescent="0.2">
      <c r="A41" s="47"/>
      <c r="B41" s="15"/>
      <c r="C41" s="15"/>
      <c r="D41" s="15"/>
      <c r="E41" s="15"/>
      <c r="F41" s="47"/>
      <c r="G41" s="47"/>
    </row>
    <row r="42" spans="1:7" x14ac:dyDescent="0.2">
      <c r="A42" s="47"/>
      <c r="B42" s="15"/>
      <c r="C42" s="15"/>
      <c r="D42" s="15"/>
      <c r="E42" s="15"/>
      <c r="F42" s="47"/>
      <c r="G42" s="47"/>
    </row>
    <row r="43" spans="1:7" x14ac:dyDescent="0.2">
      <c r="A43" s="48"/>
      <c r="B43" s="15"/>
      <c r="C43" s="15"/>
      <c r="D43" s="15"/>
      <c r="E43" s="15"/>
      <c r="F43" s="48"/>
      <c r="G43" s="48"/>
    </row>
    <row r="45" spans="1:7" x14ac:dyDescent="0.2">
      <c r="A45" s="17" t="s">
        <v>348</v>
      </c>
    </row>
    <row r="46" spans="1:7" x14ac:dyDescent="0.2">
      <c r="A46" s="17" t="s">
        <v>349</v>
      </c>
    </row>
    <row r="47" spans="1:7" x14ac:dyDescent="0.2">
      <c r="A47" s="17" t="s">
        <v>350</v>
      </c>
    </row>
  </sheetData>
  <mergeCells count="9">
    <mergeCell ref="F2:F15"/>
    <mergeCell ref="A30:A43"/>
    <mergeCell ref="A16:A29"/>
    <mergeCell ref="F30:F43"/>
    <mergeCell ref="G30:G43"/>
    <mergeCell ref="G2:G15"/>
    <mergeCell ref="G16:G29"/>
    <mergeCell ref="A2:A15"/>
    <mergeCell ref="F16:F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0"/>
  <sheetViews>
    <sheetView workbookViewId="0">
      <pane ySplit="1" topLeftCell="A2" activePane="bottomLeft" state="frozen"/>
      <selection pane="bottomLeft" activeCell="C3" sqref="C3"/>
    </sheetView>
  </sheetViews>
  <sheetFormatPr baseColWidth="10" defaultColWidth="8.83203125" defaultRowHeight="15" x14ac:dyDescent="0.2"/>
  <cols>
    <col min="1" max="1" width="20" customWidth="1"/>
    <col min="2" max="2" width="8" customWidth="1"/>
    <col min="3" max="3" width="14" customWidth="1"/>
    <col min="4" max="4" width="16" customWidth="1"/>
    <col min="5" max="5" width="13" customWidth="1"/>
    <col min="6" max="6" width="15" customWidth="1"/>
    <col min="7" max="7" width="26" customWidth="1"/>
  </cols>
  <sheetData>
    <row r="1" spans="1:7" x14ac:dyDescent="0.2">
      <c r="A1" s="12" t="s">
        <v>304</v>
      </c>
      <c r="B1" s="12" t="s">
        <v>351</v>
      </c>
      <c r="C1" s="12" t="s">
        <v>352</v>
      </c>
      <c r="D1" s="12" t="s">
        <v>353</v>
      </c>
      <c r="E1" s="12" t="s">
        <v>354</v>
      </c>
      <c r="F1" s="12" t="s">
        <v>355</v>
      </c>
      <c r="G1" s="12" t="s">
        <v>356</v>
      </c>
    </row>
    <row r="2" spans="1:7" x14ac:dyDescent="0.2">
      <c r="A2" s="46" t="s">
        <v>311</v>
      </c>
      <c r="B2" s="31">
        <v>1</v>
      </c>
      <c r="C2" s="32">
        <v>0.30208333333333331</v>
      </c>
      <c r="D2" s="33"/>
      <c r="E2" s="19"/>
      <c r="F2" s="34">
        <f>IF($C2="","",$C2+$E2/1440)</f>
        <v>0.30208333333333331</v>
      </c>
      <c r="G2" s="35" t="str">
        <f>IFERROR(INDEX(Teams!$B$2:$B$9,MATCH($B2,Teams!$D$2:$D$9,0)),"(not drawn)")</f>
        <v>(not drawn)</v>
      </c>
    </row>
    <row r="3" spans="1:7" x14ac:dyDescent="0.2">
      <c r="A3" s="47"/>
      <c r="B3" s="31">
        <v>2</v>
      </c>
      <c r="C3" s="33"/>
      <c r="D3" s="19">
        <v>25</v>
      </c>
      <c r="E3" s="19"/>
      <c r="F3" s="34">
        <f t="shared" ref="F3:F9" si="0">IF(OR($F2="",$D3=""),"",$F2+($D3+$E3)/1440)</f>
        <v>0.31944444444444442</v>
      </c>
      <c r="G3" s="35" t="str">
        <f>IFERROR(INDEX(Teams!$B$2:$B$9,MATCH($B3,Teams!$D$2:$D$9,0)),"(not drawn)")</f>
        <v>(not drawn)</v>
      </c>
    </row>
    <row r="4" spans="1:7" x14ac:dyDescent="0.2">
      <c r="A4" s="47"/>
      <c r="B4" s="31">
        <v>3</v>
      </c>
      <c r="C4" s="33"/>
      <c r="D4" s="19">
        <v>25</v>
      </c>
      <c r="E4" s="19"/>
      <c r="F4" s="34">
        <f t="shared" si="0"/>
        <v>0.33680555555555552</v>
      </c>
      <c r="G4" s="35" t="str">
        <f>IFERROR(INDEX(Teams!$B$2:$B$9,MATCH($B4,Teams!$D$2:$D$9,0)),"(not drawn)")</f>
        <v>(not drawn)</v>
      </c>
    </row>
    <row r="5" spans="1:7" x14ac:dyDescent="0.2">
      <c r="A5" s="47"/>
      <c r="B5" s="31">
        <v>4</v>
      </c>
      <c r="C5" s="33"/>
      <c r="D5" s="19">
        <v>25</v>
      </c>
      <c r="E5" s="19"/>
      <c r="F5" s="34">
        <f t="shared" si="0"/>
        <v>0.35416666666666663</v>
      </c>
      <c r="G5" s="35" t="str">
        <f>IFERROR(INDEX(Teams!$B$2:$B$9,MATCH($B5,Teams!$D$2:$D$9,0)),"(not drawn)")</f>
        <v>(not drawn)</v>
      </c>
    </row>
    <row r="6" spans="1:7" x14ac:dyDescent="0.2">
      <c r="A6" s="47"/>
      <c r="B6" s="31">
        <v>5</v>
      </c>
      <c r="C6" s="33"/>
      <c r="D6" s="19">
        <v>60</v>
      </c>
      <c r="E6" s="19"/>
      <c r="F6" s="34">
        <f t="shared" si="0"/>
        <v>0.39583333333333331</v>
      </c>
      <c r="G6" s="35" t="str">
        <f>IFERROR(INDEX(Teams!$B$2:$B$9,MATCH($B6,Teams!$D$2:$D$9,0)),"(not drawn)")</f>
        <v>(not drawn)</v>
      </c>
    </row>
    <row r="7" spans="1:7" x14ac:dyDescent="0.2">
      <c r="A7" s="47"/>
      <c r="B7" s="31">
        <v>6</v>
      </c>
      <c r="C7" s="33"/>
      <c r="D7" s="19">
        <v>25</v>
      </c>
      <c r="E7" s="19"/>
      <c r="F7" s="34">
        <f t="shared" si="0"/>
        <v>0.41319444444444442</v>
      </c>
      <c r="G7" s="35" t="str">
        <f>IFERROR(INDEX(Teams!$B$2:$B$9,MATCH($B7,Teams!$D$2:$D$9,0)),"(not drawn)")</f>
        <v>(not drawn)</v>
      </c>
    </row>
    <row r="8" spans="1:7" x14ac:dyDescent="0.2">
      <c r="A8" s="47"/>
      <c r="B8" s="31">
        <v>7</v>
      </c>
      <c r="C8" s="33"/>
      <c r="D8" s="19">
        <v>25</v>
      </c>
      <c r="E8" s="19"/>
      <c r="F8" s="34">
        <f t="shared" si="0"/>
        <v>0.43055555555555552</v>
      </c>
      <c r="G8" s="35" t="str">
        <f>IFERROR(INDEX(Teams!$B$2:$B$9,MATCH($B8,Teams!$D$2:$D$9,0)),"(not drawn)")</f>
        <v>(not drawn)</v>
      </c>
    </row>
    <row r="9" spans="1:7" x14ac:dyDescent="0.2">
      <c r="A9" s="48"/>
      <c r="B9" s="31">
        <v>8</v>
      </c>
      <c r="C9" s="33"/>
      <c r="D9" s="19">
        <v>25</v>
      </c>
      <c r="E9" s="19"/>
      <c r="F9" s="34">
        <f t="shared" si="0"/>
        <v>0.44791666666666663</v>
      </c>
      <c r="G9" s="35" t="str">
        <f>IFERROR(INDEX(Teams!$B$2:$B$9,MATCH($B9,Teams!$D$2:$D$9,0)),"(not drawn)")</f>
        <v>(not drawn)</v>
      </c>
    </row>
    <row r="10" spans="1:7" x14ac:dyDescent="0.2">
      <c r="A10" s="46" t="s">
        <v>331</v>
      </c>
      <c r="B10" s="31">
        <v>1</v>
      </c>
      <c r="C10" s="32">
        <v>0.625</v>
      </c>
      <c r="D10" s="33"/>
      <c r="E10" s="19"/>
      <c r="F10" s="34">
        <f>IF($C10="","",$C10+$E10/1440)</f>
        <v>0.625</v>
      </c>
      <c r="G10" s="35" t="str">
        <f>IFERROR(INDEX(Teams!$B$2:$B$9,MATCH($B10,Teams!$D$2:$D$9,0)),"(not drawn)")</f>
        <v>(not drawn)</v>
      </c>
    </row>
    <row r="11" spans="1:7" x14ac:dyDescent="0.2">
      <c r="A11" s="47"/>
      <c r="B11" s="31">
        <v>2</v>
      </c>
      <c r="C11" s="33"/>
      <c r="D11" s="19">
        <v>5</v>
      </c>
      <c r="E11" s="19"/>
      <c r="F11" s="34">
        <f t="shared" ref="F11:F17" si="1">IF(OR($F10="",$D11=""),"",$F10+($D11+$E11)/1440)</f>
        <v>0.62847222222222221</v>
      </c>
      <c r="G11" s="35" t="str">
        <f>IFERROR(INDEX(Teams!$B$2:$B$9,MATCH($B11,Teams!$D$2:$D$9,0)),"(not drawn)")</f>
        <v>(not drawn)</v>
      </c>
    </row>
    <row r="12" spans="1:7" x14ac:dyDescent="0.2">
      <c r="A12" s="47"/>
      <c r="B12" s="31">
        <v>3</v>
      </c>
      <c r="C12" s="33"/>
      <c r="D12" s="19">
        <v>5</v>
      </c>
      <c r="E12" s="19"/>
      <c r="F12" s="34">
        <f t="shared" si="1"/>
        <v>0.63194444444444442</v>
      </c>
      <c r="G12" s="35" t="str">
        <f>IFERROR(INDEX(Teams!$B$2:$B$9,MATCH($B12,Teams!$D$2:$D$9,0)),"(not drawn)")</f>
        <v>(not drawn)</v>
      </c>
    </row>
    <row r="13" spans="1:7" x14ac:dyDescent="0.2">
      <c r="A13" s="47"/>
      <c r="B13" s="31">
        <v>4</v>
      </c>
      <c r="C13" s="33"/>
      <c r="D13" s="19">
        <v>5</v>
      </c>
      <c r="E13" s="19"/>
      <c r="F13" s="34">
        <f t="shared" si="1"/>
        <v>0.63541666666666663</v>
      </c>
      <c r="G13" s="35" t="str">
        <f>IFERROR(INDEX(Teams!$B$2:$B$9,MATCH($B13,Teams!$D$2:$D$9,0)),"(not drawn)")</f>
        <v>(not drawn)</v>
      </c>
    </row>
    <row r="14" spans="1:7" x14ac:dyDescent="0.2">
      <c r="A14" s="47"/>
      <c r="B14" s="31">
        <v>5</v>
      </c>
      <c r="C14" s="33"/>
      <c r="D14" s="19">
        <v>10</v>
      </c>
      <c r="E14" s="19"/>
      <c r="F14" s="34">
        <f t="shared" si="1"/>
        <v>0.64236111111111105</v>
      </c>
      <c r="G14" s="35" t="str">
        <f>IFERROR(INDEX(Teams!$B$2:$B$9,MATCH($B14,Teams!$D$2:$D$9,0)),"(not drawn)")</f>
        <v>(not drawn)</v>
      </c>
    </row>
    <row r="15" spans="1:7" x14ac:dyDescent="0.2">
      <c r="A15" s="47"/>
      <c r="B15" s="31">
        <v>6</v>
      </c>
      <c r="C15" s="33"/>
      <c r="D15" s="19">
        <v>5</v>
      </c>
      <c r="E15" s="19"/>
      <c r="F15" s="34">
        <f t="shared" si="1"/>
        <v>0.64583333333333326</v>
      </c>
      <c r="G15" s="35" t="str">
        <f>IFERROR(INDEX(Teams!$B$2:$B$9,MATCH($B15,Teams!$D$2:$D$9,0)),"(not drawn)")</f>
        <v>(not drawn)</v>
      </c>
    </row>
    <row r="16" spans="1:7" x14ac:dyDescent="0.2">
      <c r="A16" s="47"/>
      <c r="B16" s="31">
        <v>7</v>
      </c>
      <c r="C16" s="33"/>
      <c r="D16" s="19">
        <v>5</v>
      </c>
      <c r="E16" s="19"/>
      <c r="F16" s="34">
        <f t="shared" si="1"/>
        <v>0.64930555555555547</v>
      </c>
      <c r="G16" s="35" t="str">
        <f>IFERROR(INDEX(Teams!$B$2:$B$9,MATCH($B16,Teams!$D$2:$D$9,0)),"(not drawn)")</f>
        <v>(not drawn)</v>
      </c>
    </row>
    <row r="17" spans="1:7" x14ac:dyDescent="0.2">
      <c r="A17" s="48"/>
      <c r="B17" s="31">
        <v>8</v>
      </c>
      <c r="C17" s="33"/>
      <c r="D17" s="19">
        <v>5</v>
      </c>
      <c r="E17" s="19"/>
      <c r="F17" s="34">
        <f t="shared" si="1"/>
        <v>0.65277777777777768</v>
      </c>
      <c r="G17" s="35" t="str">
        <f>IFERROR(INDEX(Teams!$B$2:$B$9,MATCH($B17,Teams!$D$2:$D$9,0)),"(not drawn)")</f>
        <v>(not drawn)</v>
      </c>
    </row>
    <row r="18" spans="1:7" x14ac:dyDescent="0.2">
      <c r="A18" s="46" t="s">
        <v>337</v>
      </c>
      <c r="B18" s="31">
        <v>1</v>
      </c>
      <c r="C18" s="32">
        <v>0.72569444444444442</v>
      </c>
      <c r="D18" s="33"/>
      <c r="E18" s="19"/>
      <c r="F18" s="34">
        <f>IF($C18="","",$C18+$E18/1440)</f>
        <v>0.72569444444444442</v>
      </c>
      <c r="G18" s="35" t="str">
        <f>IFERROR(INDEX(Teams!$B$2:$B$9,MATCH($B18,Teams!$D$2:$D$9,0)),"(not drawn)")</f>
        <v>(not drawn)</v>
      </c>
    </row>
    <row r="19" spans="1:7" x14ac:dyDescent="0.2">
      <c r="A19" s="47"/>
      <c r="B19" s="31">
        <v>2</v>
      </c>
      <c r="C19" s="33"/>
      <c r="D19" s="19">
        <v>10</v>
      </c>
      <c r="E19" s="19"/>
      <c r="F19" s="34">
        <f t="shared" ref="F19:F25" si="2">IF(OR($F18="",$D19=""),"",$F18+($D19+$E19)/1440)</f>
        <v>0.73263888888888884</v>
      </c>
      <c r="G19" s="35" t="str">
        <f>IFERROR(INDEX(Teams!$B$2:$B$9,MATCH($B19,Teams!$D$2:$D$9,0)),"(not drawn)")</f>
        <v>(not drawn)</v>
      </c>
    </row>
    <row r="20" spans="1:7" x14ac:dyDescent="0.2">
      <c r="A20" s="47"/>
      <c r="B20" s="31">
        <v>3</v>
      </c>
      <c r="C20" s="33"/>
      <c r="D20" s="19">
        <v>10</v>
      </c>
      <c r="E20" s="19"/>
      <c r="F20" s="34">
        <f t="shared" si="2"/>
        <v>0.73958333333333326</v>
      </c>
      <c r="G20" s="35" t="str">
        <f>IFERROR(INDEX(Teams!$B$2:$B$9,MATCH($B20,Teams!$D$2:$D$9,0)),"(not drawn)")</f>
        <v>(not drawn)</v>
      </c>
    </row>
    <row r="21" spans="1:7" x14ac:dyDescent="0.2">
      <c r="A21" s="47"/>
      <c r="B21" s="31">
        <v>4</v>
      </c>
      <c r="C21" s="33"/>
      <c r="D21" s="19">
        <v>10</v>
      </c>
      <c r="E21" s="19"/>
      <c r="F21" s="34">
        <f t="shared" si="2"/>
        <v>0.74652777777777768</v>
      </c>
      <c r="G21" s="35" t="str">
        <f>IFERROR(INDEX(Teams!$B$2:$B$9,MATCH($B21,Teams!$D$2:$D$9,0)),"(not drawn)")</f>
        <v>(not drawn)</v>
      </c>
    </row>
    <row r="22" spans="1:7" x14ac:dyDescent="0.2">
      <c r="A22" s="47"/>
      <c r="B22" s="31">
        <v>5</v>
      </c>
      <c r="C22" s="33"/>
      <c r="D22" s="19">
        <v>30</v>
      </c>
      <c r="E22" s="19"/>
      <c r="F22" s="34">
        <f t="shared" si="2"/>
        <v>0.76736111111111105</v>
      </c>
      <c r="G22" s="35" t="str">
        <f>IFERROR(INDEX(Teams!$B$2:$B$9,MATCH($B22,Teams!$D$2:$D$9,0)),"(not drawn)")</f>
        <v>(not drawn)</v>
      </c>
    </row>
    <row r="23" spans="1:7" x14ac:dyDescent="0.2">
      <c r="A23" s="47"/>
      <c r="B23" s="31">
        <v>6</v>
      </c>
      <c r="C23" s="33"/>
      <c r="D23" s="19">
        <v>10</v>
      </c>
      <c r="E23" s="19"/>
      <c r="F23" s="34">
        <f t="shared" si="2"/>
        <v>0.77430555555555547</v>
      </c>
      <c r="G23" s="35" t="str">
        <f>IFERROR(INDEX(Teams!$B$2:$B$9,MATCH($B23,Teams!$D$2:$D$9,0)),"(not drawn)")</f>
        <v>(not drawn)</v>
      </c>
    </row>
    <row r="24" spans="1:7" x14ac:dyDescent="0.2">
      <c r="A24" s="47"/>
      <c r="B24" s="31">
        <v>7</v>
      </c>
      <c r="C24" s="33"/>
      <c r="D24" s="19">
        <v>10</v>
      </c>
      <c r="E24" s="19"/>
      <c r="F24" s="34">
        <f t="shared" si="2"/>
        <v>0.78124999999999989</v>
      </c>
      <c r="G24" s="35" t="str">
        <f>IFERROR(INDEX(Teams!$B$2:$B$9,MATCH($B24,Teams!$D$2:$D$9,0)),"(not drawn)")</f>
        <v>(not drawn)</v>
      </c>
    </row>
    <row r="25" spans="1:7" x14ac:dyDescent="0.2">
      <c r="A25" s="48"/>
      <c r="B25" s="31">
        <v>8</v>
      </c>
      <c r="C25" s="33"/>
      <c r="D25" s="19">
        <v>10</v>
      </c>
      <c r="E25" s="19"/>
      <c r="F25" s="34">
        <f t="shared" si="2"/>
        <v>0.78819444444444431</v>
      </c>
      <c r="G25" s="35" t="str">
        <f>IFERROR(INDEX(Teams!$B$2:$B$9,MATCH($B25,Teams!$D$2:$D$9,0)),"(not drawn)")</f>
        <v>(not drawn)</v>
      </c>
    </row>
    <row r="27" spans="1:7" x14ac:dyDescent="0.2">
      <c r="A27" s="17" t="s">
        <v>357</v>
      </c>
    </row>
    <row r="28" spans="1:7" x14ac:dyDescent="0.2">
      <c r="A28" s="17" t="s">
        <v>358</v>
      </c>
    </row>
    <row r="29" spans="1:7" x14ac:dyDescent="0.2">
      <c r="A29" s="17" t="s">
        <v>359</v>
      </c>
    </row>
    <row r="30" spans="1:7" x14ac:dyDescent="0.2">
      <c r="A30" s="17" t="s">
        <v>360</v>
      </c>
    </row>
  </sheetData>
  <mergeCells count="3">
    <mergeCell ref="A2:A9"/>
    <mergeCell ref="A10:A17"/>
    <mergeCell ref="A18:A2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40"/>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20" customWidth="1"/>
    <col min="3" max="3" width="6" customWidth="1"/>
    <col min="4" max="5" width="26" customWidth="1"/>
    <col min="6" max="7" width="11" customWidth="1"/>
    <col min="8" max="8" width="32" customWidth="1"/>
  </cols>
  <sheetData>
    <row r="1" spans="1:8" x14ac:dyDescent="0.2">
      <c r="A1" s="12" t="s">
        <v>309</v>
      </c>
      <c r="B1" s="12" t="s">
        <v>304</v>
      </c>
      <c r="C1" s="12" t="s">
        <v>351</v>
      </c>
      <c r="D1" s="12" t="s">
        <v>187</v>
      </c>
      <c r="E1" s="12" t="s">
        <v>305</v>
      </c>
      <c r="F1" s="12" t="s">
        <v>361</v>
      </c>
      <c r="G1" s="12" t="s">
        <v>362</v>
      </c>
      <c r="H1" s="12" t="s">
        <v>308</v>
      </c>
    </row>
    <row r="2" spans="1:8" x14ac:dyDescent="0.2">
      <c r="A2" s="35" t="str">
        <f>IF(Sequences!$B$2="","",Sequences!$F$2)</f>
        <v>Saturday</v>
      </c>
      <c r="B2" s="35" t="str">
        <f>IF(Sequences!$B$2="","",Sequences!$A$2)</f>
        <v>Saturday Practice</v>
      </c>
      <c r="C2" s="20">
        <f>IF(Sequences!$B$2="","",'Slot Times'!$B$2)</f>
        <v>1</v>
      </c>
      <c r="D2" s="35" t="str">
        <f>IF(Sequences!$B$2="","",'Slot Times'!$G$2)</f>
        <v>(not drawn)</v>
      </c>
      <c r="E2" s="35" t="str">
        <f>IF(Sequences!$B$2="","",Sequences!$B$2)</f>
        <v>Report to Lobby</v>
      </c>
      <c r="F2" s="34">
        <f>IF(OR(Sequences!$B$2="",'Slot Times'!$F$2=""),"",'Slot Times'!$F$2+Sequences!$C$2/1440)</f>
        <v>0.30208333333333331</v>
      </c>
      <c r="G2" s="34">
        <f>IF($F2="","",$F2+Sequences!$D$2/1440)</f>
        <v>0.30555555555555552</v>
      </c>
      <c r="H2" s="35" t="str">
        <f>IF(Sequences!$B$2="","",Sequences!$E$2)</f>
        <v>Courtyard Marriott — Lobby</v>
      </c>
    </row>
    <row r="3" spans="1:8" x14ac:dyDescent="0.2">
      <c r="A3" s="35" t="str">
        <f>IF(Sequences!$B$3="","",Sequences!$F$2)</f>
        <v>Saturday</v>
      </c>
      <c r="B3" s="35" t="str">
        <f>IF(Sequences!$B$3="","",Sequences!$A$2)</f>
        <v>Saturday Practice</v>
      </c>
      <c r="C3" s="20">
        <f>IF(Sequences!$B$3="","",'Slot Times'!$B$2)</f>
        <v>1</v>
      </c>
      <c r="D3" s="35" t="str">
        <f>IF(Sequences!$B$3="","",'Slot Times'!$G$2)</f>
        <v>(not drawn)</v>
      </c>
      <c r="E3" s="35" t="str">
        <f>IF(Sequences!$B$3="","",Sequences!$B$3)</f>
        <v>Load Vans</v>
      </c>
      <c r="F3" s="34">
        <f>IF(OR(Sequences!$B$3="",'Slot Times'!$F$2=""),"",'Slot Times'!$F$2+Sequences!$C$3/1440)</f>
        <v>0.30555555555555552</v>
      </c>
      <c r="G3" s="34">
        <f>IF($F3="","",$F3+Sequences!$D$3/1440)</f>
        <v>0.31249999999999994</v>
      </c>
      <c r="H3" s="35" t="str">
        <f>IF(Sequences!$B$3="","",Sequences!$E$3)</f>
        <v>Courtyard Marriott — Garage</v>
      </c>
    </row>
    <row r="4" spans="1:8" x14ac:dyDescent="0.2">
      <c r="A4" s="35" t="str">
        <f>IF(Sequences!$B$4="","",Sequences!$F$2)</f>
        <v>Saturday</v>
      </c>
      <c r="B4" s="35" t="str">
        <f>IF(Sequences!$B$4="","",Sequences!$A$2)</f>
        <v>Saturday Practice</v>
      </c>
      <c r="C4" s="20">
        <f>IF(Sequences!$B$4="","",'Slot Times'!$B$2)</f>
        <v>1</v>
      </c>
      <c r="D4" s="35" t="str">
        <f>IF(Sequences!$B$4="","",'Slot Times'!$G$2)</f>
        <v>(not drawn)</v>
      </c>
      <c r="E4" s="35" t="str">
        <f>IF(Sequences!$B$4="","",Sequences!$B$4)</f>
        <v>Leave Hotel</v>
      </c>
      <c r="F4" s="34">
        <f>IF(OR(Sequences!$B$4="",'Slot Times'!$F$2=""),"",'Slot Times'!$F$2+Sequences!$C$4/1440)</f>
        <v>0.3125</v>
      </c>
      <c r="G4" s="34">
        <f>IF($F4="","",$F4+Sequences!$D$4/1440)</f>
        <v>0.3263888888888889</v>
      </c>
      <c r="H4" s="35" t="str">
        <f>IF(Sequences!$B$4="","",Sequences!$E$4)</f>
        <v>In transit</v>
      </c>
    </row>
    <row r="5" spans="1:8" x14ac:dyDescent="0.2">
      <c r="A5" s="35" t="str">
        <f>IF(Sequences!$B$5="","",Sequences!$F$2)</f>
        <v>Saturday</v>
      </c>
      <c r="B5" s="35" t="str">
        <f>IF(Sequences!$B$5="","",Sequences!$A$2)</f>
        <v>Saturday Practice</v>
      </c>
      <c r="C5" s="20">
        <f>IF(Sequences!$B$5="","",'Slot Times'!$B$2)</f>
        <v>1</v>
      </c>
      <c r="D5" s="35" t="str">
        <f>IF(Sequences!$B$5="","",'Slot Times'!$G$2)</f>
        <v>(not drawn)</v>
      </c>
      <c r="E5" s="35" t="str">
        <f>IF(Sequences!$B$5="","",Sequences!$B$5)</f>
        <v>On-Stage Rehearsal</v>
      </c>
      <c r="F5" s="34">
        <f>IF(OR(Sequences!$B$5="",'Slot Times'!$F$2=""),"",'Slot Times'!$F$2+Sequences!$C$5/1440)</f>
        <v>0.3263888888888889</v>
      </c>
      <c r="G5" s="34">
        <f>IF($F5="","",$F5+Sequences!$D$5/1440)</f>
        <v>0.34027777777777779</v>
      </c>
      <c r="H5" s="35" t="str">
        <f>IF(Sequences!$B$5="","",Sequences!$E$5)</f>
        <v>IU Auditorium — Stage</v>
      </c>
    </row>
    <row r="6" spans="1:8" x14ac:dyDescent="0.2">
      <c r="A6" s="35" t="str">
        <f>IF(Sequences!$B$6="","",Sequences!$F$2)</f>
        <v>Saturday</v>
      </c>
      <c r="B6" s="35" t="str">
        <f>IF(Sequences!$B$6="","",Sequences!$A$2)</f>
        <v>Saturday Practice</v>
      </c>
      <c r="C6" s="20">
        <f>IF(Sequences!$B$6="","",'Slot Times'!$B$2)</f>
        <v>1</v>
      </c>
      <c r="D6" s="35" t="str">
        <f>IF(Sequences!$B$6="","",'Slot Times'!$G$2)</f>
        <v>(not drawn)</v>
      </c>
      <c r="E6" s="35" t="str">
        <f>IF(Sequences!$B$6="","",Sequences!$B$6)</f>
        <v>Walk to Viewing</v>
      </c>
      <c r="F6" s="34">
        <f>IF(OR(Sequences!$B$6="",'Slot Times'!$F$2=""),"",'Slot Times'!$F$2+Sequences!$C$6/1440)</f>
        <v>0.34027777777777779</v>
      </c>
      <c r="G6" s="34">
        <f>IF($F6="","",$F6+Sequences!$D$6/1440)</f>
        <v>0.34722222222222221</v>
      </c>
      <c r="H6" s="35" t="str">
        <f>IF(Sequences!$B$6="","",Sequences!$E$6)</f>
        <v>IU Auditorium</v>
      </c>
    </row>
    <row r="7" spans="1:8" x14ac:dyDescent="0.2">
      <c r="A7" s="35" t="str">
        <f>IF(Sequences!$B$7="","",Sequences!$F$2)</f>
        <v>Saturday</v>
      </c>
      <c r="B7" s="35" t="str">
        <f>IF(Sequences!$B$7="","",Sequences!$A$2)</f>
        <v>Saturday Practice</v>
      </c>
      <c r="C7" s="20">
        <f>IF(Sequences!$B$7="","",'Slot Times'!$B$2)</f>
        <v>1</v>
      </c>
      <c r="D7" s="35" t="str">
        <f>IF(Sequences!$B$7="","",'Slot Times'!$G$2)</f>
        <v>(not drawn)</v>
      </c>
      <c r="E7" s="35" t="str">
        <f>IF(Sequences!$B$7="","",Sequences!$B$7)</f>
        <v>Viewing Room</v>
      </c>
      <c r="F7" s="34">
        <f>IF(OR(Sequences!$B$7="",'Slot Times'!$F$2=""),"",'Slot Times'!$F$2+Sequences!$C$7/1440)</f>
        <v>0.34722222222222221</v>
      </c>
      <c r="G7" s="34">
        <f>IF($F7="","",$F7+Sequences!$D$7/1440)</f>
        <v>0.3611111111111111</v>
      </c>
      <c r="H7" s="35" t="str">
        <f>IF(Sequences!$B$7="","",Sequences!$E$7)</f>
        <v>IU Auditorium — Viewing Room</v>
      </c>
    </row>
    <row r="8" spans="1:8" x14ac:dyDescent="0.2">
      <c r="A8" s="35" t="str">
        <f>IF(Sequences!$B$8="","",Sequences!$F$2)</f>
        <v>Saturday</v>
      </c>
      <c r="B8" s="35" t="str">
        <f>IF(Sequences!$B$8="","",Sequences!$A$2)</f>
        <v>Saturday Practice</v>
      </c>
      <c r="C8" s="20">
        <f>IF(Sequences!$B$8="","",'Slot Times'!$B$2)</f>
        <v>1</v>
      </c>
      <c r="D8" s="35" t="str">
        <f>IF(Sequences!$B$8="","",'Slot Times'!$G$2)</f>
        <v>(not drawn)</v>
      </c>
      <c r="E8" s="35" t="str">
        <f>IF(Sequences!$B$8="","",Sequences!$B$8)</f>
        <v>Walk to Off-Stage</v>
      </c>
      <c r="F8" s="34">
        <f>IF(OR(Sequences!$B$8="",'Slot Times'!$F$2=""),"",'Slot Times'!$F$2+Sequences!$C$8/1440)</f>
        <v>0.3611111111111111</v>
      </c>
      <c r="G8" s="34">
        <f>IF($F8="","",$F8+Sequences!$D$8/1440)</f>
        <v>0.37152777777777779</v>
      </c>
      <c r="H8" s="35" t="str">
        <f>IF(Sequences!$B$8="","",Sequences!$E$8)</f>
        <v>Intramural Fieldhouse</v>
      </c>
    </row>
    <row r="9" spans="1:8" x14ac:dyDescent="0.2">
      <c r="A9" s="35" t="str">
        <f>IF(Sequences!$B$9="","",Sequences!$F$2)</f>
        <v>Saturday</v>
      </c>
      <c r="B9" s="35" t="str">
        <f>IF(Sequences!$B$9="","",Sequences!$A$2)</f>
        <v>Saturday Practice</v>
      </c>
      <c r="C9" s="20">
        <f>IF(Sequences!$B$9="","",'Slot Times'!$B$2)</f>
        <v>1</v>
      </c>
      <c r="D9" s="35" t="str">
        <f>IF(Sequences!$B$9="","",'Slot Times'!$G$2)</f>
        <v>(not drawn)</v>
      </c>
      <c r="E9" s="35" t="str">
        <f>IF(Sequences!$B$9="","",Sequences!$B$9)</f>
        <v>Off-Stage Rehearsal</v>
      </c>
      <c r="F9" s="34">
        <f>IF(OR(Sequences!$B$9="",'Slot Times'!$F$2=""),"",'Slot Times'!$F$2+Sequences!$C$9/1440)</f>
        <v>0.37152777777777779</v>
      </c>
      <c r="G9" s="34">
        <f>IF($F9="","",$F9+Sequences!$D$9/1440)</f>
        <v>0.38541666666666669</v>
      </c>
      <c r="H9" s="35" t="str">
        <f>IF(Sequences!$B$9="","",Sequences!$E$9)</f>
        <v>Intramural Fieldhouse</v>
      </c>
    </row>
    <row r="10" spans="1:8" x14ac:dyDescent="0.2">
      <c r="A10" s="35" t="str">
        <f>IF(Sequences!$B$10="","",Sequences!$F$2)</f>
        <v>Saturday</v>
      </c>
      <c r="B10" s="35" t="str">
        <f>IF(Sequences!$B$10="","",Sequences!$A$2)</f>
        <v>Saturday Practice</v>
      </c>
      <c r="C10" s="20">
        <f>IF(Sequences!$B$10="","",'Slot Times'!$B$2)</f>
        <v>1</v>
      </c>
      <c r="D10" s="35" t="str">
        <f>IF(Sequences!$B$10="","",'Slot Times'!$G$2)</f>
        <v>(not drawn)</v>
      </c>
      <c r="E10" s="35" t="str">
        <f>IF(Sequences!$B$10="","",Sequences!$B$10)</f>
        <v>Load Vans (return)</v>
      </c>
      <c r="F10" s="34">
        <f>IF(OR(Sequences!$B$10="",'Slot Times'!$F$2=""),"",'Slot Times'!$F$2+Sequences!$C$10/1440)</f>
        <v>0.38541666666666663</v>
      </c>
      <c r="G10" s="34">
        <f>IF($F10="","",$F10+Sequences!$D$10/1440)</f>
        <v>0.39236111111111105</v>
      </c>
      <c r="H10" s="35" t="str">
        <f>IF(Sequences!$B$10="","",Sequences!$E$10)</f>
        <v>Intramural Fieldhouse</v>
      </c>
    </row>
    <row r="11" spans="1:8" x14ac:dyDescent="0.2">
      <c r="A11" s="35" t="str">
        <f>IF(Sequences!$B$11="","",Sequences!$F$2)</f>
        <v>Saturday</v>
      </c>
      <c r="B11" s="35" t="str">
        <f>IF(Sequences!$B$11="","",Sequences!$A$2)</f>
        <v>Saturday Practice</v>
      </c>
      <c r="C11" s="20">
        <f>IF(Sequences!$B$11="","",'Slot Times'!$B$2)</f>
        <v>1</v>
      </c>
      <c r="D11" s="35" t="str">
        <f>IF(Sequences!$B$11="","",'Slot Times'!$G$2)</f>
        <v>(not drawn)</v>
      </c>
      <c r="E11" s="35" t="str">
        <f>IF(Sequences!$B$11="","",Sequences!$B$11)</f>
        <v>Leave Fieldhouse</v>
      </c>
      <c r="F11" s="34">
        <f>IF(OR(Sequences!$B$11="",'Slot Times'!$F$2=""),"",'Slot Times'!$F$2+Sequences!$C$11/1440)</f>
        <v>0.3923611111111111</v>
      </c>
      <c r="G11" s="34">
        <f>IF($F11="","",$F11+Sequences!$D$11/1440)</f>
        <v>0.40277777777777779</v>
      </c>
      <c r="H11" s="35" t="str">
        <f>IF(Sequences!$B$11="","",Sequences!$E$11)</f>
        <v>In transit</v>
      </c>
    </row>
    <row r="12" spans="1:8" x14ac:dyDescent="0.2">
      <c r="A12" s="35" t="str">
        <f>IF(Sequences!$B$12="","",Sequences!$F$2)</f>
        <v/>
      </c>
      <c r="B12" s="35" t="str">
        <f>IF(Sequences!$B$12="","",Sequences!$A$2)</f>
        <v/>
      </c>
      <c r="C12" s="20" t="str">
        <f>IF(Sequences!$B$12="","",'Slot Times'!$B$2)</f>
        <v/>
      </c>
      <c r="D12" s="35" t="str">
        <f>IF(Sequences!$B$12="","",'Slot Times'!$G$2)</f>
        <v/>
      </c>
      <c r="E12" s="35" t="str">
        <f>IF(Sequences!$B$12="","",Sequences!$B$12)</f>
        <v/>
      </c>
      <c r="F12" s="34" t="str">
        <f>IF(OR(Sequences!$B$12="",'Slot Times'!$F$2=""),"",'Slot Times'!$F$2+Sequences!$C$12/1440)</f>
        <v/>
      </c>
      <c r="G12" s="34" t="str">
        <f>IF($F12="","",$F12+Sequences!$D$12/1440)</f>
        <v/>
      </c>
      <c r="H12" s="35" t="str">
        <f>IF(Sequences!$B$12="","",Sequences!$E$12)</f>
        <v/>
      </c>
    </row>
    <row r="13" spans="1:8" x14ac:dyDescent="0.2">
      <c r="A13" s="35" t="str">
        <f>IF(Sequences!$B$13="","",Sequences!$F$2)</f>
        <v/>
      </c>
      <c r="B13" s="35" t="str">
        <f>IF(Sequences!$B$13="","",Sequences!$A$2)</f>
        <v/>
      </c>
      <c r="C13" s="20" t="str">
        <f>IF(Sequences!$B$13="","",'Slot Times'!$B$2)</f>
        <v/>
      </c>
      <c r="D13" s="35" t="str">
        <f>IF(Sequences!$B$13="","",'Slot Times'!$G$2)</f>
        <v/>
      </c>
      <c r="E13" s="35" t="str">
        <f>IF(Sequences!$B$13="","",Sequences!$B$13)</f>
        <v/>
      </c>
      <c r="F13" s="34" t="str">
        <f>IF(OR(Sequences!$B$13="",'Slot Times'!$F$2=""),"",'Slot Times'!$F$2+Sequences!$C$13/1440)</f>
        <v/>
      </c>
      <c r="G13" s="34" t="str">
        <f>IF($F13="","",$F13+Sequences!$D$13/1440)</f>
        <v/>
      </c>
      <c r="H13" s="35" t="str">
        <f>IF(Sequences!$B$13="","",Sequences!$E$13)</f>
        <v/>
      </c>
    </row>
    <row r="14" spans="1:8" x14ac:dyDescent="0.2">
      <c r="A14" s="35" t="str">
        <f>IF(Sequences!$B$14="","",Sequences!$F$2)</f>
        <v/>
      </c>
      <c r="B14" s="35" t="str">
        <f>IF(Sequences!$B$14="","",Sequences!$A$2)</f>
        <v/>
      </c>
      <c r="C14" s="20" t="str">
        <f>IF(Sequences!$B$14="","",'Slot Times'!$B$2)</f>
        <v/>
      </c>
      <c r="D14" s="35" t="str">
        <f>IF(Sequences!$B$14="","",'Slot Times'!$G$2)</f>
        <v/>
      </c>
      <c r="E14" s="35" t="str">
        <f>IF(Sequences!$B$14="","",Sequences!$B$14)</f>
        <v/>
      </c>
      <c r="F14" s="34" t="str">
        <f>IF(OR(Sequences!$B$14="",'Slot Times'!$F$2=""),"",'Slot Times'!$F$2+Sequences!$C$14/1440)</f>
        <v/>
      </c>
      <c r="G14" s="34" t="str">
        <f>IF($F14="","",$F14+Sequences!$D$14/1440)</f>
        <v/>
      </c>
      <c r="H14" s="35" t="str">
        <f>IF(Sequences!$B$14="","",Sequences!$E$14)</f>
        <v/>
      </c>
    </row>
    <row r="15" spans="1:8" x14ac:dyDescent="0.2">
      <c r="A15" s="35" t="str">
        <f>IF(Sequences!$B$15="","",Sequences!$F$2)</f>
        <v/>
      </c>
      <c r="B15" s="35" t="str">
        <f>IF(Sequences!$B$15="","",Sequences!$A$2)</f>
        <v/>
      </c>
      <c r="C15" s="20" t="str">
        <f>IF(Sequences!$B$15="","",'Slot Times'!$B$2)</f>
        <v/>
      </c>
      <c r="D15" s="35" t="str">
        <f>IF(Sequences!$B$15="","",'Slot Times'!$G$2)</f>
        <v/>
      </c>
      <c r="E15" s="35" t="str">
        <f>IF(Sequences!$B$15="","",Sequences!$B$15)</f>
        <v/>
      </c>
      <c r="F15" s="34" t="str">
        <f>IF(OR(Sequences!$B$15="",'Slot Times'!$F$2=""),"",'Slot Times'!$F$2+Sequences!$C$15/1440)</f>
        <v/>
      </c>
      <c r="G15" s="34" t="str">
        <f>IF($F15="","",$F15+Sequences!$D$15/1440)</f>
        <v/>
      </c>
      <c r="H15" s="35" t="str">
        <f>IF(Sequences!$B$15="","",Sequences!$E$15)</f>
        <v/>
      </c>
    </row>
    <row r="16" spans="1:8" x14ac:dyDescent="0.2">
      <c r="A16" s="35" t="str">
        <f>IF(Sequences!$B$2="","",Sequences!$F$2)</f>
        <v>Saturday</v>
      </c>
      <c r="B16" s="35" t="str">
        <f>IF(Sequences!$B$2="","",Sequences!$A$2)</f>
        <v>Saturday Practice</v>
      </c>
      <c r="C16" s="20">
        <f>IF(Sequences!$B$2="","",'Slot Times'!$B$3)</f>
        <v>2</v>
      </c>
      <c r="D16" s="35" t="str">
        <f>IF(Sequences!$B$2="","",'Slot Times'!$G$3)</f>
        <v>(not drawn)</v>
      </c>
      <c r="E16" s="35" t="str">
        <f>IF(Sequences!$B$2="","",Sequences!$B$2)</f>
        <v>Report to Lobby</v>
      </c>
      <c r="F16" s="34">
        <f>IF(OR(Sequences!$B$2="",'Slot Times'!$F$3=""),"",'Slot Times'!$F$3+Sequences!$C$2/1440)</f>
        <v>0.31944444444444442</v>
      </c>
      <c r="G16" s="34">
        <f>IF($F16="","",$F16+Sequences!$D$2/1440)</f>
        <v>0.32291666666666663</v>
      </c>
      <c r="H16" s="35" t="str">
        <f>IF(Sequences!$B$2="","",Sequences!$E$2)</f>
        <v>Courtyard Marriott — Lobby</v>
      </c>
    </row>
    <row r="17" spans="1:8" x14ac:dyDescent="0.2">
      <c r="A17" s="35" t="str">
        <f>IF(Sequences!$B$3="","",Sequences!$F$2)</f>
        <v>Saturday</v>
      </c>
      <c r="B17" s="35" t="str">
        <f>IF(Sequences!$B$3="","",Sequences!$A$2)</f>
        <v>Saturday Practice</v>
      </c>
      <c r="C17" s="20">
        <f>IF(Sequences!$B$3="","",'Slot Times'!$B$3)</f>
        <v>2</v>
      </c>
      <c r="D17" s="35" t="str">
        <f>IF(Sequences!$B$3="","",'Slot Times'!$G$3)</f>
        <v>(not drawn)</v>
      </c>
      <c r="E17" s="35" t="str">
        <f>IF(Sequences!$B$3="","",Sequences!$B$3)</f>
        <v>Load Vans</v>
      </c>
      <c r="F17" s="34">
        <f>IF(OR(Sequences!$B$3="",'Slot Times'!$F$3=""),"",'Slot Times'!$F$3+Sequences!$C$3/1440)</f>
        <v>0.32291666666666663</v>
      </c>
      <c r="G17" s="34">
        <f>IF($F17="","",$F17+Sequences!$D$3/1440)</f>
        <v>0.32986111111111105</v>
      </c>
      <c r="H17" s="35" t="str">
        <f>IF(Sequences!$B$3="","",Sequences!$E$3)</f>
        <v>Courtyard Marriott — Garage</v>
      </c>
    </row>
    <row r="18" spans="1:8" x14ac:dyDescent="0.2">
      <c r="A18" s="35" t="str">
        <f>IF(Sequences!$B$4="","",Sequences!$F$2)</f>
        <v>Saturday</v>
      </c>
      <c r="B18" s="35" t="str">
        <f>IF(Sequences!$B$4="","",Sequences!$A$2)</f>
        <v>Saturday Practice</v>
      </c>
      <c r="C18" s="20">
        <f>IF(Sequences!$B$4="","",'Slot Times'!$B$3)</f>
        <v>2</v>
      </c>
      <c r="D18" s="35" t="str">
        <f>IF(Sequences!$B$4="","",'Slot Times'!$G$3)</f>
        <v>(not drawn)</v>
      </c>
      <c r="E18" s="35" t="str">
        <f>IF(Sequences!$B$4="","",Sequences!$B$4)</f>
        <v>Leave Hotel</v>
      </c>
      <c r="F18" s="34">
        <f>IF(OR(Sequences!$B$4="",'Slot Times'!$F$3=""),"",'Slot Times'!$F$3+Sequences!$C$4/1440)</f>
        <v>0.3298611111111111</v>
      </c>
      <c r="G18" s="34">
        <f>IF($F18="","",$F18+Sequences!$D$4/1440)</f>
        <v>0.34375</v>
      </c>
      <c r="H18" s="35" t="str">
        <f>IF(Sequences!$B$4="","",Sequences!$E$4)</f>
        <v>In transit</v>
      </c>
    </row>
    <row r="19" spans="1:8" x14ac:dyDescent="0.2">
      <c r="A19" s="35" t="str">
        <f>IF(Sequences!$B$5="","",Sequences!$F$2)</f>
        <v>Saturday</v>
      </c>
      <c r="B19" s="35" t="str">
        <f>IF(Sequences!$B$5="","",Sequences!$A$2)</f>
        <v>Saturday Practice</v>
      </c>
      <c r="C19" s="20">
        <f>IF(Sequences!$B$5="","",'Slot Times'!$B$3)</f>
        <v>2</v>
      </c>
      <c r="D19" s="35" t="str">
        <f>IF(Sequences!$B$5="","",'Slot Times'!$G$3)</f>
        <v>(not drawn)</v>
      </c>
      <c r="E19" s="35" t="str">
        <f>IF(Sequences!$B$5="","",Sequences!$B$5)</f>
        <v>On-Stage Rehearsal</v>
      </c>
      <c r="F19" s="34">
        <f>IF(OR(Sequences!$B$5="",'Slot Times'!$F$3=""),"",'Slot Times'!$F$3+Sequences!$C$5/1440)</f>
        <v>0.34375</v>
      </c>
      <c r="G19" s="34">
        <f>IF($F19="","",$F19+Sequences!$D$5/1440)</f>
        <v>0.3576388888888889</v>
      </c>
      <c r="H19" s="35" t="str">
        <f>IF(Sequences!$B$5="","",Sequences!$E$5)</f>
        <v>IU Auditorium — Stage</v>
      </c>
    </row>
    <row r="20" spans="1:8" x14ac:dyDescent="0.2">
      <c r="A20" s="35" t="str">
        <f>IF(Sequences!$B$6="","",Sequences!$F$2)</f>
        <v>Saturday</v>
      </c>
      <c r="B20" s="35" t="str">
        <f>IF(Sequences!$B$6="","",Sequences!$A$2)</f>
        <v>Saturday Practice</v>
      </c>
      <c r="C20" s="20">
        <f>IF(Sequences!$B$6="","",'Slot Times'!$B$3)</f>
        <v>2</v>
      </c>
      <c r="D20" s="35" t="str">
        <f>IF(Sequences!$B$6="","",'Slot Times'!$G$3)</f>
        <v>(not drawn)</v>
      </c>
      <c r="E20" s="35" t="str">
        <f>IF(Sequences!$B$6="","",Sequences!$B$6)</f>
        <v>Walk to Viewing</v>
      </c>
      <c r="F20" s="34">
        <f>IF(OR(Sequences!$B$6="",'Slot Times'!$F$3=""),"",'Slot Times'!$F$3+Sequences!$C$6/1440)</f>
        <v>0.35763888888888884</v>
      </c>
      <c r="G20" s="34">
        <f>IF($F20="","",$F20+Sequences!$D$6/1440)</f>
        <v>0.36458333333333326</v>
      </c>
      <c r="H20" s="35" t="str">
        <f>IF(Sequences!$B$6="","",Sequences!$E$6)</f>
        <v>IU Auditorium</v>
      </c>
    </row>
    <row r="21" spans="1:8" x14ac:dyDescent="0.2">
      <c r="A21" s="35" t="str">
        <f>IF(Sequences!$B$7="","",Sequences!$F$2)</f>
        <v>Saturday</v>
      </c>
      <c r="B21" s="35" t="str">
        <f>IF(Sequences!$B$7="","",Sequences!$A$2)</f>
        <v>Saturday Practice</v>
      </c>
      <c r="C21" s="20">
        <f>IF(Sequences!$B$7="","",'Slot Times'!$B$3)</f>
        <v>2</v>
      </c>
      <c r="D21" s="35" t="str">
        <f>IF(Sequences!$B$7="","",'Slot Times'!$G$3)</f>
        <v>(not drawn)</v>
      </c>
      <c r="E21" s="35" t="str">
        <f>IF(Sequences!$B$7="","",Sequences!$B$7)</f>
        <v>Viewing Room</v>
      </c>
      <c r="F21" s="34">
        <f>IF(OR(Sequences!$B$7="",'Slot Times'!$F$3=""),"",'Slot Times'!$F$3+Sequences!$C$7/1440)</f>
        <v>0.36458333333333331</v>
      </c>
      <c r="G21" s="34">
        <f>IF($F21="","",$F21+Sequences!$D$7/1440)</f>
        <v>0.37847222222222221</v>
      </c>
      <c r="H21" s="35" t="str">
        <f>IF(Sequences!$B$7="","",Sequences!$E$7)</f>
        <v>IU Auditorium — Viewing Room</v>
      </c>
    </row>
    <row r="22" spans="1:8" x14ac:dyDescent="0.2">
      <c r="A22" s="35" t="str">
        <f>IF(Sequences!$B$8="","",Sequences!$F$2)</f>
        <v>Saturday</v>
      </c>
      <c r="B22" s="35" t="str">
        <f>IF(Sequences!$B$8="","",Sequences!$A$2)</f>
        <v>Saturday Practice</v>
      </c>
      <c r="C22" s="20">
        <f>IF(Sequences!$B$8="","",'Slot Times'!$B$3)</f>
        <v>2</v>
      </c>
      <c r="D22" s="35" t="str">
        <f>IF(Sequences!$B$8="","",'Slot Times'!$G$3)</f>
        <v>(not drawn)</v>
      </c>
      <c r="E22" s="35" t="str">
        <f>IF(Sequences!$B$8="","",Sequences!$B$8)</f>
        <v>Walk to Off-Stage</v>
      </c>
      <c r="F22" s="34">
        <f>IF(OR(Sequences!$B$8="",'Slot Times'!$F$3=""),"",'Slot Times'!$F$3+Sequences!$C$8/1440)</f>
        <v>0.37847222222222221</v>
      </c>
      <c r="G22" s="34">
        <f>IF($F22="","",$F22+Sequences!$D$8/1440)</f>
        <v>0.3888888888888889</v>
      </c>
      <c r="H22" s="35" t="str">
        <f>IF(Sequences!$B$8="","",Sequences!$E$8)</f>
        <v>Intramural Fieldhouse</v>
      </c>
    </row>
    <row r="23" spans="1:8" x14ac:dyDescent="0.2">
      <c r="A23" s="35" t="str">
        <f>IF(Sequences!$B$9="","",Sequences!$F$2)</f>
        <v>Saturday</v>
      </c>
      <c r="B23" s="35" t="str">
        <f>IF(Sequences!$B$9="","",Sequences!$A$2)</f>
        <v>Saturday Practice</v>
      </c>
      <c r="C23" s="20">
        <f>IF(Sequences!$B$9="","",'Slot Times'!$B$3)</f>
        <v>2</v>
      </c>
      <c r="D23" s="35" t="str">
        <f>IF(Sequences!$B$9="","",'Slot Times'!$G$3)</f>
        <v>(not drawn)</v>
      </c>
      <c r="E23" s="35" t="str">
        <f>IF(Sequences!$B$9="","",Sequences!$B$9)</f>
        <v>Off-Stage Rehearsal</v>
      </c>
      <c r="F23" s="34">
        <f>IF(OR(Sequences!$B$9="",'Slot Times'!$F$3=""),"",'Slot Times'!$F$3+Sequences!$C$9/1440)</f>
        <v>0.38888888888888884</v>
      </c>
      <c r="G23" s="34">
        <f>IF($F23="","",$F23+Sequences!$D$9/1440)</f>
        <v>0.40277777777777773</v>
      </c>
      <c r="H23" s="35" t="str">
        <f>IF(Sequences!$B$9="","",Sequences!$E$9)</f>
        <v>Intramural Fieldhouse</v>
      </c>
    </row>
    <row r="24" spans="1:8" x14ac:dyDescent="0.2">
      <c r="A24" s="35" t="str">
        <f>IF(Sequences!$B$10="","",Sequences!$F$2)</f>
        <v>Saturday</v>
      </c>
      <c r="B24" s="35" t="str">
        <f>IF(Sequences!$B$10="","",Sequences!$A$2)</f>
        <v>Saturday Practice</v>
      </c>
      <c r="C24" s="20">
        <f>IF(Sequences!$B$10="","",'Slot Times'!$B$3)</f>
        <v>2</v>
      </c>
      <c r="D24" s="35" t="str">
        <f>IF(Sequences!$B$10="","",'Slot Times'!$G$3)</f>
        <v>(not drawn)</v>
      </c>
      <c r="E24" s="35" t="str">
        <f>IF(Sequences!$B$10="","",Sequences!$B$10)</f>
        <v>Load Vans (return)</v>
      </c>
      <c r="F24" s="34">
        <f>IF(OR(Sequences!$B$10="",'Slot Times'!$F$3=""),"",'Slot Times'!$F$3+Sequences!$C$10/1440)</f>
        <v>0.40277777777777773</v>
      </c>
      <c r="G24" s="34">
        <f>IF($F24="","",$F24+Sequences!$D$10/1440)</f>
        <v>0.40972222222222215</v>
      </c>
      <c r="H24" s="35" t="str">
        <f>IF(Sequences!$B$10="","",Sequences!$E$10)</f>
        <v>Intramural Fieldhouse</v>
      </c>
    </row>
    <row r="25" spans="1:8" x14ac:dyDescent="0.2">
      <c r="A25" s="35" t="str">
        <f>IF(Sequences!$B$11="","",Sequences!$F$2)</f>
        <v>Saturday</v>
      </c>
      <c r="B25" s="35" t="str">
        <f>IF(Sequences!$B$11="","",Sequences!$A$2)</f>
        <v>Saturday Practice</v>
      </c>
      <c r="C25" s="20">
        <f>IF(Sequences!$B$11="","",'Slot Times'!$B$3)</f>
        <v>2</v>
      </c>
      <c r="D25" s="35" t="str">
        <f>IF(Sequences!$B$11="","",'Slot Times'!$G$3)</f>
        <v>(not drawn)</v>
      </c>
      <c r="E25" s="35" t="str">
        <f>IF(Sequences!$B$11="","",Sequences!$B$11)</f>
        <v>Leave Fieldhouse</v>
      </c>
      <c r="F25" s="34">
        <f>IF(OR(Sequences!$B$11="",'Slot Times'!$F$3=""),"",'Slot Times'!$F$3+Sequences!$C$11/1440)</f>
        <v>0.40972222222222221</v>
      </c>
      <c r="G25" s="34">
        <f>IF($F25="","",$F25+Sequences!$D$11/1440)</f>
        <v>0.4201388888888889</v>
      </c>
      <c r="H25" s="35" t="str">
        <f>IF(Sequences!$B$11="","",Sequences!$E$11)</f>
        <v>In transit</v>
      </c>
    </row>
    <row r="26" spans="1:8" x14ac:dyDescent="0.2">
      <c r="A26" s="35" t="str">
        <f>IF(Sequences!$B$12="","",Sequences!$F$2)</f>
        <v/>
      </c>
      <c r="B26" s="35" t="str">
        <f>IF(Sequences!$B$12="","",Sequences!$A$2)</f>
        <v/>
      </c>
      <c r="C26" s="20" t="str">
        <f>IF(Sequences!$B$12="","",'Slot Times'!$B$3)</f>
        <v/>
      </c>
      <c r="D26" s="35" t="str">
        <f>IF(Sequences!$B$12="","",'Slot Times'!$G$3)</f>
        <v/>
      </c>
      <c r="E26" s="35" t="str">
        <f>IF(Sequences!$B$12="","",Sequences!$B$12)</f>
        <v/>
      </c>
      <c r="F26" s="34" t="str">
        <f>IF(OR(Sequences!$B$12="",'Slot Times'!$F$3=""),"",'Slot Times'!$F$3+Sequences!$C$12/1440)</f>
        <v/>
      </c>
      <c r="G26" s="34" t="str">
        <f>IF($F26="","",$F26+Sequences!$D$12/1440)</f>
        <v/>
      </c>
      <c r="H26" s="35" t="str">
        <f>IF(Sequences!$B$12="","",Sequences!$E$12)</f>
        <v/>
      </c>
    </row>
    <row r="27" spans="1:8" x14ac:dyDescent="0.2">
      <c r="A27" s="35" t="str">
        <f>IF(Sequences!$B$13="","",Sequences!$F$2)</f>
        <v/>
      </c>
      <c r="B27" s="35" t="str">
        <f>IF(Sequences!$B$13="","",Sequences!$A$2)</f>
        <v/>
      </c>
      <c r="C27" s="20" t="str">
        <f>IF(Sequences!$B$13="","",'Slot Times'!$B$3)</f>
        <v/>
      </c>
      <c r="D27" s="35" t="str">
        <f>IF(Sequences!$B$13="","",'Slot Times'!$G$3)</f>
        <v/>
      </c>
      <c r="E27" s="35" t="str">
        <f>IF(Sequences!$B$13="","",Sequences!$B$13)</f>
        <v/>
      </c>
      <c r="F27" s="34" t="str">
        <f>IF(OR(Sequences!$B$13="",'Slot Times'!$F$3=""),"",'Slot Times'!$F$3+Sequences!$C$13/1440)</f>
        <v/>
      </c>
      <c r="G27" s="34" t="str">
        <f>IF($F27="","",$F27+Sequences!$D$13/1440)</f>
        <v/>
      </c>
      <c r="H27" s="35" t="str">
        <f>IF(Sequences!$B$13="","",Sequences!$E$13)</f>
        <v/>
      </c>
    </row>
    <row r="28" spans="1:8" x14ac:dyDescent="0.2">
      <c r="A28" s="35" t="str">
        <f>IF(Sequences!$B$14="","",Sequences!$F$2)</f>
        <v/>
      </c>
      <c r="B28" s="35" t="str">
        <f>IF(Sequences!$B$14="","",Sequences!$A$2)</f>
        <v/>
      </c>
      <c r="C28" s="20" t="str">
        <f>IF(Sequences!$B$14="","",'Slot Times'!$B$3)</f>
        <v/>
      </c>
      <c r="D28" s="35" t="str">
        <f>IF(Sequences!$B$14="","",'Slot Times'!$G$3)</f>
        <v/>
      </c>
      <c r="E28" s="35" t="str">
        <f>IF(Sequences!$B$14="","",Sequences!$B$14)</f>
        <v/>
      </c>
      <c r="F28" s="34" t="str">
        <f>IF(OR(Sequences!$B$14="",'Slot Times'!$F$3=""),"",'Slot Times'!$F$3+Sequences!$C$14/1440)</f>
        <v/>
      </c>
      <c r="G28" s="34" t="str">
        <f>IF($F28="","",$F28+Sequences!$D$14/1440)</f>
        <v/>
      </c>
      <c r="H28" s="35" t="str">
        <f>IF(Sequences!$B$14="","",Sequences!$E$14)</f>
        <v/>
      </c>
    </row>
    <row r="29" spans="1:8" x14ac:dyDescent="0.2">
      <c r="A29" s="35" t="str">
        <f>IF(Sequences!$B$15="","",Sequences!$F$2)</f>
        <v/>
      </c>
      <c r="B29" s="35" t="str">
        <f>IF(Sequences!$B$15="","",Sequences!$A$2)</f>
        <v/>
      </c>
      <c r="C29" s="20" t="str">
        <f>IF(Sequences!$B$15="","",'Slot Times'!$B$3)</f>
        <v/>
      </c>
      <c r="D29" s="35" t="str">
        <f>IF(Sequences!$B$15="","",'Slot Times'!$G$3)</f>
        <v/>
      </c>
      <c r="E29" s="35" t="str">
        <f>IF(Sequences!$B$15="","",Sequences!$B$15)</f>
        <v/>
      </c>
      <c r="F29" s="34" t="str">
        <f>IF(OR(Sequences!$B$15="",'Slot Times'!$F$3=""),"",'Slot Times'!$F$3+Sequences!$C$15/1440)</f>
        <v/>
      </c>
      <c r="G29" s="34" t="str">
        <f>IF($F29="","",$F29+Sequences!$D$15/1440)</f>
        <v/>
      </c>
      <c r="H29" s="35" t="str">
        <f>IF(Sequences!$B$15="","",Sequences!$E$15)</f>
        <v/>
      </c>
    </row>
    <row r="30" spans="1:8" x14ac:dyDescent="0.2">
      <c r="A30" s="35" t="str">
        <f>IF(Sequences!$B$2="","",Sequences!$F$2)</f>
        <v>Saturday</v>
      </c>
      <c r="B30" s="35" t="str">
        <f>IF(Sequences!$B$2="","",Sequences!$A$2)</f>
        <v>Saturday Practice</v>
      </c>
      <c r="C30" s="20">
        <f>IF(Sequences!$B$2="","",'Slot Times'!$B$4)</f>
        <v>3</v>
      </c>
      <c r="D30" s="35" t="str">
        <f>IF(Sequences!$B$2="","",'Slot Times'!$G$4)</f>
        <v>(not drawn)</v>
      </c>
      <c r="E30" s="35" t="str">
        <f>IF(Sequences!$B$2="","",Sequences!$B$2)</f>
        <v>Report to Lobby</v>
      </c>
      <c r="F30" s="34">
        <f>IF(OR(Sequences!$B$2="",'Slot Times'!$F$4=""),"",'Slot Times'!$F$4+Sequences!$C$2/1440)</f>
        <v>0.33680555555555552</v>
      </c>
      <c r="G30" s="34">
        <f>IF($F30="","",$F30+Sequences!$D$2/1440)</f>
        <v>0.34027777777777773</v>
      </c>
      <c r="H30" s="35" t="str">
        <f>IF(Sequences!$B$2="","",Sequences!$E$2)</f>
        <v>Courtyard Marriott — Lobby</v>
      </c>
    </row>
    <row r="31" spans="1:8" x14ac:dyDescent="0.2">
      <c r="A31" s="35" t="str">
        <f>IF(Sequences!$B$3="","",Sequences!$F$2)</f>
        <v>Saturday</v>
      </c>
      <c r="B31" s="35" t="str">
        <f>IF(Sequences!$B$3="","",Sequences!$A$2)</f>
        <v>Saturday Practice</v>
      </c>
      <c r="C31" s="20">
        <f>IF(Sequences!$B$3="","",'Slot Times'!$B$4)</f>
        <v>3</v>
      </c>
      <c r="D31" s="35" t="str">
        <f>IF(Sequences!$B$3="","",'Slot Times'!$G$4)</f>
        <v>(not drawn)</v>
      </c>
      <c r="E31" s="35" t="str">
        <f>IF(Sequences!$B$3="","",Sequences!$B$3)</f>
        <v>Load Vans</v>
      </c>
      <c r="F31" s="34">
        <f>IF(OR(Sequences!$B$3="",'Slot Times'!$F$4=""),"",'Slot Times'!$F$4+Sequences!$C$3/1440)</f>
        <v>0.34027777777777773</v>
      </c>
      <c r="G31" s="34">
        <f>IF($F31="","",$F31+Sequences!$D$3/1440)</f>
        <v>0.34722222222222215</v>
      </c>
      <c r="H31" s="35" t="str">
        <f>IF(Sequences!$B$3="","",Sequences!$E$3)</f>
        <v>Courtyard Marriott — Garage</v>
      </c>
    </row>
    <row r="32" spans="1:8" x14ac:dyDescent="0.2">
      <c r="A32" s="35" t="str">
        <f>IF(Sequences!$B$4="","",Sequences!$F$2)</f>
        <v>Saturday</v>
      </c>
      <c r="B32" s="35" t="str">
        <f>IF(Sequences!$B$4="","",Sequences!$A$2)</f>
        <v>Saturday Practice</v>
      </c>
      <c r="C32" s="20">
        <f>IF(Sequences!$B$4="","",'Slot Times'!$B$4)</f>
        <v>3</v>
      </c>
      <c r="D32" s="35" t="str">
        <f>IF(Sequences!$B$4="","",'Slot Times'!$G$4)</f>
        <v>(not drawn)</v>
      </c>
      <c r="E32" s="35" t="str">
        <f>IF(Sequences!$B$4="","",Sequences!$B$4)</f>
        <v>Leave Hotel</v>
      </c>
      <c r="F32" s="34">
        <f>IF(OR(Sequences!$B$4="",'Slot Times'!$F$4=""),"",'Slot Times'!$F$4+Sequences!$C$4/1440)</f>
        <v>0.34722222222222221</v>
      </c>
      <c r="G32" s="34">
        <f>IF($F32="","",$F32+Sequences!$D$4/1440)</f>
        <v>0.3611111111111111</v>
      </c>
      <c r="H32" s="35" t="str">
        <f>IF(Sequences!$B$4="","",Sequences!$E$4)</f>
        <v>In transit</v>
      </c>
    </row>
    <row r="33" spans="1:8" x14ac:dyDescent="0.2">
      <c r="A33" s="35" t="str">
        <f>IF(Sequences!$B$5="","",Sequences!$F$2)</f>
        <v>Saturday</v>
      </c>
      <c r="B33" s="35" t="str">
        <f>IF(Sequences!$B$5="","",Sequences!$A$2)</f>
        <v>Saturday Practice</v>
      </c>
      <c r="C33" s="20">
        <f>IF(Sequences!$B$5="","",'Slot Times'!$B$4)</f>
        <v>3</v>
      </c>
      <c r="D33" s="35" t="str">
        <f>IF(Sequences!$B$5="","",'Slot Times'!$G$4)</f>
        <v>(not drawn)</v>
      </c>
      <c r="E33" s="35" t="str">
        <f>IF(Sequences!$B$5="","",Sequences!$B$5)</f>
        <v>On-Stage Rehearsal</v>
      </c>
      <c r="F33" s="34">
        <f>IF(OR(Sequences!$B$5="",'Slot Times'!$F$4=""),"",'Slot Times'!$F$4+Sequences!$C$5/1440)</f>
        <v>0.3611111111111111</v>
      </c>
      <c r="G33" s="34">
        <f>IF($F33="","",$F33+Sequences!$D$5/1440)</f>
        <v>0.375</v>
      </c>
      <c r="H33" s="35" t="str">
        <f>IF(Sequences!$B$5="","",Sequences!$E$5)</f>
        <v>IU Auditorium — Stage</v>
      </c>
    </row>
    <row r="34" spans="1:8" x14ac:dyDescent="0.2">
      <c r="A34" s="35" t="str">
        <f>IF(Sequences!$B$6="","",Sequences!$F$2)</f>
        <v>Saturday</v>
      </c>
      <c r="B34" s="35" t="str">
        <f>IF(Sequences!$B$6="","",Sequences!$A$2)</f>
        <v>Saturday Practice</v>
      </c>
      <c r="C34" s="20">
        <f>IF(Sequences!$B$6="","",'Slot Times'!$B$4)</f>
        <v>3</v>
      </c>
      <c r="D34" s="35" t="str">
        <f>IF(Sequences!$B$6="","",'Slot Times'!$G$4)</f>
        <v>(not drawn)</v>
      </c>
      <c r="E34" s="35" t="str">
        <f>IF(Sequences!$B$6="","",Sequences!$B$6)</f>
        <v>Walk to Viewing</v>
      </c>
      <c r="F34" s="34">
        <f>IF(OR(Sequences!$B$6="",'Slot Times'!$F$4=""),"",'Slot Times'!$F$4+Sequences!$C$6/1440)</f>
        <v>0.375</v>
      </c>
      <c r="G34" s="34">
        <f>IF($F34="","",$F34+Sequences!$D$6/1440)</f>
        <v>0.38194444444444442</v>
      </c>
      <c r="H34" s="35" t="str">
        <f>IF(Sequences!$B$6="","",Sequences!$E$6)</f>
        <v>IU Auditorium</v>
      </c>
    </row>
    <row r="35" spans="1:8" x14ac:dyDescent="0.2">
      <c r="A35" s="35" t="str">
        <f>IF(Sequences!$B$7="","",Sequences!$F$2)</f>
        <v>Saturday</v>
      </c>
      <c r="B35" s="35" t="str">
        <f>IF(Sequences!$B$7="","",Sequences!$A$2)</f>
        <v>Saturday Practice</v>
      </c>
      <c r="C35" s="20">
        <f>IF(Sequences!$B$7="","",'Slot Times'!$B$4)</f>
        <v>3</v>
      </c>
      <c r="D35" s="35" t="str">
        <f>IF(Sequences!$B$7="","",'Slot Times'!$G$4)</f>
        <v>(not drawn)</v>
      </c>
      <c r="E35" s="35" t="str">
        <f>IF(Sequences!$B$7="","",Sequences!$B$7)</f>
        <v>Viewing Room</v>
      </c>
      <c r="F35" s="34">
        <f>IF(OR(Sequences!$B$7="",'Slot Times'!$F$4=""),"",'Slot Times'!$F$4+Sequences!$C$7/1440)</f>
        <v>0.38194444444444442</v>
      </c>
      <c r="G35" s="34">
        <f>IF($F35="","",$F35+Sequences!$D$7/1440)</f>
        <v>0.39583333333333331</v>
      </c>
      <c r="H35" s="35" t="str">
        <f>IF(Sequences!$B$7="","",Sequences!$E$7)</f>
        <v>IU Auditorium — Viewing Room</v>
      </c>
    </row>
    <row r="36" spans="1:8" x14ac:dyDescent="0.2">
      <c r="A36" s="35" t="str">
        <f>IF(Sequences!$B$8="","",Sequences!$F$2)</f>
        <v>Saturday</v>
      </c>
      <c r="B36" s="35" t="str">
        <f>IF(Sequences!$B$8="","",Sequences!$A$2)</f>
        <v>Saturday Practice</v>
      </c>
      <c r="C36" s="20">
        <f>IF(Sequences!$B$8="","",'Slot Times'!$B$4)</f>
        <v>3</v>
      </c>
      <c r="D36" s="35" t="str">
        <f>IF(Sequences!$B$8="","",'Slot Times'!$G$4)</f>
        <v>(not drawn)</v>
      </c>
      <c r="E36" s="35" t="str">
        <f>IF(Sequences!$B$8="","",Sequences!$B$8)</f>
        <v>Walk to Off-Stage</v>
      </c>
      <c r="F36" s="34">
        <f>IF(OR(Sequences!$B$8="",'Slot Times'!$F$4=""),"",'Slot Times'!$F$4+Sequences!$C$8/1440)</f>
        <v>0.39583333333333331</v>
      </c>
      <c r="G36" s="34">
        <f>IF($F36="","",$F36+Sequences!$D$8/1440)</f>
        <v>0.40625</v>
      </c>
      <c r="H36" s="35" t="str">
        <f>IF(Sequences!$B$8="","",Sequences!$E$8)</f>
        <v>Intramural Fieldhouse</v>
      </c>
    </row>
    <row r="37" spans="1:8" x14ac:dyDescent="0.2">
      <c r="A37" s="35" t="str">
        <f>IF(Sequences!$B$9="","",Sequences!$F$2)</f>
        <v>Saturday</v>
      </c>
      <c r="B37" s="35" t="str">
        <f>IF(Sequences!$B$9="","",Sequences!$A$2)</f>
        <v>Saturday Practice</v>
      </c>
      <c r="C37" s="20">
        <f>IF(Sequences!$B$9="","",'Slot Times'!$B$4)</f>
        <v>3</v>
      </c>
      <c r="D37" s="35" t="str">
        <f>IF(Sequences!$B$9="","",'Slot Times'!$G$4)</f>
        <v>(not drawn)</v>
      </c>
      <c r="E37" s="35" t="str">
        <f>IF(Sequences!$B$9="","",Sequences!$B$9)</f>
        <v>Off-Stage Rehearsal</v>
      </c>
      <c r="F37" s="34">
        <f>IF(OR(Sequences!$B$9="",'Slot Times'!$F$4=""),"",'Slot Times'!$F$4+Sequences!$C$9/1440)</f>
        <v>0.40625</v>
      </c>
      <c r="G37" s="34">
        <f>IF($F37="","",$F37+Sequences!$D$9/1440)</f>
        <v>0.4201388888888889</v>
      </c>
      <c r="H37" s="35" t="str">
        <f>IF(Sequences!$B$9="","",Sequences!$E$9)</f>
        <v>Intramural Fieldhouse</v>
      </c>
    </row>
    <row r="38" spans="1:8" x14ac:dyDescent="0.2">
      <c r="A38" s="35" t="str">
        <f>IF(Sequences!$B$10="","",Sequences!$F$2)</f>
        <v>Saturday</v>
      </c>
      <c r="B38" s="35" t="str">
        <f>IF(Sequences!$B$10="","",Sequences!$A$2)</f>
        <v>Saturday Practice</v>
      </c>
      <c r="C38" s="20">
        <f>IF(Sequences!$B$10="","",'Slot Times'!$B$4)</f>
        <v>3</v>
      </c>
      <c r="D38" s="35" t="str">
        <f>IF(Sequences!$B$10="","",'Slot Times'!$G$4)</f>
        <v>(not drawn)</v>
      </c>
      <c r="E38" s="35" t="str">
        <f>IF(Sequences!$B$10="","",Sequences!$B$10)</f>
        <v>Load Vans (return)</v>
      </c>
      <c r="F38" s="34">
        <f>IF(OR(Sequences!$B$10="",'Slot Times'!$F$4=""),"",'Slot Times'!$F$4+Sequences!$C$10/1440)</f>
        <v>0.42013888888888884</v>
      </c>
      <c r="G38" s="34">
        <f>IF($F38="","",$F38+Sequences!$D$10/1440)</f>
        <v>0.42708333333333326</v>
      </c>
      <c r="H38" s="35" t="str">
        <f>IF(Sequences!$B$10="","",Sequences!$E$10)</f>
        <v>Intramural Fieldhouse</v>
      </c>
    </row>
    <row r="39" spans="1:8" x14ac:dyDescent="0.2">
      <c r="A39" s="35" t="str">
        <f>IF(Sequences!$B$11="","",Sequences!$F$2)</f>
        <v>Saturday</v>
      </c>
      <c r="B39" s="35" t="str">
        <f>IF(Sequences!$B$11="","",Sequences!$A$2)</f>
        <v>Saturday Practice</v>
      </c>
      <c r="C39" s="20">
        <f>IF(Sequences!$B$11="","",'Slot Times'!$B$4)</f>
        <v>3</v>
      </c>
      <c r="D39" s="35" t="str">
        <f>IF(Sequences!$B$11="","",'Slot Times'!$G$4)</f>
        <v>(not drawn)</v>
      </c>
      <c r="E39" s="35" t="str">
        <f>IF(Sequences!$B$11="","",Sequences!$B$11)</f>
        <v>Leave Fieldhouse</v>
      </c>
      <c r="F39" s="34">
        <f>IF(OR(Sequences!$B$11="",'Slot Times'!$F$4=""),"",'Slot Times'!$F$4+Sequences!$C$11/1440)</f>
        <v>0.42708333333333331</v>
      </c>
      <c r="G39" s="34">
        <f>IF($F39="","",$F39+Sequences!$D$11/1440)</f>
        <v>0.4375</v>
      </c>
      <c r="H39" s="35" t="str">
        <f>IF(Sequences!$B$11="","",Sequences!$E$11)</f>
        <v>In transit</v>
      </c>
    </row>
    <row r="40" spans="1:8" x14ac:dyDescent="0.2">
      <c r="A40" s="35" t="str">
        <f>IF(Sequences!$B$12="","",Sequences!$F$2)</f>
        <v/>
      </c>
      <c r="B40" s="35" t="str">
        <f>IF(Sequences!$B$12="","",Sequences!$A$2)</f>
        <v/>
      </c>
      <c r="C40" s="20" t="str">
        <f>IF(Sequences!$B$12="","",'Slot Times'!$B$4)</f>
        <v/>
      </c>
      <c r="D40" s="35" t="str">
        <f>IF(Sequences!$B$12="","",'Slot Times'!$G$4)</f>
        <v/>
      </c>
      <c r="E40" s="35" t="str">
        <f>IF(Sequences!$B$12="","",Sequences!$B$12)</f>
        <v/>
      </c>
      <c r="F40" s="34" t="str">
        <f>IF(OR(Sequences!$B$12="",'Slot Times'!$F$4=""),"",'Slot Times'!$F$4+Sequences!$C$12/1440)</f>
        <v/>
      </c>
      <c r="G40" s="34" t="str">
        <f>IF($F40="","",$F40+Sequences!$D$12/1440)</f>
        <v/>
      </c>
      <c r="H40" s="35" t="str">
        <f>IF(Sequences!$B$12="","",Sequences!$E$12)</f>
        <v/>
      </c>
    </row>
    <row r="41" spans="1:8" x14ac:dyDescent="0.2">
      <c r="A41" s="35" t="str">
        <f>IF(Sequences!$B$13="","",Sequences!$F$2)</f>
        <v/>
      </c>
      <c r="B41" s="35" t="str">
        <f>IF(Sequences!$B$13="","",Sequences!$A$2)</f>
        <v/>
      </c>
      <c r="C41" s="20" t="str">
        <f>IF(Sequences!$B$13="","",'Slot Times'!$B$4)</f>
        <v/>
      </c>
      <c r="D41" s="35" t="str">
        <f>IF(Sequences!$B$13="","",'Slot Times'!$G$4)</f>
        <v/>
      </c>
      <c r="E41" s="35" t="str">
        <f>IF(Sequences!$B$13="","",Sequences!$B$13)</f>
        <v/>
      </c>
      <c r="F41" s="34" t="str">
        <f>IF(OR(Sequences!$B$13="",'Slot Times'!$F$4=""),"",'Slot Times'!$F$4+Sequences!$C$13/1440)</f>
        <v/>
      </c>
      <c r="G41" s="34" t="str">
        <f>IF($F41="","",$F41+Sequences!$D$13/1440)</f>
        <v/>
      </c>
      <c r="H41" s="35" t="str">
        <f>IF(Sequences!$B$13="","",Sequences!$E$13)</f>
        <v/>
      </c>
    </row>
    <row r="42" spans="1:8" x14ac:dyDescent="0.2">
      <c r="A42" s="35" t="str">
        <f>IF(Sequences!$B$14="","",Sequences!$F$2)</f>
        <v/>
      </c>
      <c r="B42" s="35" t="str">
        <f>IF(Sequences!$B$14="","",Sequences!$A$2)</f>
        <v/>
      </c>
      <c r="C42" s="20" t="str">
        <f>IF(Sequences!$B$14="","",'Slot Times'!$B$4)</f>
        <v/>
      </c>
      <c r="D42" s="35" t="str">
        <f>IF(Sequences!$B$14="","",'Slot Times'!$G$4)</f>
        <v/>
      </c>
      <c r="E42" s="35" t="str">
        <f>IF(Sequences!$B$14="","",Sequences!$B$14)</f>
        <v/>
      </c>
      <c r="F42" s="34" t="str">
        <f>IF(OR(Sequences!$B$14="",'Slot Times'!$F$4=""),"",'Slot Times'!$F$4+Sequences!$C$14/1440)</f>
        <v/>
      </c>
      <c r="G42" s="34" t="str">
        <f>IF($F42="","",$F42+Sequences!$D$14/1440)</f>
        <v/>
      </c>
      <c r="H42" s="35" t="str">
        <f>IF(Sequences!$B$14="","",Sequences!$E$14)</f>
        <v/>
      </c>
    </row>
    <row r="43" spans="1:8" x14ac:dyDescent="0.2">
      <c r="A43" s="35" t="str">
        <f>IF(Sequences!$B$15="","",Sequences!$F$2)</f>
        <v/>
      </c>
      <c r="B43" s="35" t="str">
        <f>IF(Sequences!$B$15="","",Sequences!$A$2)</f>
        <v/>
      </c>
      <c r="C43" s="20" t="str">
        <f>IF(Sequences!$B$15="","",'Slot Times'!$B$4)</f>
        <v/>
      </c>
      <c r="D43" s="35" t="str">
        <f>IF(Sequences!$B$15="","",'Slot Times'!$G$4)</f>
        <v/>
      </c>
      <c r="E43" s="35" t="str">
        <f>IF(Sequences!$B$15="","",Sequences!$B$15)</f>
        <v/>
      </c>
      <c r="F43" s="34" t="str">
        <f>IF(OR(Sequences!$B$15="",'Slot Times'!$F$4=""),"",'Slot Times'!$F$4+Sequences!$C$15/1440)</f>
        <v/>
      </c>
      <c r="G43" s="34" t="str">
        <f>IF($F43="","",$F43+Sequences!$D$15/1440)</f>
        <v/>
      </c>
      <c r="H43" s="35" t="str">
        <f>IF(Sequences!$B$15="","",Sequences!$E$15)</f>
        <v/>
      </c>
    </row>
    <row r="44" spans="1:8" x14ac:dyDescent="0.2">
      <c r="A44" s="35" t="str">
        <f>IF(Sequences!$B$2="","",Sequences!$F$2)</f>
        <v>Saturday</v>
      </c>
      <c r="B44" s="35" t="str">
        <f>IF(Sequences!$B$2="","",Sequences!$A$2)</f>
        <v>Saturday Practice</v>
      </c>
      <c r="C44" s="20">
        <f>IF(Sequences!$B$2="","",'Slot Times'!$B$5)</f>
        <v>4</v>
      </c>
      <c r="D44" s="35" t="str">
        <f>IF(Sequences!$B$2="","",'Slot Times'!$G$5)</f>
        <v>(not drawn)</v>
      </c>
      <c r="E44" s="35" t="str">
        <f>IF(Sequences!$B$2="","",Sequences!$B$2)</f>
        <v>Report to Lobby</v>
      </c>
      <c r="F44" s="34">
        <f>IF(OR(Sequences!$B$2="",'Slot Times'!$F$5=""),"",'Slot Times'!$F$5+Sequences!$C$2/1440)</f>
        <v>0.35416666666666663</v>
      </c>
      <c r="G44" s="34">
        <f>IF($F44="","",$F44+Sequences!$D$2/1440)</f>
        <v>0.35763888888888884</v>
      </c>
      <c r="H44" s="35" t="str">
        <f>IF(Sequences!$B$2="","",Sequences!$E$2)</f>
        <v>Courtyard Marriott — Lobby</v>
      </c>
    </row>
    <row r="45" spans="1:8" x14ac:dyDescent="0.2">
      <c r="A45" s="35" t="str">
        <f>IF(Sequences!$B$3="","",Sequences!$F$2)</f>
        <v>Saturday</v>
      </c>
      <c r="B45" s="35" t="str">
        <f>IF(Sequences!$B$3="","",Sequences!$A$2)</f>
        <v>Saturday Practice</v>
      </c>
      <c r="C45" s="20">
        <f>IF(Sequences!$B$3="","",'Slot Times'!$B$5)</f>
        <v>4</v>
      </c>
      <c r="D45" s="35" t="str">
        <f>IF(Sequences!$B$3="","",'Slot Times'!$G$5)</f>
        <v>(not drawn)</v>
      </c>
      <c r="E45" s="35" t="str">
        <f>IF(Sequences!$B$3="","",Sequences!$B$3)</f>
        <v>Load Vans</v>
      </c>
      <c r="F45" s="34">
        <f>IF(OR(Sequences!$B$3="",'Slot Times'!$F$5=""),"",'Slot Times'!$F$5+Sequences!$C$3/1440)</f>
        <v>0.35763888888888884</v>
      </c>
      <c r="G45" s="34">
        <f>IF($F45="","",$F45+Sequences!$D$3/1440)</f>
        <v>0.36458333333333326</v>
      </c>
      <c r="H45" s="35" t="str">
        <f>IF(Sequences!$B$3="","",Sequences!$E$3)</f>
        <v>Courtyard Marriott — Garage</v>
      </c>
    </row>
    <row r="46" spans="1:8" x14ac:dyDescent="0.2">
      <c r="A46" s="35" t="str">
        <f>IF(Sequences!$B$4="","",Sequences!$F$2)</f>
        <v>Saturday</v>
      </c>
      <c r="B46" s="35" t="str">
        <f>IF(Sequences!$B$4="","",Sequences!$A$2)</f>
        <v>Saturday Practice</v>
      </c>
      <c r="C46" s="20">
        <f>IF(Sequences!$B$4="","",'Slot Times'!$B$5)</f>
        <v>4</v>
      </c>
      <c r="D46" s="35" t="str">
        <f>IF(Sequences!$B$4="","",'Slot Times'!$G$5)</f>
        <v>(not drawn)</v>
      </c>
      <c r="E46" s="35" t="str">
        <f>IF(Sequences!$B$4="","",Sequences!$B$4)</f>
        <v>Leave Hotel</v>
      </c>
      <c r="F46" s="34">
        <f>IF(OR(Sequences!$B$4="",'Slot Times'!$F$5=""),"",'Slot Times'!$F$5+Sequences!$C$4/1440)</f>
        <v>0.36458333333333331</v>
      </c>
      <c r="G46" s="34">
        <f>IF($F46="","",$F46+Sequences!$D$4/1440)</f>
        <v>0.37847222222222221</v>
      </c>
      <c r="H46" s="35" t="str">
        <f>IF(Sequences!$B$4="","",Sequences!$E$4)</f>
        <v>In transit</v>
      </c>
    </row>
    <row r="47" spans="1:8" x14ac:dyDescent="0.2">
      <c r="A47" s="35" t="str">
        <f>IF(Sequences!$B$5="","",Sequences!$F$2)</f>
        <v>Saturday</v>
      </c>
      <c r="B47" s="35" t="str">
        <f>IF(Sequences!$B$5="","",Sequences!$A$2)</f>
        <v>Saturday Practice</v>
      </c>
      <c r="C47" s="20">
        <f>IF(Sequences!$B$5="","",'Slot Times'!$B$5)</f>
        <v>4</v>
      </c>
      <c r="D47" s="35" t="str">
        <f>IF(Sequences!$B$5="","",'Slot Times'!$G$5)</f>
        <v>(not drawn)</v>
      </c>
      <c r="E47" s="35" t="str">
        <f>IF(Sequences!$B$5="","",Sequences!$B$5)</f>
        <v>On-Stage Rehearsal</v>
      </c>
      <c r="F47" s="34">
        <f>IF(OR(Sequences!$B$5="",'Slot Times'!$F$5=""),"",'Slot Times'!$F$5+Sequences!$C$5/1440)</f>
        <v>0.37847222222222221</v>
      </c>
      <c r="G47" s="34">
        <f>IF($F47="","",$F47+Sequences!$D$5/1440)</f>
        <v>0.3923611111111111</v>
      </c>
      <c r="H47" s="35" t="str">
        <f>IF(Sequences!$B$5="","",Sequences!$E$5)</f>
        <v>IU Auditorium — Stage</v>
      </c>
    </row>
    <row r="48" spans="1:8" x14ac:dyDescent="0.2">
      <c r="A48" s="35" t="str">
        <f>IF(Sequences!$B$6="","",Sequences!$F$2)</f>
        <v>Saturday</v>
      </c>
      <c r="B48" s="35" t="str">
        <f>IF(Sequences!$B$6="","",Sequences!$A$2)</f>
        <v>Saturday Practice</v>
      </c>
      <c r="C48" s="20">
        <f>IF(Sequences!$B$6="","",'Slot Times'!$B$5)</f>
        <v>4</v>
      </c>
      <c r="D48" s="35" t="str">
        <f>IF(Sequences!$B$6="","",'Slot Times'!$G$5)</f>
        <v>(not drawn)</v>
      </c>
      <c r="E48" s="35" t="str">
        <f>IF(Sequences!$B$6="","",Sequences!$B$6)</f>
        <v>Walk to Viewing</v>
      </c>
      <c r="F48" s="34">
        <f>IF(OR(Sequences!$B$6="",'Slot Times'!$F$5=""),"",'Slot Times'!$F$5+Sequences!$C$6/1440)</f>
        <v>0.39236111111111105</v>
      </c>
      <c r="G48" s="34">
        <f>IF($F48="","",$F48+Sequences!$D$6/1440)</f>
        <v>0.39930555555555547</v>
      </c>
      <c r="H48" s="35" t="str">
        <f>IF(Sequences!$B$6="","",Sequences!$E$6)</f>
        <v>IU Auditorium</v>
      </c>
    </row>
    <row r="49" spans="1:8" x14ac:dyDescent="0.2">
      <c r="A49" s="35" t="str">
        <f>IF(Sequences!$B$7="","",Sequences!$F$2)</f>
        <v>Saturday</v>
      </c>
      <c r="B49" s="35" t="str">
        <f>IF(Sequences!$B$7="","",Sequences!$A$2)</f>
        <v>Saturday Practice</v>
      </c>
      <c r="C49" s="20">
        <f>IF(Sequences!$B$7="","",'Slot Times'!$B$5)</f>
        <v>4</v>
      </c>
      <c r="D49" s="35" t="str">
        <f>IF(Sequences!$B$7="","",'Slot Times'!$G$5)</f>
        <v>(not drawn)</v>
      </c>
      <c r="E49" s="35" t="str">
        <f>IF(Sequences!$B$7="","",Sequences!$B$7)</f>
        <v>Viewing Room</v>
      </c>
      <c r="F49" s="34">
        <f>IF(OR(Sequences!$B$7="",'Slot Times'!$F$5=""),"",'Slot Times'!$F$5+Sequences!$C$7/1440)</f>
        <v>0.39930555555555552</v>
      </c>
      <c r="G49" s="34">
        <f>IF($F49="","",$F49+Sequences!$D$7/1440)</f>
        <v>0.41319444444444442</v>
      </c>
      <c r="H49" s="35" t="str">
        <f>IF(Sequences!$B$7="","",Sequences!$E$7)</f>
        <v>IU Auditorium — Viewing Room</v>
      </c>
    </row>
    <row r="50" spans="1:8" x14ac:dyDescent="0.2">
      <c r="A50" s="35" t="str">
        <f>IF(Sequences!$B$8="","",Sequences!$F$2)</f>
        <v>Saturday</v>
      </c>
      <c r="B50" s="35" t="str">
        <f>IF(Sequences!$B$8="","",Sequences!$A$2)</f>
        <v>Saturday Practice</v>
      </c>
      <c r="C50" s="20">
        <f>IF(Sequences!$B$8="","",'Slot Times'!$B$5)</f>
        <v>4</v>
      </c>
      <c r="D50" s="35" t="str">
        <f>IF(Sequences!$B$8="","",'Slot Times'!$G$5)</f>
        <v>(not drawn)</v>
      </c>
      <c r="E50" s="35" t="str">
        <f>IF(Sequences!$B$8="","",Sequences!$B$8)</f>
        <v>Walk to Off-Stage</v>
      </c>
      <c r="F50" s="34">
        <f>IF(OR(Sequences!$B$8="",'Slot Times'!$F$5=""),"",'Slot Times'!$F$5+Sequences!$C$8/1440)</f>
        <v>0.41319444444444442</v>
      </c>
      <c r="G50" s="34">
        <f>IF($F50="","",$F50+Sequences!$D$8/1440)</f>
        <v>0.4236111111111111</v>
      </c>
      <c r="H50" s="35" t="str">
        <f>IF(Sequences!$B$8="","",Sequences!$E$8)</f>
        <v>Intramural Fieldhouse</v>
      </c>
    </row>
    <row r="51" spans="1:8" x14ac:dyDescent="0.2">
      <c r="A51" s="35" t="str">
        <f>IF(Sequences!$B$9="","",Sequences!$F$2)</f>
        <v>Saturday</v>
      </c>
      <c r="B51" s="35" t="str">
        <f>IF(Sequences!$B$9="","",Sequences!$A$2)</f>
        <v>Saturday Practice</v>
      </c>
      <c r="C51" s="20">
        <f>IF(Sequences!$B$9="","",'Slot Times'!$B$5)</f>
        <v>4</v>
      </c>
      <c r="D51" s="35" t="str">
        <f>IF(Sequences!$B$9="","",'Slot Times'!$G$5)</f>
        <v>(not drawn)</v>
      </c>
      <c r="E51" s="35" t="str">
        <f>IF(Sequences!$B$9="","",Sequences!$B$9)</f>
        <v>Off-Stage Rehearsal</v>
      </c>
      <c r="F51" s="34">
        <f>IF(OR(Sequences!$B$9="",'Slot Times'!$F$5=""),"",'Slot Times'!$F$5+Sequences!$C$9/1440)</f>
        <v>0.42361111111111105</v>
      </c>
      <c r="G51" s="34">
        <f>IF($F51="","",$F51+Sequences!$D$9/1440)</f>
        <v>0.43749999999999994</v>
      </c>
      <c r="H51" s="35" t="str">
        <f>IF(Sequences!$B$9="","",Sequences!$E$9)</f>
        <v>Intramural Fieldhouse</v>
      </c>
    </row>
    <row r="52" spans="1:8" x14ac:dyDescent="0.2">
      <c r="A52" s="35" t="str">
        <f>IF(Sequences!$B$10="","",Sequences!$F$2)</f>
        <v>Saturday</v>
      </c>
      <c r="B52" s="35" t="str">
        <f>IF(Sequences!$B$10="","",Sequences!$A$2)</f>
        <v>Saturday Practice</v>
      </c>
      <c r="C52" s="20">
        <f>IF(Sequences!$B$10="","",'Slot Times'!$B$5)</f>
        <v>4</v>
      </c>
      <c r="D52" s="35" t="str">
        <f>IF(Sequences!$B$10="","",'Slot Times'!$G$5)</f>
        <v>(not drawn)</v>
      </c>
      <c r="E52" s="35" t="str">
        <f>IF(Sequences!$B$10="","",Sequences!$B$10)</f>
        <v>Load Vans (return)</v>
      </c>
      <c r="F52" s="34">
        <f>IF(OR(Sequences!$B$10="",'Slot Times'!$F$5=""),"",'Slot Times'!$F$5+Sequences!$C$10/1440)</f>
        <v>0.43749999999999994</v>
      </c>
      <c r="G52" s="34">
        <f>IF($F52="","",$F52+Sequences!$D$10/1440)</f>
        <v>0.44444444444444436</v>
      </c>
      <c r="H52" s="35" t="str">
        <f>IF(Sequences!$B$10="","",Sequences!$E$10)</f>
        <v>Intramural Fieldhouse</v>
      </c>
    </row>
    <row r="53" spans="1:8" x14ac:dyDescent="0.2">
      <c r="A53" s="35" t="str">
        <f>IF(Sequences!$B$11="","",Sequences!$F$2)</f>
        <v>Saturday</v>
      </c>
      <c r="B53" s="35" t="str">
        <f>IF(Sequences!$B$11="","",Sequences!$A$2)</f>
        <v>Saturday Practice</v>
      </c>
      <c r="C53" s="20">
        <f>IF(Sequences!$B$11="","",'Slot Times'!$B$5)</f>
        <v>4</v>
      </c>
      <c r="D53" s="35" t="str">
        <f>IF(Sequences!$B$11="","",'Slot Times'!$G$5)</f>
        <v>(not drawn)</v>
      </c>
      <c r="E53" s="35" t="str">
        <f>IF(Sequences!$B$11="","",Sequences!$B$11)</f>
        <v>Leave Fieldhouse</v>
      </c>
      <c r="F53" s="34">
        <f>IF(OR(Sequences!$B$11="",'Slot Times'!$F$5=""),"",'Slot Times'!$F$5+Sequences!$C$11/1440)</f>
        <v>0.44444444444444442</v>
      </c>
      <c r="G53" s="34">
        <f>IF($F53="","",$F53+Sequences!$D$11/1440)</f>
        <v>0.4548611111111111</v>
      </c>
      <c r="H53" s="35" t="str">
        <f>IF(Sequences!$B$11="","",Sequences!$E$11)</f>
        <v>In transit</v>
      </c>
    </row>
    <row r="54" spans="1:8" x14ac:dyDescent="0.2">
      <c r="A54" s="35" t="str">
        <f>IF(Sequences!$B$12="","",Sequences!$F$2)</f>
        <v/>
      </c>
      <c r="B54" s="35" t="str">
        <f>IF(Sequences!$B$12="","",Sequences!$A$2)</f>
        <v/>
      </c>
      <c r="C54" s="20" t="str">
        <f>IF(Sequences!$B$12="","",'Slot Times'!$B$5)</f>
        <v/>
      </c>
      <c r="D54" s="35" t="str">
        <f>IF(Sequences!$B$12="","",'Slot Times'!$G$5)</f>
        <v/>
      </c>
      <c r="E54" s="35" t="str">
        <f>IF(Sequences!$B$12="","",Sequences!$B$12)</f>
        <v/>
      </c>
      <c r="F54" s="34" t="str">
        <f>IF(OR(Sequences!$B$12="",'Slot Times'!$F$5=""),"",'Slot Times'!$F$5+Sequences!$C$12/1440)</f>
        <v/>
      </c>
      <c r="G54" s="34" t="str">
        <f>IF($F54="","",$F54+Sequences!$D$12/1440)</f>
        <v/>
      </c>
      <c r="H54" s="35" t="str">
        <f>IF(Sequences!$B$12="","",Sequences!$E$12)</f>
        <v/>
      </c>
    </row>
    <row r="55" spans="1:8" x14ac:dyDescent="0.2">
      <c r="A55" s="35" t="str">
        <f>IF(Sequences!$B$13="","",Sequences!$F$2)</f>
        <v/>
      </c>
      <c r="B55" s="35" t="str">
        <f>IF(Sequences!$B$13="","",Sequences!$A$2)</f>
        <v/>
      </c>
      <c r="C55" s="20" t="str">
        <f>IF(Sequences!$B$13="","",'Slot Times'!$B$5)</f>
        <v/>
      </c>
      <c r="D55" s="35" t="str">
        <f>IF(Sequences!$B$13="","",'Slot Times'!$G$5)</f>
        <v/>
      </c>
      <c r="E55" s="35" t="str">
        <f>IF(Sequences!$B$13="","",Sequences!$B$13)</f>
        <v/>
      </c>
      <c r="F55" s="34" t="str">
        <f>IF(OR(Sequences!$B$13="",'Slot Times'!$F$5=""),"",'Slot Times'!$F$5+Sequences!$C$13/1440)</f>
        <v/>
      </c>
      <c r="G55" s="34" t="str">
        <f>IF($F55="","",$F55+Sequences!$D$13/1440)</f>
        <v/>
      </c>
      <c r="H55" s="35" t="str">
        <f>IF(Sequences!$B$13="","",Sequences!$E$13)</f>
        <v/>
      </c>
    </row>
    <row r="56" spans="1:8" x14ac:dyDescent="0.2">
      <c r="A56" s="35" t="str">
        <f>IF(Sequences!$B$14="","",Sequences!$F$2)</f>
        <v/>
      </c>
      <c r="B56" s="35" t="str">
        <f>IF(Sequences!$B$14="","",Sequences!$A$2)</f>
        <v/>
      </c>
      <c r="C56" s="20" t="str">
        <f>IF(Sequences!$B$14="","",'Slot Times'!$B$5)</f>
        <v/>
      </c>
      <c r="D56" s="35" t="str">
        <f>IF(Sequences!$B$14="","",'Slot Times'!$G$5)</f>
        <v/>
      </c>
      <c r="E56" s="35" t="str">
        <f>IF(Sequences!$B$14="","",Sequences!$B$14)</f>
        <v/>
      </c>
      <c r="F56" s="34" t="str">
        <f>IF(OR(Sequences!$B$14="",'Slot Times'!$F$5=""),"",'Slot Times'!$F$5+Sequences!$C$14/1440)</f>
        <v/>
      </c>
      <c r="G56" s="34" t="str">
        <f>IF($F56="","",$F56+Sequences!$D$14/1440)</f>
        <v/>
      </c>
      <c r="H56" s="35" t="str">
        <f>IF(Sequences!$B$14="","",Sequences!$E$14)</f>
        <v/>
      </c>
    </row>
    <row r="57" spans="1:8" x14ac:dyDescent="0.2">
      <c r="A57" s="35" t="str">
        <f>IF(Sequences!$B$15="","",Sequences!$F$2)</f>
        <v/>
      </c>
      <c r="B57" s="35" t="str">
        <f>IF(Sequences!$B$15="","",Sequences!$A$2)</f>
        <v/>
      </c>
      <c r="C57" s="20" t="str">
        <f>IF(Sequences!$B$15="","",'Slot Times'!$B$5)</f>
        <v/>
      </c>
      <c r="D57" s="35" t="str">
        <f>IF(Sequences!$B$15="","",'Slot Times'!$G$5)</f>
        <v/>
      </c>
      <c r="E57" s="35" t="str">
        <f>IF(Sequences!$B$15="","",Sequences!$B$15)</f>
        <v/>
      </c>
      <c r="F57" s="34" t="str">
        <f>IF(OR(Sequences!$B$15="",'Slot Times'!$F$5=""),"",'Slot Times'!$F$5+Sequences!$C$15/1440)</f>
        <v/>
      </c>
      <c r="G57" s="34" t="str">
        <f>IF($F57="","",$F57+Sequences!$D$15/1440)</f>
        <v/>
      </c>
      <c r="H57" s="35" t="str">
        <f>IF(Sequences!$B$15="","",Sequences!$E$15)</f>
        <v/>
      </c>
    </row>
    <row r="58" spans="1:8" x14ac:dyDescent="0.2">
      <c r="A58" s="35" t="str">
        <f>IF(Sequences!$B$2="","",Sequences!$F$2)</f>
        <v>Saturday</v>
      </c>
      <c r="B58" s="35" t="str">
        <f>IF(Sequences!$B$2="","",Sequences!$A$2)</f>
        <v>Saturday Practice</v>
      </c>
      <c r="C58" s="20">
        <f>IF(Sequences!$B$2="","",'Slot Times'!$B$6)</f>
        <v>5</v>
      </c>
      <c r="D58" s="35" t="str">
        <f>IF(Sequences!$B$2="","",'Slot Times'!$G$6)</f>
        <v>(not drawn)</v>
      </c>
      <c r="E58" s="35" t="str">
        <f>IF(Sequences!$B$2="","",Sequences!$B$2)</f>
        <v>Report to Lobby</v>
      </c>
      <c r="F58" s="34">
        <f>IF(OR(Sequences!$B$2="",'Slot Times'!$F$6=""),"",'Slot Times'!$F$6+Sequences!$C$2/1440)</f>
        <v>0.39583333333333331</v>
      </c>
      <c r="G58" s="34">
        <f>IF($F58="","",$F58+Sequences!$D$2/1440)</f>
        <v>0.39930555555555552</v>
      </c>
      <c r="H58" s="35" t="str">
        <f>IF(Sequences!$B$2="","",Sequences!$E$2)</f>
        <v>Courtyard Marriott — Lobby</v>
      </c>
    </row>
    <row r="59" spans="1:8" x14ac:dyDescent="0.2">
      <c r="A59" s="35" t="str">
        <f>IF(Sequences!$B$3="","",Sequences!$F$2)</f>
        <v>Saturday</v>
      </c>
      <c r="B59" s="35" t="str">
        <f>IF(Sequences!$B$3="","",Sequences!$A$2)</f>
        <v>Saturday Practice</v>
      </c>
      <c r="C59" s="20">
        <f>IF(Sequences!$B$3="","",'Slot Times'!$B$6)</f>
        <v>5</v>
      </c>
      <c r="D59" s="35" t="str">
        <f>IF(Sequences!$B$3="","",'Slot Times'!$G$6)</f>
        <v>(not drawn)</v>
      </c>
      <c r="E59" s="35" t="str">
        <f>IF(Sequences!$B$3="","",Sequences!$B$3)</f>
        <v>Load Vans</v>
      </c>
      <c r="F59" s="34">
        <f>IF(OR(Sequences!$B$3="",'Slot Times'!$F$6=""),"",'Slot Times'!$F$6+Sequences!$C$3/1440)</f>
        <v>0.39930555555555552</v>
      </c>
      <c r="G59" s="34">
        <f>IF($F59="","",$F59+Sequences!$D$3/1440)</f>
        <v>0.40624999999999994</v>
      </c>
      <c r="H59" s="35" t="str">
        <f>IF(Sequences!$B$3="","",Sequences!$E$3)</f>
        <v>Courtyard Marriott — Garage</v>
      </c>
    </row>
    <row r="60" spans="1:8" x14ac:dyDescent="0.2">
      <c r="A60" s="35" t="str">
        <f>IF(Sequences!$B$4="","",Sequences!$F$2)</f>
        <v>Saturday</v>
      </c>
      <c r="B60" s="35" t="str">
        <f>IF(Sequences!$B$4="","",Sequences!$A$2)</f>
        <v>Saturday Practice</v>
      </c>
      <c r="C60" s="20">
        <f>IF(Sequences!$B$4="","",'Slot Times'!$B$6)</f>
        <v>5</v>
      </c>
      <c r="D60" s="35" t="str">
        <f>IF(Sequences!$B$4="","",'Slot Times'!$G$6)</f>
        <v>(not drawn)</v>
      </c>
      <c r="E60" s="35" t="str">
        <f>IF(Sequences!$B$4="","",Sequences!$B$4)</f>
        <v>Leave Hotel</v>
      </c>
      <c r="F60" s="34">
        <f>IF(OR(Sequences!$B$4="",'Slot Times'!$F$6=""),"",'Slot Times'!$F$6+Sequences!$C$4/1440)</f>
        <v>0.40625</v>
      </c>
      <c r="G60" s="34">
        <f>IF($F60="","",$F60+Sequences!$D$4/1440)</f>
        <v>0.4201388888888889</v>
      </c>
      <c r="H60" s="35" t="str">
        <f>IF(Sequences!$B$4="","",Sequences!$E$4)</f>
        <v>In transit</v>
      </c>
    </row>
    <row r="61" spans="1:8" x14ac:dyDescent="0.2">
      <c r="A61" s="35" t="str">
        <f>IF(Sequences!$B$5="","",Sequences!$F$2)</f>
        <v>Saturday</v>
      </c>
      <c r="B61" s="35" t="str">
        <f>IF(Sequences!$B$5="","",Sequences!$A$2)</f>
        <v>Saturday Practice</v>
      </c>
      <c r="C61" s="20">
        <f>IF(Sequences!$B$5="","",'Slot Times'!$B$6)</f>
        <v>5</v>
      </c>
      <c r="D61" s="35" t="str">
        <f>IF(Sequences!$B$5="","",'Slot Times'!$G$6)</f>
        <v>(not drawn)</v>
      </c>
      <c r="E61" s="35" t="str">
        <f>IF(Sequences!$B$5="","",Sequences!$B$5)</f>
        <v>On-Stage Rehearsal</v>
      </c>
      <c r="F61" s="34">
        <f>IF(OR(Sequences!$B$5="",'Slot Times'!$F$6=""),"",'Slot Times'!$F$6+Sequences!$C$5/1440)</f>
        <v>0.4201388888888889</v>
      </c>
      <c r="G61" s="34">
        <f>IF($F61="","",$F61+Sequences!$D$5/1440)</f>
        <v>0.43402777777777779</v>
      </c>
      <c r="H61" s="35" t="str">
        <f>IF(Sequences!$B$5="","",Sequences!$E$5)</f>
        <v>IU Auditorium — Stage</v>
      </c>
    </row>
    <row r="62" spans="1:8" x14ac:dyDescent="0.2">
      <c r="A62" s="35" t="str">
        <f>IF(Sequences!$B$6="","",Sequences!$F$2)</f>
        <v>Saturday</v>
      </c>
      <c r="B62" s="35" t="str">
        <f>IF(Sequences!$B$6="","",Sequences!$A$2)</f>
        <v>Saturday Practice</v>
      </c>
      <c r="C62" s="20">
        <f>IF(Sequences!$B$6="","",'Slot Times'!$B$6)</f>
        <v>5</v>
      </c>
      <c r="D62" s="35" t="str">
        <f>IF(Sequences!$B$6="","",'Slot Times'!$G$6)</f>
        <v>(not drawn)</v>
      </c>
      <c r="E62" s="35" t="str">
        <f>IF(Sequences!$B$6="","",Sequences!$B$6)</f>
        <v>Walk to Viewing</v>
      </c>
      <c r="F62" s="34">
        <f>IF(OR(Sequences!$B$6="",'Slot Times'!$F$6=""),"",'Slot Times'!$F$6+Sequences!$C$6/1440)</f>
        <v>0.43402777777777779</v>
      </c>
      <c r="G62" s="34">
        <f>IF($F62="","",$F62+Sequences!$D$6/1440)</f>
        <v>0.44097222222222221</v>
      </c>
      <c r="H62" s="35" t="str">
        <f>IF(Sequences!$B$6="","",Sequences!$E$6)</f>
        <v>IU Auditorium</v>
      </c>
    </row>
    <row r="63" spans="1:8" x14ac:dyDescent="0.2">
      <c r="A63" s="35" t="str">
        <f>IF(Sequences!$B$7="","",Sequences!$F$2)</f>
        <v>Saturday</v>
      </c>
      <c r="B63" s="35" t="str">
        <f>IF(Sequences!$B$7="","",Sequences!$A$2)</f>
        <v>Saturday Practice</v>
      </c>
      <c r="C63" s="20">
        <f>IF(Sequences!$B$7="","",'Slot Times'!$B$6)</f>
        <v>5</v>
      </c>
      <c r="D63" s="35" t="str">
        <f>IF(Sequences!$B$7="","",'Slot Times'!$G$6)</f>
        <v>(not drawn)</v>
      </c>
      <c r="E63" s="35" t="str">
        <f>IF(Sequences!$B$7="","",Sequences!$B$7)</f>
        <v>Viewing Room</v>
      </c>
      <c r="F63" s="34">
        <f>IF(OR(Sequences!$B$7="",'Slot Times'!$F$6=""),"",'Slot Times'!$F$6+Sequences!$C$7/1440)</f>
        <v>0.44097222222222221</v>
      </c>
      <c r="G63" s="34">
        <f>IF($F63="","",$F63+Sequences!$D$7/1440)</f>
        <v>0.4548611111111111</v>
      </c>
      <c r="H63" s="35" t="str">
        <f>IF(Sequences!$B$7="","",Sequences!$E$7)</f>
        <v>IU Auditorium — Viewing Room</v>
      </c>
    </row>
    <row r="64" spans="1:8" x14ac:dyDescent="0.2">
      <c r="A64" s="35" t="str">
        <f>IF(Sequences!$B$8="","",Sequences!$F$2)</f>
        <v>Saturday</v>
      </c>
      <c r="B64" s="35" t="str">
        <f>IF(Sequences!$B$8="","",Sequences!$A$2)</f>
        <v>Saturday Practice</v>
      </c>
      <c r="C64" s="20">
        <f>IF(Sequences!$B$8="","",'Slot Times'!$B$6)</f>
        <v>5</v>
      </c>
      <c r="D64" s="35" t="str">
        <f>IF(Sequences!$B$8="","",'Slot Times'!$G$6)</f>
        <v>(not drawn)</v>
      </c>
      <c r="E64" s="35" t="str">
        <f>IF(Sequences!$B$8="","",Sequences!$B$8)</f>
        <v>Walk to Off-Stage</v>
      </c>
      <c r="F64" s="34">
        <f>IF(OR(Sequences!$B$8="",'Slot Times'!$F$6=""),"",'Slot Times'!$F$6+Sequences!$C$8/1440)</f>
        <v>0.4548611111111111</v>
      </c>
      <c r="G64" s="34">
        <f>IF($F64="","",$F64+Sequences!$D$8/1440)</f>
        <v>0.46527777777777779</v>
      </c>
      <c r="H64" s="35" t="str">
        <f>IF(Sequences!$B$8="","",Sequences!$E$8)</f>
        <v>Intramural Fieldhouse</v>
      </c>
    </row>
    <row r="65" spans="1:8" x14ac:dyDescent="0.2">
      <c r="A65" s="35" t="str">
        <f>IF(Sequences!$B$9="","",Sequences!$F$2)</f>
        <v>Saturday</v>
      </c>
      <c r="B65" s="35" t="str">
        <f>IF(Sequences!$B$9="","",Sequences!$A$2)</f>
        <v>Saturday Practice</v>
      </c>
      <c r="C65" s="20">
        <f>IF(Sequences!$B$9="","",'Slot Times'!$B$6)</f>
        <v>5</v>
      </c>
      <c r="D65" s="35" t="str">
        <f>IF(Sequences!$B$9="","",'Slot Times'!$G$6)</f>
        <v>(not drawn)</v>
      </c>
      <c r="E65" s="35" t="str">
        <f>IF(Sequences!$B$9="","",Sequences!$B$9)</f>
        <v>Off-Stage Rehearsal</v>
      </c>
      <c r="F65" s="34">
        <f>IF(OR(Sequences!$B$9="",'Slot Times'!$F$6=""),"",'Slot Times'!$F$6+Sequences!$C$9/1440)</f>
        <v>0.46527777777777779</v>
      </c>
      <c r="G65" s="34">
        <f>IF($F65="","",$F65+Sequences!$D$9/1440)</f>
        <v>0.47916666666666669</v>
      </c>
      <c r="H65" s="35" t="str">
        <f>IF(Sequences!$B$9="","",Sequences!$E$9)</f>
        <v>Intramural Fieldhouse</v>
      </c>
    </row>
    <row r="66" spans="1:8" x14ac:dyDescent="0.2">
      <c r="A66" s="35" t="str">
        <f>IF(Sequences!$B$10="","",Sequences!$F$2)</f>
        <v>Saturday</v>
      </c>
      <c r="B66" s="35" t="str">
        <f>IF(Sequences!$B$10="","",Sequences!$A$2)</f>
        <v>Saturday Practice</v>
      </c>
      <c r="C66" s="20">
        <f>IF(Sequences!$B$10="","",'Slot Times'!$B$6)</f>
        <v>5</v>
      </c>
      <c r="D66" s="35" t="str">
        <f>IF(Sequences!$B$10="","",'Slot Times'!$G$6)</f>
        <v>(not drawn)</v>
      </c>
      <c r="E66" s="35" t="str">
        <f>IF(Sequences!$B$10="","",Sequences!$B$10)</f>
        <v>Load Vans (return)</v>
      </c>
      <c r="F66" s="34">
        <f>IF(OR(Sequences!$B$10="",'Slot Times'!$F$6=""),"",'Slot Times'!$F$6+Sequences!$C$10/1440)</f>
        <v>0.47916666666666663</v>
      </c>
      <c r="G66" s="34">
        <f>IF($F66="","",$F66+Sequences!$D$10/1440)</f>
        <v>0.48611111111111105</v>
      </c>
      <c r="H66" s="35" t="str">
        <f>IF(Sequences!$B$10="","",Sequences!$E$10)</f>
        <v>Intramural Fieldhouse</v>
      </c>
    </row>
    <row r="67" spans="1:8" x14ac:dyDescent="0.2">
      <c r="A67" s="35" t="str">
        <f>IF(Sequences!$B$11="","",Sequences!$F$2)</f>
        <v>Saturday</v>
      </c>
      <c r="B67" s="35" t="str">
        <f>IF(Sequences!$B$11="","",Sequences!$A$2)</f>
        <v>Saturday Practice</v>
      </c>
      <c r="C67" s="20">
        <f>IF(Sequences!$B$11="","",'Slot Times'!$B$6)</f>
        <v>5</v>
      </c>
      <c r="D67" s="35" t="str">
        <f>IF(Sequences!$B$11="","",'Slot Times'!$G$6)</f>
        <v>(not drawn)</v>
      </c>
      <c r="E67" s="35" t="str">
        <f>IF(Sequences!$B$11="","",Sequences!$B$11)</f>
        <v>Leave Fieldhouse</v>
      </c>
      <c r="F67" s="34">
        <f>IF(OR(Sequences!$B$11="",'Slot Times'!$F$6=""),"",'Slot Times'!$F$6+Sequences!$C$11/1440)</f>
        <v>0.4861111111111111</v>
      </c>
      <c r="G67" s="34">
        <f>IF($F67="","",$F67+Sequences!$D$11/1440)</f>
        <v>0.49652777777777779</v>
      </c>
      <c r="H67" s="35" t="str">
        <f>IF(Sequences!$B$11="","",Sequences!$E$11)</f>
        <v>In transit</v>
      </c>
    </row>
    <row r="68" spans="1:8" x14ac:dyDescent="0.2">
      <c r="A68" s="35" t="str">
        <f>IF(Sequences!$B$12="","",Sequences!$F$2)</f>
        <v/>
      </c>
      <c r="B68" s="35" t="str">
        <f>IF(Sequences!$B$12="","",Sequences!$A$2)</f>
        <v/>
      </c>
      <c r="C68" s="20" t="str">
        <f>IF(Sequences!$B$12="","",'Slot Times'!$B$6)</f>
        <v/>
      </c>
      <c r="D68" s="35" t="str">
        <f>IF(Sequences!$B$12="","",'Slot Times'!$G$6)</f>
        <v/>
      </c>
      <c r="E68" s="35" t="str">
        <f>IF(Sequences!$B$12="","",Sequences!$B$12)</f>
        <v/>
      </c>
      <c r="F68" s="34" t="str">
        <f>IF(OR(Sequences!$B$12="",'Slot Times'!$F$6=""),"",'Slot Times'!$F$6+Sequences!$C$12/1440)</f>
        <v/>
      </c>
      <c r="G68" s="34" t="str">
        <f>IF($F68="","",$F68+Sequences!$D$12/1440)</f>
        <v/>
      </c>
      <c r="H68" s="35" t="str">
        <f>IF(Sequences!$B$12="","",Sequences!$E$12)</f>
        <v/>
      </c>
    </row>
    <row r="69" spans="1:8" x14ac:dyDescent="0.2">
      <c r="A69" s="35" t="str">
        <f>IF(Sequences!$B$13="","",Sequences!$F$2)</f>
        <v/>
      </c>
      <c r="B69" s="35" t="str">
        <f>IF(Sequences!$B$13="","",Sequences!$A$2)</f>
        <v/>
      </c>
      <c r="C69" s="20" t="str">
        <f>IF(Sequences!$B$13="","",'Slot Times'!$B$6)</f>
        <v/>
      </c>
      <c r="D69" s="35" t="str">
        <f>IF(Sequences!$B$13="","",'Slot Times'!$G$6)</f>
        <v/>
      </c>
      <c r="E69" s="35" t="str">
        <f>IF(Sequences!$B$13="","",Sequences!$B$13)</f>
        <v/>
      </c>
      <c r="F69" s="34" t="str">
        <f>IF(OR(Sequences!$B$13="",'Slot Times'!$F$6=""),"",'Slot Times'!$F$6+Sequences!$C$13/1440)</f>
        <v/>
      </c>
      <c r="G69" s="34" t="str">
        <f>IF($F69="","",$F69+Sequences!$D$13/1440)</f>
        <v/>
      </c>
      <c r="H69" s="35" t="str">
        <f>IF(Sequences!$B$13="","",Sequences!$E$13)</f>
        <v/>
      </c>
    </row>
    <row r="70" spans="1:8" x14ac:dyDescent="0.2">
      <c r="A70" s="35" t="str">
        <f>IF(Sequences!$B$14="","",Sequences!$F$2)</f>
        <v/>
      </c>
      <c r="B70" s="35" t="str">
        <f>IF(Sequences!$B$14="","",Sequences!$A$2)</f>
        <v/>
      </c>
      <c r="C70" s="20" t="str">
        <f>IF(Sequences!$B$14="","",'Slot Times'!$B$6)</f>
        <v/>
      </c>
      <c r="D70" s="35" t="str">
        <f>IF(Sequences!$B$14="","",'Slot Times'!$G$6)</f>
        <v/>
      </c>
      <c r="E70" s="35" t="str">
        <f>IF(Sequences!$B$14="","",Sequences!$B$14)</f>
        <v/>
      </c>
      <c r="F70" s="34" t="str">
        <f>IF(OR(Sequences!$B$14="",'Slot Times'!$F$6=""),"",'Slot Times'!$F$6+Sequences!$C$14/1440)</f>
        <v/>
      </c>
      <c r="G70" s="34" t="str">
        <f>IF($F70="","",$F70+Sequences!$D$14/1440)</f>
        <v/>
      </c>
      <c r="H70" s="35" t="str">
        <f>IF(Sequences!$B$14="","",Sequences!$E$14)</f>
        <v/>
      </c>
    </row>
    <row r="71" spans="1:8" x14ac:dyDescent="0.2">
      <c r="A71" s="35" t="str">
        <f>IF(Sequences!$B$15="","",Sequences!$F$2)</f>
        <v/>
      </c>
      <c r="B71" s="35" t="str">
        <f>IF(Sequences!$B$15="","",Sequences!$A$2)</f>
        <v/>
      </c>
      <c r="C71" s="20" t="str">
        <f>IF(Sequences!$B$15="","",'Slot Times'!$B$6)</f>
        <v/>
      </c>
      <c r="D71" s="35" t="str">
        <f>IF(Sequences!$B$15="","",'Slot Times'!$G$6)</f>
        <v/>
      </c>
      <c r="E71" s="35" t="str">
        <f>IF(Sequences!$B$15="","",Sequences!$B$15)</f>
        <v/>
      </c>
      <c r="F71" s="34" t="str">
        <f>IF(OR(Sequences!$B$15="",'Slot Times'!$F$6=""),"",'Slot Times'!$F$6+Sequences!$C$15/1440)</f>
        <v/>
      </c>
      <c r="G71" s="34" t="str">
        <f>IF($F71="","",$F71+Sequences!$D$15/1440)</f>
        <v/>
      </c>
      <c r="H71" s="35" t="str">
        <f>IF(Sequences!$B$15="","",Sequences!$E$15)</f>
        <v/>
      </c>
    </row>
    <row r="72" spans="1:8" x14ac:dyDescent="0.2">
      <c r="A72" s="35" t="str">
        <f>IF(Sequences!$B$2="","",Sequences!$F$2)</f>
        <v>Saturday</v>
      </c>
      <c r="B72" s="35" t="str">
        <f>IF(Sequences!$B$2="","",Sequences!$A$2)</f>
        <v>Saturday Practice</v>
      </c>
      <c r="C72" s="20">
        <f>IF(Sequences!$B$2="","",'Slot Times'!$B$7)</f>
        <v>6</v>
      </c>
      <c r="D72" s="35" t="str">
        <f>IF(Sequences!$B$2="","",'Slot Times'!$G$7)</f>
        <v>(not drawn)</v>
      </c>
      <c r="E72" s="35" t="str">
        <f>IF(Sequences!$B$2="","",Sequences!$B$2)</f>
        <v>Report to Lobby</v>
      </c>
      <c r="F72" s="34">
        <f>IF(OR(Sequences!$B$2="",'Slot Times'!$F$7=""),"",'Slot Times'!$F$7+Sequences!$C$2/1440)</f>
        <v>0.41319444444444442</v>
      </c>
      <c r="G72" s="34">
        <f>IF($F72="","",$F72+Sequences!$D$2/1440)</f>
        <v>0.41666666666666663</v>
      </c>
      <c r="H72" s="35" t="str">
        <f>IF(Sequences!$B$2="","",Sequences!$E$2)</f>
        <v>Courtyard Marriott — Lobby</v>
      </c>
    </row>
    <row r="73" spans="1:8" x14ac:dyDescent="0.2">
      <c r="A73" s="35" t="str">
        <f>IF(Sequences!$B$3="","",Sequences!$F$2)</f>
        <v>Saturday</v>
      </c>
      <c r="B73" s="35" t="str">
        <f>IF(Sequences!$B$3="","",Sequences!$A$2)</f>
        <v>Saturday Practice</v>
      </c>
      <c r="C73" s="20">
        <f>IF(Sequences!$B$3="","",'Slot Times'!$B$7)</f>
        <v>6</v>
      </c>
      <c r="D73" s="35" t="str">
        <f>IF(Sequences!$B$3="","",'Slot Times'!$G$7)</f>
        <v>(not drawn)</v>
      </c>
      <c r="E73" s="35" t="str">
        <f>IF(Sequences!$B$3="","",Sequences!$B$3)</f>
        <v>Load Vans</v>
      </c>
      <c r="F73" s="34">
        <f>IF(OR(Sequences!$B$3="",'Slot Times'!$F$7=""),"",'Slot Times'!$F$7+Sequences!$C$3/1440)</f>
        <v>0.41666666666666663</v>
      </c>
      <c r="G73" s="34">
        <f>IF($F73="","",$F73+Sequences!$D$3/1440)</f>
        <v>0.42361111111111105</v>
      </c>
      <c r="H73" s="35" t="str">
        <f>IF(Sequences!$B$3="","",Sequences!$E$3)</f>
        <v>Courtyard Marriott — Garage</v>
      </c>
    </row>
    <row r="74" spans="1:8" x14ac:dyDescent="0.2">
      <c r="A74" s="35" t="str">
        <f>IF(Sequences!$B$4="","",Sequences!$F$2)</f>
        <v>Saturday</v>
      </c>
      <c r="B74" s="35" t="str">
        <f>IF(Sequences!$B$4="","",Sequences!$A$2)</f>
        <v>Saturday Practice</v>
      </c>
      <c r="C74" s="20">
        <f>IF(Sequences!$B$4="","",'Slot Times'!$B$7)</f>
        <v>6</v>
      </c>
      <c r="D74" s="35" t="str">
        <f>IF(Sequences!$B$4="","",'Slot Times'!$G$7)</f>
        <v>(not drawn)</v>
      </c>
      <c r="E74" s="35" t="str">
        <f>IF(Sequences!$B$4="","",Sequences!$B$4)</f>
        <v>Leave Hotel</v>
      </c>
      <c r="F74" s="34">
        <f>IF(OR(Sequences!$B$4="",'Slot Times'!$F$7=""),"",'Slot Times'!$F$7+Sequences!$C$4/1440)</f>
        <v>0.4236111111111111</v>
      </c>
      <c r="G74" s="34">
        <f>IF($F74="","",$F74+Sequences!$D$4/1440)</f>
        <v>0.4375</v>
      </c>
      <c r="H74" s="35" t="str">
        <f>IF(Sequences!$B$4="","",Sequences!$E$4)</f>
        <v>In transit</v>
      </c>
    </row>
    <row r="75" spans="1:8" x14ac:dyDescent="0.2">
      <c r="A75" s="35" t="str">
        <f>IF(Sequences!$B$5="","",Sequences!$F$2)</f>
        <v>Saturday</v>
      </c>
      <c r="B75" s="35" t="str">
        <f>IF(Sequences!$B$5="","",Sequences!$A$2)</f>
        <v>Saturday Practice</v>
      </c>
      <c r="C75" s="20">
        <f>IF(Sequences!$B$5="","",'Slot Times'!$B$7)</f>
        <v>6</v>
      </c>
      <c r="D75" s="35" t="str">
        <f>IF(Sequences!$B$5="","",'Slot Times'!$G$7)</f>
        <v>(not drawn)</v>
      </c>
      <c r="E75" s="35" t="str">
        <f>IF(Sequences!$B$5="","",Sequences!$B$5)</f>
        <v>On-Stage Rehearsal</v>
      </c>
      <c r="F75" s="34">
        <f>IF(OR(Sequences!$B$5="",'Slot Times'!$F$7=""),"",'Slot Times'!$F$7+Sequences!$C$5/1440)</f>
        <v>0.4375</v>
      </c>
      <c r="G75" s="34">
        <f>IF($F75="","",$F75+Sequences!$D$5/1440)</f>
        <v>0.4513888888888889</v>
      </c>
      <c r="H75" s="35" t="str">
        <f>IF(Sequences!$B$5="","",Sequences!$E$5)</f>
        <v>IU Auditorium — Stage</v>
      </c>
    </row>
    <row r="76" spans="1:8" x14ac:dyDescent="0.2">
      <c r="A76" s="35" t="str">
        <f>IF(Sequences!$B$6="","",Sequences!$F$2)</f>
        <v>Saturday</v>
      </c>
      <c r="B76" s="35" t="str">
        <f>IF(Sequences!$B$6="","",Sequences!$A$2)</f>
        <v>Saturday Practice</v>
      </c>
      <c r="C76" s="20">
        <f>IF(Sequences!$B$6="","",'Slot Times'!$B$7)</f>
        <v>6</v>
      </c>
      <c r="D76" s="35" t="str">
        <f>IF(Sequences!$B$6="","",'Slot Times'!$G$7)</f>
        <v>(not drawn)</v>
      </c>
      <c r="E76" s="35" t="str">
        <f>IF(Sequences!$B$6="","",Sequences!$B$6)</f>
        <v>Walk to Viewing</v>
      </c>
      <c r="F76" s="34">
        <f>IF(OR(Sequences!$B$6="",'Slot Times'!$F$7=""),"",'Slot Times'!$F$7+Sequences!$C$6/1440)</f>
        <v>0.45138888888888884</v>
      </c>
      <c r="G76" s="34">
        <f>IF($F76="","",$F76+Sequences!$D$6/1440)</f>
        <v>0.45833333333333326</v>
      </c>
      <c r="H76" s="35" t="str">
        <f>IF(Sequences!$B$6="","",Sequences!$E$6)</f>
        <v>IU Auditorium</v>
      </c>
    </row>
    <row r="77" spans="1:8" x14ac:dyDescent="0.2">
      <c r="A77" s="35" t="str">
        <f>IF(Sequences!$B$7="","",Sequences!$F$2)</f>
        <v>Saturday</v>
      </c>
      <c r="B77" s="35" t="str">
        <f>IF(Sequences!$B$7="","",Sequences!$A$2)</f>
        <v>Saturday Practice</v>
      </c>
      <c r="C77" s="20">
        <f>IF(Sequences!$B$7="","",'Slot Times'!$B$7)</f>
        <v>6</v>
      </c>
      <c r="D77" s="35" t="str">
        <f>IF(Sequences!$B$7="","",'Slot Times'!$G$7)</f>
        <v>(not drawn)</v>
      </c>
      <c r="E77" s="35" t="str">
        <f>IF(Sequences!$B$7="","",Sequences!$B$7)</f>
        <v>Viewing Room</v>
      </c>
      <c r="F77" s="34">
        <f>IF(OR(Sequences!$B$7="",'Slot Times'!$F$7=""),"",'Slot Times'!$F$7+Sequences!$C$7/1440)</f>
        <v>0.45833333333333331</v>
      </c>
      <c r="G77" s="34">
        <f>IF($F77="","",$F77+Sequences!$D$7/1440)</f>
        <v>0.47222222222222221</v>
      </c>
      <c r="H77" s="35" t="str">
        <f>IF(Sequences!$B$7="","",Sequences!$E$7)</f>
        <v>IU Auditorium — Viewing Room</v>
      </c>
    </row>
    <row r="78" spans="1:8" x14ac:dyDescent="0.2">
      <c r="A78" s="35" t="str">
        <f>IF(Sequences!$B$8="","",Sequences!$F$2)</f>
        <v>Saturday</v>
      </c>
      <c r="B78" s="35" t="str">
        <f>IF(Sequences!$B$8="","",Sequences!$A$2)</f>
        <v>Saturday Practice</v>
      </c>
      <c r="C78" s="20">
        <f>IF(Sequences!$B$8="","",'Slot Times'!$B$7)</f>
        <v>6</v>
      </c>
      <c r="D78" s="35" t="str">
        <f>IF(Sequences!$B$8="","",'Slot Times'!$G$7)</f>
        <v>(not drawn)</v>
      </c>
      <c r="E78" s="35" t="str">
        <f>IF(Sequences!$B$8="","",Sequences!$B$8)</f>
        <v>Walk to Off-Stage</v>
      </c>
      <c r="F78" s="34">
        <f>IF(OR(Sequences!$B$8="",'Slot Times'!$F$7=""),"",'Slot Times'!$F$7+Sequences!$C$8/1440)</f>
        <v>0.47222222222222221</v>
      </c>
      <c r="G78" s="34">
        <f>IF($F78="","",$F78+Sequences!$D$8/1440)</f>
        <v>0.4826388888888889</v>
      </c>
      <c r="H78" s="35" t="str">
        <f>IF(Sequences!$B$8="","",Sequences!$E$8)</f>
        <v>Intramural Fieldhouse</v>
      </c>
    </row>
    <row r="79" spans="1:8" x14ac:dyDescent="0.2">
      <c r="A79" s="35" t="str">
        <f>IF(Sequences!$B$9="","",Sequences!$F$2)</f>
        <v>Saturday</v>
      </c>
      <c r="B79" s="35" t="str">
        <f>IF(Sequences!$B$9="","",Sequences!$A$2)</f>
        <v>Saturday Practice</v>
      </c>
      <c r="C79" s="20">
        <f>IF(Sequences!$B$9="","",'Slot Times'!$B$7)</f>
        <v>6</v>
      </c>
      <c r="D79" s="35" t="str">
        <f>IF(Sequences!$B$9="","",'Slot Times'!$G$7)</f>
        <v>(not drawn)</v>
      </c>
      <c r="E79" s="35" t="str">
        <f>IF(Sequences!$B$9="","",Sequences!$B$9)</f>
        <v>Off-Stage Rehearsal</v>
      </c>
      <c r="F79" s="34">
        <f>IF(OR(Sequences!$B$9="",'Slot Times'!$F$7=""),"",'Slot Times'!$F$7+Sequences!$C$9/1440)</f>
        <v>0.48263888888888884</v>
      </c>
      <c r="G79" s="34">
        <f>IF($F79="","",$F79+Sequences!$D$9/1440)</f>
        <v>0.49652777777777773</v>
      </c>
      <c r="H79" s="35" t="str">
        <f>IF(Sequences!$B$9="","",Sequences!$E$9)</f>
        <v>Intramural Fieldhouse</v>
      </c>
    </row>
    <row r="80" spans="1:8" x14ac:dyDescent="0.2">
      <c r="A80" s="35" t="str">
        <f>IF(Sequences!$B$10="","",Sequences!$F$2)</f>
        <v>Saturday</v>
      </c>
      <c r="B80" s="35" t="str">
        <f>IF(Sequences!$B$10="","",Sequences!$A$2)</f>
        <v>Saturday Practice</v>
      </c>
      <c r="C80" s="20">
        <f>IF(Sequences!$B$10="","",'Slot Times'!$B$7)</f>
        <v>6</v>
      </c>
      <c r="D80" s="35" t="str">
        <f>IF(Sequences!$B$10="","",'Slot Times'!$G$7)</f>
        <v>(not drawn)</v>
      </c>
      <c r="E80" s="35" t="str">
        <f>IF(Sequences!$B$10="","",Sequences!$B$10)</f>
        <v>Load Vans (return)</v>
      </c>
      <c r="F80" s="34">
        <f>IF(OR(Sequences!$B$10="",'Slot Times'!$F$7=""),"",'Slot Times'!$F$7+Sequences!$C$10/1440)</f>
        <v>0.49652777777777773</v>
      </c>
      <c r="G80" s="34">
        <f>IF($F80="","",$F80+Sequences!$D$10/1440)</f>
        <v>0.50347222222222221</v>
      </c>
      <c r="H80" s="35" t="str">
        <f>IF(Sequences!$B$10="","",Sequences!$E$10)</f>
        <v>Intramural Fieldhouse</v>
      </c>
    </row>
    <row r="81" spans="1:8" x14ac:dyDescent="0.2">
      <c r="A81" s="35" t="str">
        <f>IF(Sequences!$B$11="","",Sequences!$F$2)</f>
        <v>Saturday</v>
      </c>
      <c r="B81" s="35" t="str">
        <f>IF(Sequences!$B$11="","",Sequences!$A$2)</f>
        <v>Saturday Practice</v>
      </c>
      <c r="C81" s="20">
        <f>IF(Sequences!$B$11="","",'Slot Times'!$B$7)</f>
        <v>6</v>
      </c>
      <c r="D81" s="35" t="str">
        <f>IF(Sequences!$B$11="","",'Slot Times'!$G$7)</f>
        <v>(not drawn)</v>
      </c>
      <c r="E81" s="35" t="str">
        <f>IF(Sequences!$B$11="","",Sequences!$B$11)</f>
        <v>Leave Fieldhouse</v>
      </c>
      <c r="F81" s="34">
        <f>IF(OR(Sequences!$B$11="",'Slot Times'!$F$7=""),"",'Slot Times'!$F$7+Sequences!$C$11/1440)</f>
        <v>0.50347222222222221</v>
      </c>
      <c r="G81" s="34">
        <f>IF($F81="","",$F81+Sequences!$D$11/1440)</f>
        <v>0.51388888888888884</v>
      </c>
      <c r="H81" s="35" t="str">
        <f>IF(Sequences!$B$11="","",Sequences!$E$11)</f>
        <v>In transit</v>
      </c>
    </row>
    <row r="82" spans="1:8" x14ac:dyDescent="0.2">
      <c r="A82" s="35" t="str">
        <f>IF(Sequences!$B$12="","",Sequences!$F$2)</f>
        <v/>
      </c>
      <c r="B82" s="35" t="str">
        <f>IF(Sequences!$B$12="","",Sequences!$A$2)</f>
        <v/>
      </c>
      <c r="C82" s="20" t="str">
        <f>IF(Sequences!$B$12="","",'Slot Times'!$B$7)</f>
        <v/>
      </c>
      <c r="D82" s="35" t="str">
        <f>IF(Sequences!$B$12="","",'Slot Times'!$G$7)</f>
        <v/>
      </c>
      <c r="E82" s="35" t="str">
        <f>IF(Sequences!$B$12="","",Sequences!$B$12)</f>
        <v/>
      </c>
      <c r="F82" s="34" t="str">
        <f>IF(OR(Sequences!$B$12="",'Slot Times'!$F$7=""),"",'Slot Times'!$F$7+Sequences!$C$12/1440)</f>
        <v/>
      </c>
      <c r="G82" s="34" t="str">
        <f>IF($F82="","",$F82+Sequences!$D$12/1440)</f>
        <v/>
      </c>
      <c r="H82" s="35" t="str">
        <f>IF(Sequences!$B$12="","",Sequences!$E$12)</f>
        <v/>
      </c>
    </row>
    <row r="83" spans="1:8" x14ac:dyDescent="0.2">
      <c r="A83" s="35" t="str">
        <f>IF(Sequences!$B$13="","",Sequences!$F$2)</f>
        <v/>
      </c>
      <c r="B83" s="35" t="str">
        <f>IF(Sequences!$B$13="","",Sequences!$A$2)</f>
        <v/>
      </c>
      <c r="C83" s="20" t="str">
        <f>IF(Sequences!$B$13="","",'Slot Times'!$B$7)</f>
        <v/>
      </c>
      <c r="D83" s="35" t="str">
        <f>IF(Sequences!$B$13="","",'Slot Times'!$G$7)</f>
        <v/>
      </c>
      <c r="E83" s="35" t="str">
        <f>IF(Sequences!$B$13="","",Sequences!$B$13)</f>
        <v/>
      </c>
      <c r="F83" s="34" t="str">
        <f>IF(OR(Sequences!$B$13="",'Slot Times'!$F$7=""),"",'Slot Times'!$F$7+Sequences!$C$13/1440)</f>
        <v/>
      </c>
      <c r="G83" s="34" t="str">
        <f>IF($F83="","",$F83+Sequences!$D$13/1440)</f>
        <v/>
      </c>
      <c r="H83" s="35" t="str">
        <f>IF(Sequences!$B$13="","",Sequences!$E$13)</f>
        <v/>
      </c>
    </row>
    <row r="84" spans="1:8" x14ac:dyDescent="0.2">
      <c r="A84" s="35" t="str">
        <f>IF(Sequences!$B$14="","",Sequences!$F$2)</f>
        <v/>
      </c>
      <c r="B84" s="35" t="str">
        <f>IF(Sequences!$B$14="","",Sequences!$A$2)</f>
        <v/>
      </c>
      <c r="C84" s="20" t="str">
        <f>IF(Sequences!$B$14="","",'Slot Times'!$B$7)</f>
        <v/>
      </c>
      <c r="D84" s="35" t="str">
        <f>IF(Sequences!$B$14="","",'Slot Times'!$G$7)</f>
        <v/>
      </c>
      <c r="E84" s="35" t="str">
        <f>IF(Sequences!$B$14="","",Sequences!$B$14)</f>
        <v/>
      </c>
      <c r="F84" s="34" t="str">
        <f>IF(OR(Sequences!$B$14="",'Slot Times'!$F$7=""),"",'Slot Times'!$F$7+Sequences!$C$14/1440)</f>
        <v/>
      </c>
      <c r="G84" s="34" t="str">
        <f>IF($F84="","",$F84+Sequences!$D$14/1440)</f>
        <v/>
      </c>
      <c r="H84" s="35" t="str">
        <f>IF(Sequences!$B$14="","",Sequences!$E$14)</f>
        <v/>
      </c>
    </row>
    <row r="85" spans="1:8" x14ac:dyDescent="0.2">
      <c r="A85" s="35" t="str">
        <f>IF(Sequences!$B$15="","",Sequences!$F$2)</f>
        <v/>
      </c>
      <c r="B85" s="35" t="str">
        <f>IF(Sequences!$B$15="","",Sequences!$A$2)</f>
        <v/>
      </c>
      <c r="C85" s="20" t="str">
        <f>IF(Sequences!$B$15="","",'Slot Times'!$B$7)</f>
        <v/>
      </c>
      <c r="D85" s="35" t="str">
        <f>IF(Sequences!$B$15="","",'Slot Times'!$G$7)</f>
        <v/>
      </c>
      <c r="E85" s="35" t="str">
        <f>IF(Sequences!$B$15="","",Sequences!$B$15)</f>
        <v/>
      </c>
      <c r="F85" s="34" t="str">
        <f>IF(OR(Sequences!$B$15="",'Slot Times'!$F$7=""),"",'Slot Times'!$F$7+Sequences!$C$15/1440)</f>
        <v/>
      </c>
      <c r="G85" s="34" t="str">
        <f>IF($F85="","",$F85+Sequences!$D$15/1440)</f>
        <v/>
      </c>
      <c r="H85" s="35" t="str">
        <f>IF(Sequences!$B$15="","",Sequences!$E$15)</f>
        <v/>
      </c>
    </row>
    <row r="86" spans="1:8" x14ac:dyDescent="0.2">
      <c r="A86" s="35" t="str">
        <f>IF(Sequences!$B$2="","",Sequences!$F$2)</f>
        <v>Saturday</v>
      </c>
      <c r="B86" s="35" t="str">
        <f>IF(Sequences!$B$2="","",Sequences!$A$2)</f>
        <v>Saturday Practice</v>
      </c>
      <c r="C86" s="20">
        <f>IF(Sequences!$B$2="","",'Slot Times'!$B$8)</f>
        <v>7</v>
      </c>
      <c r="D86" s="35" t="str">
        <f>IF(Sequences!$B$2="","",'Slot Times'!$G$8)</f>
        <v>(not drawn)</v>
      </c>
      <c r="E86" s="35" t="str">
        <f>IF(Sequences!$B$2="","",Sequences!$B$2)</f>
        <v>Report to Lobby</v>
      </c>
      <c r="F86" s="34">
        <f>IF(OR(Sequences!$B$2="",'Slot Times'!$F$8=""),"",'Slot Times'!$F$8+Sequences!$C$2/1440)</f>
        <v>0.43055555555555552</v>
      </c>
      <c r="G86" s="34">
        <f>IF($F86="","",$F86+Sequences!$D$2/1440)</f>
        <v>0.43402777777777773</v>
      </c>
      <c r="H86" s="35" t="str">
        <f>IF(Sequences!$B$2="","",Sequences!$E$2)</f>
        <v>Courtyard Marriott — Lobby</v>
      </c>
    </row>
    <row r="87" spans="1:8" x14ac:dyDescent="0.2">
      <c r="A87" s="35" t="str">
        <f>IF(Sequences!$B$3="","",Sequences!$F$2)</f>
        <v>Saturday</v>
      </c>
      <c r="B87" s="35" t="str">
        <f>IF(Sequences!$B$3="","",Sequences!$A$2)</f>
        <v>Saturday Practice</v>
      </c>
      <c r="C87" s="20">
        <f>IF(Sequences!$B$3="","",'Slot Times'!$B$8)</f>
        <v>7</v>
      </c>
      <c r="D87" s="35" t="str">
        <f>IF(Sequences!$B$3="","",'Slot Times'!$G$8)</f>
        <v>(not drawn)</v>
      </c>
      <c r="E87" s="35" t="str">
        <f>IF(Sequences!$B$3="","",Sequences!$B$3)</f>
        <v>Load Vans</v>
      </c>
      <c r="F87" s="34">
        <f>IF(OR(Sequences!$B$3="",'Slot Times'!$F$8=""),"",'Slot Times'!$F$8+Sequences!$C$3/1440)</f>
        <v>0.43402777777777773</v>
      </c>
      <c r="G87" s="34">
        <f>IF($F87="","",$F87+Sequences!$D$3/1440)</f>
        <v>0.44097222222222215</v>
      </c>
      <c r="H87" s="35" t="str">
        <f>IF(Sequences!$B$3="","",Sequences!$E$3)</f>
        <v>Courtyard Marriott — Garage</v>
      </c>
    </row>
    <row r="88" spans="1:8" x14ac:dyDescent="0.2">
      <c r="A88" s="35" t="str">
        <f>IF(Sequences!$B$4="","",Sequences!$F$2)</f>
        <v>Saturday</v>
      </c>
      <c r="B88" s="35" t="str">
        <f>IF(Sequences!$B$4="","",Sequences!$A$2)</f>
        <v>Saturday Practice</v>
      </c>
      <c r="C88" s="20">
        <f>IF(Sequences!$B$4="","",'Slot Times'!$B$8)</f>
        <v>7</v>
      </c>
      <c r="D88" s="35" t="str">
        <f>IF(Sequences!$B$4="","",'Slot Times'!$G$8)</f>
        <v>(not drawn)</v>
      </c>
      <c r="E88" s="35" t="str">
        <f>IF(Sequences!$B$4="","",Sequences!$B$4)</f>
        <v>Leave Hotel</v>
      </c>
      <c r="F88" s="34">
        <f>IF(OR(Sequences!$B$4="",'Slot Times'!$F$8=""),"",'Slot Times'!$F$8+Sequences!$C$4/1440)</f>
        <v>0.44097222222222221</v>
      </c>
      <c r="G88" s="34">
        <f>IF($F88="","",$F88+Sequences!$D$4/1440)</f>
        <v>0.4548611111111111</v>
      </c>
      <c r="H88" s="35" t="str">
        <f>IF(Sequences!$B$4="","",Sequences!$E$4)</f>
        <v>In transit</v>
      </c>
    </row>
    <row r="89" spans="1:8" x14ac:dyDescent="0.2">
      <c r="A89" s="35" t="str">
        <f>IF(Sequences!$B$5="","",Sequences!$F$2)</f>
        <v>Saturday</v>
      </c>
      <c r="B89" s="35" t="str">
        <f>IF(Sequences!$B$5="","",Sequences!$A$2)</f>
        <v>Saturday Practice</v>
      </c>
      <c r="C89" s="20">
        <f>IF(Sequences!$B$5="","",'Slot Times'!$B$8)</f>
        <v>7</v>
      </c>
      <c r="D89" s="35" t="str">
        <f>IF(Sequences!$B$5="","",'Slot Times'!$G$8)</f>
        <v>(not drawn)</v>
      </c>
      <c r="E89" s="35" t="str">
        <f>IF(Sequences!$B$5="","",Sequences!$B$5)</f>
        <v>On-Stage Rehearsal</v>
      </c>
      <c r="F89" s="34">
        <f>IF(OR(Sequences!$B$5="",'Slot Times'!$F$8=""),"",'Slot Times'!$F$8+Sequences!$C$5/1440)</f>
        <v>0.4548611111111111</v>
      </c>
      <c r="G89" s="34">
        <f>IF($F89="","",$F89+Sequences!$D$5/1440)</f>
        <v>0.46875</v>
      </c>
      <c r="H89" s="35" t="str">
        <f>IF(Sequences!$B$5="","",Sequences!$E$5)</f>
        <v>IU Auditorium — Stage</v>
      </c>
    </row>
    <row r="90" spans="1:8" x14ac:dyDescent="0.2">
      <c r="A90" s="35" t="str">
        <f>IF(Sequences!$B$6="","",Sequences!$F$2)</f>
        <v>Saturday</v>
      </c>
      <c r="B90" s="35" t="str">
        <f>IF(Sequences!$B$6="","",Sequences!$A$2)</f>
        <v>Saturday Practice</v>
      </c>
      <c r="C90" s="20">
        <f>IF(Sequences!$B$6="","",'Slot Times'!$B$8)</f>
        <v>7</v>
      </c>
      <c r="D90" s="35" t="str">
        <f>IF(Sequences!$B$6="","",'Slot Times'!$G$8)</f>
        <v>(not drawn)</v>
      </c>
      <c r="E90" s="35" t="str">
        <f>IF(Sequences!$B$6="","",Sequences!$B$6)</f>
        <v>Walk to Viewing</v>
      </c>
      <c r="F90" s="34">
        <f>IF(OR(Sequences!$B$6="",'Slot Times'!$F$8=""),"",'Slot Times'!$F$8+Sequences!$C$6/1440)</f>
        <v>0.46875</v>
      </c>
      <c r="G90" s="34">
        <f>IF($F90="","",$F90+Sequences!$D$6/1440)</f>
        <v>0.47569444444444442</v>
      </c>
      <c r="H90" s="35" t="str">
        <f>IF(Sequences!$B$6="","",Sequences!$E$6)</f>
        <v>IU Auditorium</v>
      </c>
    </row>
    <row r="91" spans="1:8" x14ac:dyDescent="0.2">
      <c r="A91" s="35" t="str">
        <f>IF(Sequences!$B$7="","",Sequences!$F$2)</f>
        <v>Saturday</v>
      </c>
      <c r="B91" s="35" t="str">
        <f>IF(Sequences!$B$7="","",Sequences!$A$2)</f>
        <v>Saturday Practice</v>
      </c>
      <c r="C91" s="20">
        <f>IF(Sequences!$B$7="","",'Slot Times'!$B$8)</f>
        <v>7</v>
      </c>
      <c r="D91" s="35" t="str">
        <f>IF(Sequences!$B$7="","",'Slot Times'!$G$8)</f>
        <v>(not drawn)</v>
      </c>
      <c r="E91" s="35" t="str">
        <f>IF(Sequences!$B$7="","",Sequences!$B$7)</f>
        <v>Viewing Room</v>
      </c>
      <c r="F91" s="34">
        <f>IF(OR(Sequences!$B$7="",'Slot Times'!$F$8=""),"",'Slot Times'!$F$8+Sequences!$C$7/1440)</f>
        <v>0.47569444444444442</v>
      </c>
      <c r="G91" s="34">
        <f>IF($F91="","",$F91+Sequences!$D$7/1440)</f>
        <v>0.48958333333333331</v>
      </c>
      <c r="H91" s="35" t="str">
        <f>IF(Sequences!$B$7="","",Sequences!$E$7)</f>
        <v>IU Auditorium — Viewing Room</v>
      </c>
    </row>
    <row r="92" spans="1:8" x14ac:dyDescent="0.2">
      <c r="A92" s="35" t="str">
        <f>IF(Sequences!$B$8="","",Sequences!$F$2)</f>
        <v>Saturday</v>
      </c>
      <c r="B92" s="35" t="str">
        <f>IF(Sequences!$B$8="","",Sequences!$A$2)</f>
        <v>Saturday Practice</v>
      </c>
      <c r="C92" s="20">
        <f>IF(Sequences!$B$8="","",'Slot Times'!$B$8)</f>
        <v>7</v>
      </c>
      <c r="D92" s="35" t="str">
        <f>IF(Sequences!$B$8="","",'Slot Times'!$G$8)</f>
        <v>(not drawn)</v>
      </c>
      <c r="E92" s="35" t="str">
        <f>IF(Sequences!$B$8="","",Sequences!$B$8)</f>
        <v>Walk to Off-Stage</v>
      </c>
      <c r="F92" s="34">
        <f>IF(OR(Sequences!$B$8="",'Slot Times'!$F$8=""),"",'Slot Times'!$F$8+Sequences!$C$8/1440)</f>
        <v>0.48958333333333331</v>
      </c>
      <c r="G92" s="34">
        <f>IF($F92="","",$F92+Sequences!$D$8/1440)</f>
        <v>0.5</v>
      </c>
      <c r="H92" s="35" t="str">
        <f>IF(Sequences!$B$8="","",Sequences!$E$8)</f>
        <v>Intramural Fieldhouse</v>
      </c>
    </row>
    <row r="93" spans="1:8" x14ac:dyDescent="0.2">
      <c r="A93" s="35" t="str">
        <f>IF(Sequences!$B$9="","",Sequences!$F$2)</f>
        <v>Saturday</v>
      </c>
      <c r="B93" s="35" t="str">
        <f>IF(Sequences!$B$9="","",Sequences!$A$2)</f>
        <v>Saturday Practice</v>
      </c>
      <c r="C93" s="20">
        <f>IF(Sequences!$B$9="","",'Slot Times'!$B$8)</f>
        <v>7</v>
      </c>
      <c r="D93" s="35" t="str">
        <f>IF(Sequences!$B$9="","",'Slot Times'!$G$8)</f>
        <v>(not drawn)</v>
      </c>
      <c r="E93" s="35" t="str">
        <f>IF(Sequences!$B$9="","",Sequences!$B$9)</f>
        <v>Off-Stage Rehearsal</v>
      </c>
      <c r="F93" s="34">
        <f>IF(OR(Sequences!$B$9="",'Slot Times'!$F$8=""),"",'Slot Times'!$F$8+Sequences!$C$9/1440)</f>
        <v>0.5</v>
      </c>
      <c r="G93" s="34">
        <f>IF($F93="","",$F93+Sequences!$D$9/1440)</f>
        <v>0.51388888888888884</v>
      </c>
      <c r="H93" s="35" t="str">
        <f>IF(Sequences!$B$9="","",Sequences!$E$9)</f>
        <v>Intramural Fieldhouse</v>
      </c>
    </row>
    <row r="94" spans="1:8" x14ac:dyDescent="0.2">
      <c r="A94" s="35" t="str">
        <f>IF(Sequences!$B$10="","",Sequences!$F$2)</f>
        <v>Saturday</v>
      </c>
      <c r="B94" s="35" t="str">
        <f>IF(Sequences!$B$10="","",Sequences!$A$2)</f>
        <v>Saturday Practice</v>
      </c>
      <c r="C94" s="20">
        <f>IF(Sequences!$B$10="","",'Slot Times'!$B$8)</f>
        <v>7</v>
      </c>
      <c r="D94" s="35" t="str">
        <f>IF(Sequences!$B$10="","",'Slot Times'!$G$8)</f>
        <v>(not drawn)</v>
      </c>
      <c r="E94" s="35" t="str">
        <f>IF(Sequences!$B$10="","",Sequences!$B$10)</f>
        <v>Load Vans (return)</v>
      </c>
      <c r="F94" s="34">
        <f>IF(OR(Sequences!$B$10="",'Slot Times'!$F$8=""),"",'Slot Times'!$F$8+Sequences!$C$10/1440)</f>
        <v>0.51388888888888884</v>
      </c>
      <c r="G94" s="34">
        <f>IF($F94="","",$F94+Sequences!$D$10/1440)</f>
        <v>0.52083333333333326</v>
      </c>
      <c r="H94" s="35" t="str">
        <f>IF(Sequences!$B$10="","",Sequences!$E$10)</f>
        <v>Intramural Fieldhouse</v>
      </c>
    </row>
    <row r="95" spans="1:8" x14ac:dyDescent="0.2">
      <c r="A95" s="35" t="str">
        <f>IF(Sequences!$B$11="","",Sequences!$F$2)</f>
        <v>Saturday</v>
      </c>
      <c r="B95" s="35" t="str">
        <f>IF(Sequences!$B$11="","",Sequences!$A$2)</f>
        <v>Saturday Practice</v>
      </c>
      <c r="C95" s="20">
        <f>IF(Sequences!$B$11="","",'Slot Times'!$B$8)</f>
        <v>7</v>
      </c>
      <c r="D95" s="35" t="str">
        <f>IF(Sequences!$B$11="","",'Slot Times'!$G$8)</f>
        <v>(not drawn)</v>
      </c>
      <c r="E95" s="35" t="str">
        <f>IF(Sequences!$B$11="","",Sequences!$B$11)</f>
        <v>Leave Fieldhouse</v>
      </c>
      <c r="F95" s="34">
        <f>IF(OR(Sequences!$B$11="",'Slot Times'!$F$8=""),"",'Slot Times'!$F$8+Sequences!$C$11/1440)</f>
        <v>0.52083333333333326</v>
      </c>
      <c r="G95" s="34">
        <f>IF($F95="","",$F95+Sequences!$D$11/1440)</f>
        <v>0.53124999999999989</v>
      </c>
      <c r="H95" s="35" t="str">
        <f>IF(Sequences!$B$11="","",Sequences!$E$11)</f>
        <v>In transit</v>
      </c>
    </row>
    <row r="96" spans="1:8" x14ac:dyDescent="0.2">
      <c r="A96" s="35" t="str">
        <f>IF(Sequences!$B$12="","",Sequences!$F$2)</f>
        <v/>
      </c>
      <c r="B96" s="35" t="str">
        <f>IF(Sequences!$B$12="","",Sequences!$A$2)</f>
        <v/>
      </c>
      <c r="C96" s="20" t="str">
        <f>IF(Sequences!$B$12="","",'Slot Times'!$B$8)</f>
        <v/>
      </c>
      <c r="D96" s="35" t="str">
        <f>IF(Sequences!$B$12="","",'Slot Times'!$G$8)</f>
        <v/>
      </c>
      <c r="E96" s="35" t="str">
        <f>IF(Sequences!$B$12="","",Sequences!$B$12)</f>
        <v/>
      </c>
      <c r="F96" s="34" t="str">
        <f>IF(OR(Sequences!$B$12="",'Slot Times'!$F$8=""),"",'Slot Times'!$F$8+Sequences!$C$12/1440)</f>
        <v/>
      </c>
      <c r="G96" s="34" t="str">
        <f>IF($F96="","",$F96+Sequences!$D$12/1440)</f>
        <v/>
      </c>
      <c r="H96" s="35" t="str">
        <f>IF(Sequences!$B$12="","",Sequences!$E$12)</f>
        <v/>
      </c>
    </row>
    <row r="97" spans="1:8" x14ac:dyDescent="0.2">
      <c r="A97" s="35" t="str">
        <f>IF(Sequences!$B$13="","",Sequences!$F$2)</f>
        <v/>
      </c>
      <c r="B97" s="35" t="str">
        <f>IF(Sequences!$B$13="","",Sequences!$A$2)</f>
        <v/>
      </c>
      <c r="C97" s="20" t="str">
        <f>IF(Sequences!$B$13="","",'Slot Times'!$B$8)</f>
        <v/>
      </c>
      <c r="D97" s="35" t="str">
        <f>IF(Sequences!$B$13="","",'Slot Times'!$G$8)</f>
        <v/>
      </c>
      <c r="E97" s="35" t="str">
        <f>IF(Sequences!$B$13="","",Sequences!$B$13)</f>
        <v/>
      </c>
      <c r="F97" s="34" t="str">
        <f>IF(OR(Sequences!$B$13="",'Slot Times'!$F$8=""),"",'Slot Times'!$F$8+Sequences!$C$13/1440)</f>
        <v/>
      </c>
      <c r="G97" s="34" t="str">
        <f>IF($F97="","",$F97+Sequences!$D$13/1440)</f>
        <v/>
      </c>
      <c r="H97" s="35" t="str">
        <f>IF(Sequences!$B$13="","",Sequences!$E$13)</f>
        <v/>
      </c>
    </row>
    <row r="98" spans="1:8" x14ac:dyDescent="0.2">
      <c r="A98" s="35" t="str">
        <f>IF(Sequences!$B$14="","",Sequences!$F$2)</f>
        <v/>
      </c>
      <c r="B98" s="35" t="str">
        <f>IF(Sequences!$B$14="","",Sequences!$A$2)</f>
        <v/>
      </c>
      <c r="C98" s="20" t="str">
        <f>IF(Sequences!$B$14="","",'Slot Times'!$B$8)</f>
        <v/>
      </c>
      <c r="D98" s="35" t="str">
        <f>IF(Sequences!$B$14="","",'Slot Times'!$G$8)</f>
        <v/>
      </c>
      <c r="E98" s="35" t="str">
        <f>IF(Sequences!$B$14="","",Sequences!$B$14)</f>
        <v/>
      </c>
      <c r="F98" s="34" t="str">
        <f>IF(OR(Sequences!$B$14="",'Slot Times'!$F$8=""),"",'Slot Times'!$F$8+Sequences!$C$14/1440)</f>
        <v/>
      </c>
      <c r="G98" s="34" t="str">
        <f>IF($F98="","",$F98+Sequences!$D$14/1440)</f>
        <v/>
      </c>
      <c r="H98" s="35" t="str">
        <f>IF(Sequences!$B$14="","",Sequences!$E$14)</f>
        <v/>
      </c>
    </row>
    <row r="99" spans="1:8" x14ac:dyDescent="0.2">
      <c r="A99" s="35" t="str">
        <f>IF(Sequences!$B$15="","",Sequences!$F$2)</f>
        <v/>
      </c>
      <c r="B99" s="35" t="str">
        <f>IF(Sequences!$B$15="","",Sequences!$A$2)</f>
        <v/>
      </c>
      <c r="C99" s="20" t="str">
        <f>IF(Sequences!$B$15="","",'Slot Times'!$B$8)</f>
        <v/>
      </c>
      <c r="D99" s="35" t="str">
        <f>IF(Sequences!$B$15="","",'Slot Times'!$G$8)</f>
        <v/>
      </c>
      <c r="E99" s="35" t="str">
        <f>IF(Sequences!$B$15="","",Sequences!$B$15)</f>
        <v/>
      </c>
      <c r="F99" s="34" t="str">
        <f>IF(OR(Sequences!$B$15="",'Slot Times'!$F$8=""),"",'Slot Times'!$F$8+Sequences!$C$15/1440)</f>
        <v/>
      </c>
      <c r="G99" s="34" t="str">
        <f>IF($F99="","",$F99+Sequences!$D$15/1440)</f>
        <v/>
      </c>
      <c r="H99" s="35" t="str">
        <f>IF(Sequences!$B$15="","",Sequences!$E$15)</f>
        <v/>
      </c>
    </row>
    <row r="100" spans="1:8" x14ac:dyDescent="0.2">
      <c r="A100" s="35" t="str">
        <f>IF(Sequences!$B$2="","",Sequences!$F$2)</f>
        <v>Saturday</v>
      </c>
      <c r="B100" s="35" t="str">
        <f>IF(Sequences!$B$2="","",Sequences!$A$2)</f>
        <v>Saturday Practice</v>
      </c>
      <c r="C100" s="20">
        <f>IF(Sequences!$B$2="","",'Slot Times'!$B$9)</f>
        <v>8</v>
      </c>
      <c r="D100" s="35" t="str">
        <f>IF(Sequences!$B$2="","",'Slot Times'!$G$9)</f>
        <v>(not drawn)</v>
      </c>
      <c r="E100" s="35" t="str">
        <f>IF(Sequences!$B$2="","",Sequences!$B$2)</f>
        <v>Report to Lobby</v>
      </c>
      <c r="F100" s="34">
        <f>IF(OR(Sequences!$B$2="",'Slot Times'!$F$9=""),"",'Slot Times'!$F$9+Sequences!$C$2/1440)</f>
        <v>0.44791666666666663</v>
      </c>
      <c r="G100" s="34">
        <f>IF($F100="","",$F100+Sequences!$D$2/1440)</f>
        <v>0.45138888888888884</v>
      </c>
      <c r="H100" s="35" t="str">
        <f>IF(Sequences!$B$2="","",Sequences!$E$2)</f>
        <v>Courtyard Marriott — Lobby</v>
      </c>
    </row>
    <row r="101" spans="1:8" x14ac:dyDescent="0.2">
      <c r="A101" s="35" t="str">
        <f>IF(Sequences!$B$3="","",Sequences!$F$2)</f>
        <v>Saturday</v>
      </c>
      <c r="B101" s="35" t="str">
        <f>IF(Sequences!$B$3="","",Sequences!$A$2)</f>
        <v>Saturday Practice</v>
      </c>
      <c r="C101" s="20">
        <f>IF(Sequences!$B$3="","",'Slot Times'!$B$9)</f>
        <v>8</v>
      </c>
      <c r="D101" s="35" t="str">
        <f>IF(Sequences!$B$3="","",'Slot Times'!$G$9)</f>
        <v>(not drawn)</v>
      </c>
      <c r="E101" s="35" t="str">
        <f>IF(Sequences!$B$3="","",Sequences!$B$3)</f>
        <v>Load Vans</v>
      </c>
      <c r="F101" s="34">
        <f>IF(OR(Sequences!$B$3="",'Slot Times'!$F$9=""),"",'Slot Times'!$F$9+Sequences!$C$3/1440)</f>
        <v>0.45138888888888884</v>
      </c>
      <c r="G101" s="34">
        <f>IF($F101="","",$F101+Sequences!$D$3/1440)</f>
        <v>0.45833333333333326</v>
      </c>
      <c r="H101" s="35" t="str">
        <f>IF(Sequences!$B$3="","",Sequences!$E$3)</f>
        <v>Courtyard Marriott — Garage</v>
      </c>
    </row>
    <row r="102" spans="1:8" x14ac:dyDescent="0.2">
      <c r="A102" s="35" t="str">
        <f>IF(Sequences!$B$4="","",Sequences!$F$2)</f>
        <v>Saturday</v>
      </c>
      <c r="B102" s="35" t="str">
        <f>IF(Sequences!$B$4="","",Sequences!$A$2)</f>
        <v>Saturday Practice</v>
      </c>
      <c r="C102" s="20">
        <f>IF(Sequences!$B$4="","",'Slot Times'!$B$9)</f>
        <v>8</v>
      </c>
      <c r="D102" s="35" t="str">
        <f>IF(Sequences!$B$4="","",'Slot Times'!$G$9)</f>
        <v>(not drawn)</v>
      </c>
      <c r="E102" s="35" t="str">
        <f>IF(Sequences!$B$4="","",Sequences!$B$4)</f>
        <v>Leave Hotel</v>
      </c>
      <c r="F102" s="34">
        <f>IF(OR(Sequences!$B$4="",'Slot Times'!$F$9=""),"",'Slot Times'!$F$9+Sequences!$C$4/1440)</f>
        <v>0.45833333333333331</v>
      </c>
      <c r="G102" s="34">
        <f>IF($F102="","",$F102+Sequences!$D$4/1440)</f>
        <v>0.47222222222222221</v>
      </c>
      <c r="H102" s="35" t="str">
        <f>IF(Sequences!$B$4="","",Sequences!$E$4)</f>
        <v>In transit</v>
      </c>
    </row>
    <row r="103" spans="1:8" x14ac:dyDescent="0.2">
      <c r="A103" s="35" t="str">
        <f>IF(Sequences!$B$5="","",Sequences!$F$2)</f>
        <v>Saturday</v>
      </c>
      <c r="B103" s="35" t="str">
        <f>IF(Sequences!$B$5="","",Sequences!$A$2)</f>
        <v>Saturday Practice</v>
      </c>
      <c r="C103" s="20">
        <f>IF(Sequences!$B$5="","",'Slot Times'!$B$9)</f>
        <v>8</v>
      </c>
      <c r="D103" s="35" t="str">
        <f>IF(Sequences!$B$5="","",'Slot Times'!$G$9)</f>
        <v>(not drawn)</v>
      </c>
      <c r="E103" s="35" t="str">
        <f>IF(Sequences!$B$5="","",Sequences!$B$5)</f>
        <v>On-Stage Rehearsal</v>
      </c>
      <c r="F103" s="34">
        <f>IF(OR(Sequences!$B$5="",'Slot Times'!$F$9=""),"",'Slot Times'!$F$9+Sequences!$C$5/1440)</f>
        <v>0.47222222222222221</v>
      </c>
      <c r="G103" s="34">
        <f>IF($F103="","",$F103+Sequences!$D$5/1440)</f>
        <v>0.4861111111111111</v>
      </c>
      <c r="H103" s="35" t="str">
        <f>IF(Sequences!$B$5="","",Sequences!$E$5)</f>
        <v>IU Auditorium — Stage</v>
      </c>
    </row>
    <row r="104" spans="1:8" x14ac:dyDescent="0.2">
      <c r="A104" s="35" t="str">
        <f>IF(Sequences!$B$6="","",Sequences!$F$2)</f>
        <v>Saturday</v>
      </c>
      <c r="B104" s="35" t="str">
        <f>IF(Sequences!$B$6="","",Sequences!$A$2)</f>
        <v>Saturday Practice</v>
      </c>
      <c r="C104" s="20">
        <f>IF(Sequences!$B$6="","",'Slot Times'!$B$9)</f>
        <v>8</v>
      </c>
      <c r="D104" s="35" t="str">
        <f>IF(Sequences!$B$6="","",'Slot Times'!$G$9)</f>
        <v>(not drawn)</v>
      </c>
      <c r="E104" s="35" t="str">
        <f>IF(Sequences!$B$6="","",Sequences!$B$6)</f>
        <v>Walk to Viewing</v>
      </c>
      <c r="F104" s="34">
        <f>IF(OR(Sequences!$B$6="",'Slot Times'!$F$9=""),"",'Slot Times'!$F$9+Sequences!$C$6/1440)</f>
        <v>0.48611111111111105</v>
      </c>
      <c r="G104" s="34">
        <f>IF($F104="","",$F104+Sequences!$D$6/1440)</f>
        <v>0.49305555555555547</v>
      </c>
      <c r="H104" s="35" t="str">
        <f>IF(Sequences!$B$6="","",Sequences!$E$6)</f>
        <v>IU Auditorium</v>
      </c>
    </row>
    <row r="105" spans="1:8" x14ac:dyDescent="0.2">
      <c r="A105" s="35" t="str">
        <f>IF(Sequences!$B$7="","",Sequences!$F$2)</f>
        <v>Saturday</v>
      </c>
      <c r="B105" s="35" t="str">
        <f>IF(Sequences!$B$7="","",Sequences!$A$2)</f>
        <v>Saturday Practice</v>
      </c>
      <c r="C105" s="20">
        <f>IF(Sequences!$B$7="","",'Slot Times'!$B$9)</f>
        <v>8</v>
      </c>
      <c r="D105" s="35" t="str">
        <f>IF(Sequences!$B$7="","",'Slot Times'!$G$9)</f>
        <v>(not drawn)</v>
      </c>
      <c r="E105" s="35" t="str">
        <f>IF(Sequences!$B$7="","",Sequences!$B$7)</f>
        <v>Viewing Room</v>
      </c>
      <c r="F105" s="34">
        <f>IF(OR(Sequences!$B$7="",'Slot Times'!$F$9=""),"",'Slot Times'!$F$9+Sequences!$C$7/1440)</f>
        <v>0.49305555555555552</v>
      </c>
      <c r="G105" s="34">
        <f>IF($F105="","",$F105+Sequences!$D$7/1440)</f>
        <v>0.50694444444444442</v>
      </c>
      <c r="H105" s="35" t="str">
        <f>IF(Sequences!$B$7="","",Sequences!$E$7)</f>
        <v>IU Auditorium — Viewing Room</v>
      </c>
    </row>
    <row r="106" spans="1:8" x14ac:dyDescent="0.2">
      <c r="A106" s="35" t="str">
        <f>IF(Sequences!$B$8="","",Sequences!$F$2)</f>
        <v>Saturday</v>
      </c>
      <c r="B106" s="35" t="str">
        <f>IF(Sequences!$B$8="","",Sequences!$A$2)</f>
        <v>Saturday Practice</v>
      </c>
      <c r="C106" s="20">
        <f>IF(Sequences!$B$8="","",'Slot Times'!$B$9)</f>
        <v>8</v>
      </c>
      <c r="D106" s="35" t="str">
        <f>IF(Sequences!$B$8="","",'Slot Times'!$G$9)</f>
        <v>(not drawn)</v>
      </c>
      <c r="E106" s="35" t="str">
        <f>IF(Sequences!$B$8="","",Sequences!$B$8)</f>
        <v>Walk to Off-Stage</v>
      </c>
      <c r="F106" s="34">
        <f>IF(OR(Sequences!$B$8="",'Slot Times'!$F$9=""),"",'Slot Times'!$F$9+Sequences!$C$8/1440)</f>
        <v>0.50694444444444442</v>
      </c>
      <c r="G106" s="34">
        <f>IF($F106="","",$F106+Sequences!$D$8/1440)</f>
        <v>0.51736111111111105</v>
      </c>
      <c r="H106" s="35" t="str">
        <f>IF(Sequences!$B$8="","",Sequences!$E$8)</f>
        <v>Intramural Fieldhouse</v>
      </c>
    </row>
    <row r="107" spans="1:8" x14ac:dyDescent="0.2">
      <c r="A107" s="35" t="str">
        <f>IF(Sequences!$B$9="","",Sequences!$F$2)</f>
        <v>Saturday</v>
      </c>
      <c r="B107" s="35" t="str">
        <f>IF(Sequences!$B$9="","",Sequences!$A$2)</f>
        <v>Saturday Practice</v>
      </c>
      <c r="C107" s="20">
        <f>IF(Sequences!$B$9="","",'Slot Times'!$B$9)</f>
        <v>8</v>
      </c>
      <c r="D107" s="35" t="str">
        <f>IF(Sequences!$B$9="","",'Slot Times'!$G$9)</f>
        <v>(not drawn)</v>
      </c>
      <c r="E107" s="35" t="str">
        <f>IF(Sequences!$B$9="","",Sequences!$B$9)</f>
        <v>Off-Stage Rehearsal</v>
      </c>
      <c r="F107" s="34">
        <f>IF(OR(Sequences!$B$9="",'Slot Times'!$F$9=""),"",'Slot Times'!$F$9+Sequences!$C$9/1440)</f>
        <v>0.51736111111111105</v>
      </c>
      <c r="G107" s="34">
        <f>IF($F107="","",$F107+Sequences!$D$9/1440)</f>
        <v>0.53124999999999989</v>
      </c>
      <c r="H107" s="35" t="str">
        <f>IF(Sequences!$B$9="","",Sequences!$E$9)</f>
        <v>Intramural Fieldhouse</v>
      </c>
    </row>
    <row r="108" spans="1:8" x14ac:dyDescent="0.2">
      <c r="A108" s="35" t="str">
        <f>IF(Sequences!$B$10="","",Sequences!$F$2)</f>
        <v>Saturday</v>
      </c>
      <c r="B108" s="35" t="str">
        <f>IF(Sequences!$B$10="","",Sequences!$A$2)</f>
        <v>Saturday Practice</v>
      </c>
      <c r="C108" s="20">
        <f>IF(Sequences!$B$10="","",'Slot Times'!$B$9)</f>
        <v>8</v>
      </c>
      <c r="D108" s="35" t="str">
        <f>IF(Sequences!$B$10="","",'Slot Times'!$G$9)</f>
        <v>(not drawn)</v>
      </c>
      <c r="E108" s="35" t="str">
        <f>IF(Sequences!$B$10="","",Sequences!$B$10)</f>
        <v>Load Vans (return)</v>
      </c>
      <c r="F108" s="34">
        <f>IF(OR(Sequences!$B$10="",'Slot Times'!$F$9=""),"",'Slot Times'!$F$9+Sequences!$C$10/1440)</f>
        <v>0.53125</v>
      </c>
      <c r="G108" s="34">
        <f>IF($F108="","",$F108+Sequences!$D$10/1440)</f>
        <v>0.53819444444444442</v>
      </c>
      <c r="H108" s="35" t="str">
        <f>IF(Sequences!$B$10="","",Sequences!$E$10)</f>
        <v>Intramural Fieldhouse</v>
      </c>
    </row>
    <row r="109" spans="1:8" x14ac:dyDescent="0.2">
      <c r="A109" s="35" t="str">
        <f>IF(Sequences!$B$11="","",Sequences!$F$2)</f>
        <v>Saturday</v>
      </c>
      <c r="B109" s="35" t="str">
        <f>IF(Sequences!$B$11="","",Sequences!$A$2)</f>
        <v>Saturday Practice</v>
      </c>
      <c r="C109" s="20">
        <f>IF(Sequences!$B$11="","",'Slot Times'!$B$9)</f>
        <v>8</v>
      </c>
      <c r="D109" s="35" t="str">
        <f>IF(Sequences!$B$11="","",'Slot Times'!$G$9)</f>
        <v>(not drawn)</v>
      </c>
      <c r="E109" s="35" t="str">
        <f>IF(Sequences!$B$11="","",Sequences!$B$11)</f>
        <v>Leave Fieldhouse</v>
      </c>
      <c r="F109" s="34">
        <f>IF(OR(Sequences!$B$11="",'Slot Times'!$F$9=""),"",'Slot Times'!$F$9+Sequences!$C$11/1440)</f>
        <v>0.53819444444444442</v>
      </c>
      <c r="G109" s="34">
        <f>IF($F109="","",$F109+Sequences!$D$11/1440)</f>
        <v>0.54861111111111105</v>
      </c>
      <c r="H109" s="35" t="str">
        <f>IF(Sequences!$B$11="","",Sequences!$E$11)</f>
        <v>In transit</v>
      </c>
    </row>
    <row r="110" spans="1:8" x14ac:dyDescent="0.2">
      <c r="A110" s="35" t="str">
        <f>IF(Sequences!$B$12="","",Sequences!$F$2)</f>
        <v/>
      </c>
      <c r="B110" s="35" t="str">
        <f>IF(Sequences!$B$12="","",Sequences!$A$2)</f>
        <v/>
      </c>
      <c r="C110" s="20" t="str">
        <f>IF(Sequences!$B$12="","",'Slot Times'!$B$9)</f>
        <v/>
      </c>
      <c r="D110" s="35" t="str">
        <f>IF(Sequences!$B$12="","",'Slot Times'!$G$9)</f>
        <v/>
      </c>
      <c r="E110" s="35" t="str">
        <f>IF(Sequences!$B$12="","",Sequences!$B$12)</f>
        <v/>
      </c>
      <c r="F110" s="34" t="str">
        <f>IF(OR(Sequences!$B$12="",'Slot Times'!$F$9=""),"",'Slot Times'!$F$9+Sequences!$C$12/1440)</f>
        <v/>
      </c>
      <c r="G110" s="34" t="str">
        <f>IF($F110="","",$F110+Sequences!$D$12/1440)</f>
        <v/>
      </c>
      <c r="H110" s="35" t="str">
        <f>IF(Sequences!$B$12="","",Sequences!$E$12)</f>
        <v/>
      </c>
    </row>
    <row r="111" spans="1:8" x14ac:dyDescent="0.2">
      <c r="A111" s="35" t="str">
        <f>IF(Sequences!$B$13="","",Sequences!$F$2)</f>
        <v/>
      </c>
      <c r="B111" s="35" t="str">
        <f>IF(Sequences!$B$13="","",Sequences!$A$2)</f>
        <v/>
      </c>
      <c r="C111" s="20" t="str">
        <f>IF(Sequences!$B$13="","",'Slot Times'!$B$9)</f>
        <v/>
      </c>
      <c r="D111" s="35" t="str">
        <f>IF(Sequences!$B$13="","",'Slot Times'!$G$9)</f>
        <v/>
      </c>
      <c r="E111" s="35" t="str">
        <f>IF(Sequences!$B$13="","",Sequences!$B$13)</f>
        <v/>
      </c>
      <c r="F111" s="34" t="str">
        <f>IF(OR(Sequences!$B$13="",'Slot Times'!$F$9=""),"",'Slot Times'!$F$9+Sequences!$C$13/1440)</f>
        <v/>
      </c>
      <c r="G111" s="34" t="str">
        <f>IF($F111="","",$F111+Sequences!$D$13/1440)</f>
        <v/>
      </c>
      <c r="H111" s="35" t="str">
        <f>IF(Sequences!$B$13="","",Sequences!$E$13)</f>
        <v/>
      </c>
    </row>
    <row r="112" spans="1:8" x14ac:dyDescent="0.2">
      <c r="A112" s="35" t="str">
        <f>IF(Sequences!$B$14="","",Sequences!$F$2)</f>
        <v/>
      </c>
      <c r="B112" s="35" t="str">
        <f>IF(Sequences!$B$14="","",Sequences!$A$2)</f>
        <v/>
      </c>
      <c r="C112" s="20" t="str">
        <f>IF(Sequences!$B$14="","",'Slot Times'!$B$9)</f>
        <v/>
      </c>
      <c r="D112" s="35" t="str">
        <f>IF(Sequences!$B$14="","",'Slot Times'!$G$9)</f>
        <v/>
      </c>
      <c r="E112" s="35" t="str">
        <f>IF(Sequences!$B$14="","",Sequences!$B$14)</f>
        <v/>
      </c>
      <c r="F112" s="34" t="str">
        <f>IF(OR(Sequences!$B$14="",'Slot Times'!$F$9=""),"",'Slot Times'!$F$9+Sequences!$C$14/1440)</f>
        <v/>
      </c>
      <c r="G112" s="34" t="str">
        <f>IF($F112="","",$F112+Sequences!$D$14/1440)</f>
        <v/>
      </c>
      <c r="H112" s="35" t="str">
        <f>IF(Sequences!$B$14="","",Sequences!$E$14)</f>
        <v/>
      </c>
    </row>
    <row r="113" spans="1:8" x14ac:dyDescent="0.2">
      <c r="A113" s="35" t="str">
        <f>IF(Sequences!$B$15="","",Sequences!$F$2)</f>
        <v/>
      </c>
      <c r="B113" s="35" t="str">
        <f>IF(Sequences!$B$15="","",Sequences!$A$2)</f>
        <v/>
      </c>
      <c r="C113" s="20" t="str">
        <f>IF(Sequences!$B$15="","",'Slot Times'!$B$9)</f>
        <v/>
      </c>
      <c r="D113" s="35" t="str">
        <f>IF(Sequences!$B$15="","",'Slot Times'!$G$9)</f>
        <v/>
      </c>
      <c r="E113" s="35" t="str">
        <f>IF(Sequences!$B$15="","",Sequences!$B$15)</f>
        <v/>
      </c>
      <c r="F113" s="34" t="str">
        <f>IF(OR(Sequences!$B$15="",'Slot Times'!$F$9=""),"",'Slot Times'!$F$9+Sequences!$C$15/1440)</f>
        <v/>
      </c>
      <c r="G113" s="34" t="str">
        <f>IF($F113="","",$F113+Sequences!$D$15/1440)</f>
        <v/>
      </c>
      <c r="H113" s="35" t="str">
        <f>IF(Sequences!$B$15="","",Sequences!$E$15)</f>
        <v/>
      </c>
    </row>
    <row r="114" spans="1:8" x14ac:dyDescent="0.2">
      <c r="A114" s="35" t="str">
        <f>IF(Sequences!$B$16="","",Sequences!$F$16)</f>
        <v>Saturday</v>
      </c>
      <c r="B114" s="35" t="str">
        <f>IF(Sequences!$B$16="","",Sequences!$A$16)</f>
        <v>Saturday Photos</v>
      </c>
      <c r="C114" s="20">
        <f>IF(Sequences!$B$16="","",'Slot Times'!$B$10)</f>
        <v>1</v>
      </c>
      <c r="D114" s="35" t="str">
        <f>IF(Sequences!$B$16="","",'Slot Times'!$G$10)</f>
        <v>(not drawn)</v>
      </c>
      <c r="E114" s="35" t="str">
        <f>IF(Sequences!$B$16="","",Sequences!$B$16)</f>
        <v>Staircase (Team Boomerang)</v>
      </c>
      <c r="F114" s="34">
        <f>IF(OR(Sequences!$B$16="",'Slot Times'!$F$10=""),"",'Slot Times'!$F$10+Sequences!$C$16/1440)</f>
        <v>0.625</v>
      </c>
      <c r="G114" s="34">
        <f>IF($F114="","",$F114+Sequences!$D$16/1440)</f>
        <v>0.62847222222222221</v>
      </c>
      <c r="H114" s="35" t="str">
        <f>IF(Sequences!$B$16="","",Sequences!$E$16)</f>
        <v>IU Auditorium — Staircase</v>
      </c>
    </row>
    <row r="115" spans="1:8" x14ac:dyDescent="0.2">
      <c r="A115" s="35" t="str">
        <f>IF(Sequences!$B$17="","",Sequences!$F$16)</f>
        <v>Saturday</v>
      </c>
      <c r="B115" s="35" t="str">
        <f>IF(Sequences!$B$17="","",Sequences!$A$16)</f>
        <v>Saturday Photos</v>
      </c>
      <c r="C115" s="20">
        <f>IF(Sequences!$B$17="","",'Slot Times'!$B$10)</f>
        <v>1</v>
      </c>
      <c r="D115" s="35" t="str">
        <f>IF(Sequences!$B$17="","",'Slot Times'!$G$10)</f>
        <v>(not drawn)</v>
      </c>
      <c r="E115" s="35" t="str">
        <f>IF(Sequences!$B$17="","",Sequences!$B$17)</f>
        <v>Balcony (Team Photo)</v>
      </c>
      <c r="F115" s="34">
        <f>IF(OR(Sequences!$B$17="",'Slot Times'!$F$10=""),"",'Slot Times'!$F$10+Sequences!$C$17/1440)</f>
        <v>0.62847222222222221</v>
      </c>
      <c r="G115" s="34">
        <f>IF($F115="","",$F115+Sequences!$D$17/1440)</f>
        <v>0.63194444444444442</v>
      </c>
      <c r="H115" s="35" t="str">
        <f>IF(Sequences!$B$17="","",Sequences!$E$17)</f>
        <v>IU Auditorium — Balcony</v>
      </c>
    </row>
    <row r="116" spans="1:8" x14ac:dyDescent="0.2">
      <c r="A116" s="35" t="str">
        <f>IF(Sequences!$B$18="","",Sequences!$F$16)</f>
        <v/>
      </c>
      <c r="B116" s="35" t="str">
        <f>IF(Sequences!$B$18="","",Sequences!$A$16)</f>
        <v/>
      </c>
      <c r="C116" s="20" t="str">
        <f>IF(Sequences!$B$18="","",'Slot Times'!$B$10)</f>
        <v/>
      </c>
      <c r="D116" s="35" t="str">
        <f>IF(Sequences!$B$18="","",'Slot Times'!$G$10)</f>
        <v/>
      </c>
      <c r="E116" s="35" t="str">
        <f>IF(Sequences!$B$18="","",Sequences!$B$18)</f>
        <v/>
      </c>
      <c r="F116" s="34" t="str">
        <f>IF(OR(Sequences!$B$18="",'Slot Times'!$F$10=""),"",'Slot Times'!$F$10+Sequences!$C$18/1440)</f>
        <v/>
      </c>
      <c r="G116" s="34" t="str">
        <f>IF($F116="","",$F116+Sequences!$D$18/1440)</f>
        <v/>
      </c>
      <c r="H116" s="35" t="str">
        <f>IF(Sequences!$B$18="","",Sequences!$E$18)</f>
        <v/>
      </c>
    </row>
    <row r="117" spans="1:8" x14ac:dyDescent="0.2">
      <c r="A117" s="35" t="str">
        <f>IF(Sequences!$B$19="","",Sequences!$F$16)</f>
        <v/>
      </c>
      <c r="B117" s="35" t="str">
        <f>IF(Sequences!$B$19="","",Sequences!$A$16)</f>
        <v/>
      </c>
      <c r="C117" s="20" t="str">
        <f>IF(Sequences!$B$19="","",'Slot Times'!$B$10)</f>
        <v/>
      </c>
      <c r="D117" s="35" t="str">
        <f>IF(Sequences!$B$19="","",'Slot Times'!$G$10)</f>
        <v/>
      </c>
      <c r="E117" s="35" t="str">
        <f>IF(Sequences!$B$19="","",Sequences!$B$19)</f>
        <v/>
      </c>
      <c r="F117" s="34" t="str">
        <f>IF(OR(Sequences!$B$19="",'Slot Times'!$F$10=""),"",'Slot Times'!$F$10+Sequences!$C$19/1440)</f>
        <v/>
      </c>
      <c r="G117" s="34" t="str">
        <f>IF($F117="","",$F117+Sequences!$D$19/1440)</f>
        <v/>
      </c>
      <c r="H117" s="35" t="str">
        <f>IF(Sequences!$B$19="","",Sequences!$E$19)</f>
        <v/>
      </c>
    </row>
    <row r="118" spans="1:8" x14ac:dyDescent="0.2">
      <c r="A118" s="35" t="str">
        <f>IF(Sequences!$B$20="","",Sequences!$F$16)</f>
        <v/>
      </c>
      <c r="B118" s="35" t="str">
        <f>IF(Sequences!$B$20="","",Sequences!$A$16)</f>
        <v/>
      </c>
      <c r="C118" s="20" t="str">
        <f>IF(Sequences!$B$20="","",'Slot Times'!$B$10)</f>
        <v/>
      </c>
      <c r="D118" s="35" t="str">
        <f>IF(Sequences!$B$20="","",'Slot Times'!$G$10)</f>
        <v/>
      </c>
      <c r="E118" s="35" t="str">
        <f>IF(Sequences!$B$20="","",Sequences!$B$20)</f>
        <v/>
      </c>
      <c r="F118" s="34" t="str">
        <f>IF(OR(Sequences!$B$20="",'Slot Times'!$F$10=""),"",'Slot Times'!$F$10+Sequences!$C$20/1440)</f>
        <v/>
      </c>
      <c r="G118" s="34" t="str">
        <f>IF($F118="","",$F118+Sequences!$D$20/1440)</f>
        <v/>
      </c>
      <c r="H118" s="35" t="str">
        <f>IF(Sequences!$B$20="","",Sequences!$E$20)</f>
        <v/>
      </c>
    </row>
    <row r="119" spans="1:8" x14ac:dyDescent="0.2">
      <c r="A119" s="35" t="str">
        <f>IF(Sequences!$B$21="","",Sequences!$F$16)</f>
        <v/>
      </c>
      <c r="B119" s="35" t="str">
        <f>IF(Sequences!$B$21="","",Sequences!$A$16)</f>
        <v/>
      </c>
      <c r="C119" s="20" t="str">
        <f>IF(Sequences!$B$21="","",'Slot Times'!$B$10)</f>
        <v/>
      </c>
      <c r="D119" s="35" t="str">
        <f>IF(Sequences!$B$21="","",'Slot Times'!$G$10)</f>
        <v/>
      </c>
      <c r="E119" s="35" t="str">
        <f>IF(Sequences!$B$21="","",Sequences!$B$21)</f>
        <v/>
      </c>
      <c r="F119" s="34" t="str">
        <f>IF(OR(Sequences!$B$21="",'Slot Times'!$F$10=""),"",'Slot Times'!$F$10+Sequences!$C$21/1440)</f>
        <v/>
      </c>
      <c r="G119" s="34" t="str">
        <f>IF($F119="","",$F119+Sequences!$D$21/1440)</f>
        <v/>
      </c>
      <c r="H119" s="35" t="str">
        <f>IF(Sequences!$B$21="","",Sequences!$E$21)</f>
        <v/>
      </c>
    </row>
    <row r="120" spans="1:8" x14ac:dyDescent="0.2">
      <c r="A120" s="35" t="str">
        <f>IF(Sequences!$B$22="","",Sequences!$F$16)</f>
        <v/>
      </c>
      <c r="B120" s="35" t="str">
        <f>IF(Sequences!$B$22="","",Sequences!$A$16)</f>
        <v/>
      </c>
      <c r="C120" s="20" t="str">
        <f>IF(Sequences!$B$22="","",'Slot Times'!$B$10)</f>
        <v/>
      </c>
      <c r="D120" s="35" t="str">
        <f>IF(Sequences!$B$22="","",'Slot Times'!$G$10)</f>
        <v/>
      </c>
      <c r="E120" s="35" t="str">
        <f>IF(Sequences!$B$22="","",Sequences!$B$22)</f>
        <v/>
      </c>
      <c r="F120" s="34" t="str">
        <f>IF(OR(Sequences!$B$22="",'Slot Times'!$F$10=""),"",'Slot Times'!$F$10+Sequences!$C$22/1440)</f>
        <v/>
      </c>
      <c r="G120" s="34" t="str">
        <f>IF($F120="","",$F120+Sequences!$D$22/1440)</f>
        <v/>
      </c>
      <c r="H120" s="35" t="str">
        <f>IF(Sequences!$B$22="","",Sequences!$E$22)</f>
        <v/>
      </c>
    </row>
    <row r="121" spans="1:8" x14ac:dyDescent="0.2">
      <c r="A121" s="35" t="str">
        <f>IF(Sequences!$B$23="","",Sequences!$F$16)</f>
        <v/>
      </c>
      <c r="B121" s="35" t="str">
        <f>IF(Sequences!$B$23="","",Sequences!$A$16)</f>
        <v/>
      </c>
      <c r="C121" s="20" t="str">
        <f>IF(Sequences!$B$23="","",'Slot Times'!$B$10)</f>
        <v/>
      </c>
      <c r="D121" s="35" t="str">
        <f>IF(Sequences!$B$23="","",'Slot Times'!$G$10)</f>
        <v/>
      </c>
      <c r="E121" s="35" t="str">
        <f>IF(Sequences!$B$23="","",Sequences!$B$23)</f>
        <v/>
      </c>
      <c r="F121" s="34" t="str">
        <f>IF(OR(Sequences!$B$23="",'Slot Times'!$F$10=""),"",'Slot Times'!$F$10+Sequences!$C$23/1440)</f>
        <v/>
      </c>
      <c r="G121" s="34" t="str">
        <f>IF($F121="","",$F121+Sequences!$D$23/1440)</f>
        <v/>
      </c>
      <c r="H121" s="35" t="str">
        <f>IF(Sequences!$B$23="","",Sequences!$E$23)</f>
        <v/>
      </c>
    </row>
    <row r="122" spans="1:8" x14ac:dyDescent="0.2">
      <c r="A122" s="35" t="str">
        <f>IF(Sequences!$B$24="","",Sequences!$F$16)</f>
        <v/>
      </c>
      <c r="B122" s="35" t="str">
        <f>IF(Sequences!$B$24="","",Sequences!$A$16)</f>
        <v/>
      </c>
      <c r="C122" s="20" t="str">
        <f>IF(Sequences!$B$24="","",'Slot Times'!$B$10)</f>
        <v/>
      </c>
      <c r="D122" s="35" t="str">
        <f>IF(Sequences!$B$24="","",'Slot Times'!$G$10)</f>
        <v/>
      </c>
      <c r="E122" s="35" t="str">
        <f>IF(Sequences!$B$24="","",Sequences!$B$24)</f>
        <v/>
      </c>
      <c r="F122" s="34" t="str">
        <f>IF(OR(Sequences!$B$24="",'Slot Times'!$F$10=""),"",'Slot Times'!$F$10+Sequences!$C$24/1440)</f>
        <v/>
      </c>
      <c r="G122" s="34" t="str">
        <f>IF($F122="","",$F122+Sequences!$D$24/1440)</f>
        <v/>
      </c>
      <c r="H122" s="35" t="str">
        <f>IF(Sequences!$B$24="","",Sequences!$E$24)</f>
        <v/>
      </c>
    </row>
    <row r="123" spans="1:8" x14ac:dyDescent="0.2">
      <c r="A123" s="35" t="str">
        <f>IF(Sequences!$B$25="","",Sequences!$F$16)</f>
        <v/>
      </c>
      <c r="B123" s="35" t="str">
        <f>IF(Sequences!$B$25="","",Sequences!$A$16)</f>
        <v/>
      </c>
      <c r="C123" s="20" t="str">
        <f>IF(Sequences!$B$25="","",'Slot Times'!$B$10)</f>
        <v/>
      </c>
      <c r="D123" s="35" t="str">
        <f>IF(Sequences!$B$25="","",'Slot Times'!$G$10)</f>
        <v/>
      </c>
      <c r="E123" s="35" t="str">
        <f>IF(Sequences!$B$25="","",Sequences!$B$25)</f>
        <v/>
      </c>
      <c r="F123" s="34" t="str">
        <f>IF(OR(Sequences!$B$25="",'Slot Times'!$F$10=""),"",'Slot Times'!$F$10+Sequences!$C$25/1440)</f>
        <v/>
      </c>
      <c r="G123" s="34" t="str">
        <f>IF($F123="","",$F123+Sequences!$D$25/1440)</f>
        <v/>
      </c>
      <c r="H123" s="35" t="str">
        <f>IF(Sequences!$B$25="","",Sequences!$E$25)</f>
        <v/>
      </c>
    </row>
    <row r="124" spans="1:8" x14ac:dyDescent="0.2">
      <c r="A124" s="35" t="str">
        <f>IF(Sequences!$B$26="","",Sequences!$F$16)</f>
        <v/>
      </c>
      <c r="B124" s="35" t="str">
        <f>IF(Sequences!$B$26="","",Sequences!$A$16)</f>
        <v/>
      </c>
      <c r="C124" s="20" t="str">
        <f>IF(Sequences!$B$26="","",'Slot Times'!$B$10)</f>
        <v/>
      </c>
      <c r="D124" s="35" t="str">
        <f>IF(Sequences!$B$26="","",'Slot Times'!$G$10)</f>
        <v/>
      </c>
      <c r="E124" s="35" t="str">
        <f>IF(Sequences!$B$26="","",Sequences!$B$26)</f>
        <v/>
      </c>
      <c r="F124" s="34" t="str">
        <f>IF(OR(Sequences!$B$26="",'Slot Times'!$F$10=""),"",'Slot Times'!$F$10+Sequences!$C$26/1440)</f>
        <v/>
      </c>
      <c r="G124" s="34" t="str">
        <f>IF($F124="","",$F124+Sequences!$D$26/1440)</f>
        <v/>
      </c>
      <c r="H124" s="35" t="str">
        <f>IF(Sequences!$B$26="","",Sequences!$E$26)</f>
        <v/>
      </c>
    </row>
    <row r="125" spans="1:8" x14ac:dyDescent="0.2">
      <c r="A125" s="35" t="str">
        <f>IF(Sequences!$B$27="","",Sequences!$F$16)</f>
        <v/>
      </c>
      <c r="B125" s="35" t="str">
        <f>IF(Sequences!$B$27="","",Sequences!$A$16)</f>
        <v/>
      </c>
      <c r="C125" s="20" t="str">
        <f>IF(Sequences!$B$27="","",'Slot Times'!$B$10)</f>
        <v/>
      </c>
      <c r="D125" s="35" t="str">
        <f>IF(Sequences!$B$27="","",'Slot Times'!$G$10)</f>
        <v/>
      </c>
      <c r="E125" s="35" t="str">
        <f>IF(Sequences!$B$27="","",Sequences!$B$27)</f>
        <v/>
      </c>
      <c r="F125" s="34" t="str">
        <f>IF(OR(Sequences!$B$27="",'Slot Times'!$F$10=""),"",'Slot Times'!$F$10+Sequences!$C$27/1440)</f>
        <v/>
      </c>
      <c r="G125" s="34" t="str">
        <f>IF($F125="","",$F125+Sequences!$D$27/1440)</f>
        <v/>
      </c>
      <c r="H125" s="35" t="str">
        <f>IF(Sequences!$B$27="","",Sequences!$E$27)</f>
        <v/>
      </c>
    </row>
    <row r="126" spans="1:8" x14ac:dyDescent="0.2">
      <c r="A126" s="35" t="str">
        <f>IF(Sequences!$B$28="","",Sequences!$F$16)</f>
        <v/>
      </c>
      <c r="B126" s="35" t="str">
        <f>IF(Sequences!$B$28="","",Sequences!$A$16)</f>
        <v/>
      </c>
      <c r="C126" s="20" t="str">
        <f>IF(Sequences!$B$28="","",'Slot Times'!$B$10)</f>
        <v/>
      </c>
      <c r="D126" s="35" t="str">
        <f>IF(Sequences!$B$28="","",'Slot Times'!$G$10)</f>
        <v/>
      </c>
      <c r="E126" s="35" t="str">
        <f>IF(Sequences!$B$28="","",Sequences!$B$28)</f>
        <v/>
      </c>
      <c r="F126" s="34" t="str">
        <f>IF(OR(Sequences!$B$28="",'Slot Times'!$F$10=""),"",'Slot Times'!$F$10+Sequences!$C$28/1440)</f>
        <v/>
      </c>
      <c r="G126" s="34" t="str">
        <f>IF($F126="","",$F126+Sequences!$D$28/1440)</f>
        <v/>
      </c>
      <c r="H126" s="35" t="str">
        <f>IF(Sequences!$B$28="","",Sequences!$E$28)</f>
        <v/>
      </c>
    </row>
    <row r="127" spans="1:8" x14ac:dyDescent="0.2">
      <c r="A127" s="35" t="str">
        <f>IF(Sequences!$B$29="","",Sequences!$F$16)</f>
        <v/>
      </c>
      <c r="B127" s="35" t="str">
        <f>IF(Sequences!$B$29="","",Sequences!$A$16)</f>
        <v/>
      </c>
      <c r="C127" s="20" t="str">
        <f>IF(Sequences!$B$29="","",'Slot Times'!$B$10)</f>
        <v/>
      </c>
      <c r="D127" s="35" t="str">
        <f>IF(Sequences!$B$29="","",'Slot Times'!$G$10)</f>
        <v/>
      </c>
      <c r="E127" s="35" t="str">
        <f>IF(Sequences!$B$29="","",Sequences!$B$29)</f>
        <v/>
      </c>
      <c r="F127" s="34" t="str">
        <f>IF(OR(Sequences!$B$29="",'Slot Times'!$F$10=""),"",'Slot Times'!$F$10+Sequences!$C$29/1440)</f>
        <v/>
      </c>
      <c r="G127" s="34" t="str">
        <f>IF($F127="","",$F127+Sequences!$D$29/1440)</f>
        <v/>
      </c>
      <c r="H127" s="35" t="str">
        <f>IF(Sequences!$B$29="","",Sequences!$E$29)</f>
        <v/>
      </c>
    </row>
    <row r="128" spans="1:8" x14ac:dyDescent="0.2">
      <c r="A128" s="35" t="str">
        <f>IF(Sequences!$B$16="","",Sequences!$F$16)</f>
        <v>Saturday</v>
      </c>
      <c r="B128" s="35" t="str">
        <f>IF(Sequences!$B$16="","",Sequences!$A$16)</f>
        <v>Saturday Photos</v>
      </c>
      <c r="C128" s="20">
        <f>IF(Sequences!$B$16="","",'Slot Times'!$B$11)</f>
        <v>2</v>
      </c>
      <c r="D128" s="35" t="str">
        <f>IF(Sequences!$B$16="","",'Slot Times'!$G$11)</f>
        <v>(not drawn)</v>
      </c>
      <c r="E128" s="35" t="str">
        <f>IF(Sequences!$B$16="","",Sequences!$B$16)</f>
        <v>Staircase (Team Boomerang)</v>
      </c>
      <c r="F128" s="34">
        <f>IF(OR(Sequences!$B$16="",'Slot Times'!$F$11=""),"",'Slot Times'!$F$11+Sequences!$C$16/1440)</f>
        <v>0.62847222222222221</v>
      </c>
      <c r="G128" s="34">
        <f>IF($F128="","",$F128+Sequences!$D$16/1440)</f>
        <v>0.63194444444444442</v>
      </c>
      <c r="H128" s="35" t="str">
        <f>IF(Sequences!$B$16="","",Sequences!$E$16)</f>
        <v>IU Auditorium — Staircase</v>
      </c>
    </row>
    <row r="129" spans="1:8" x14ac:dyDescent="0.2">
      <c r="A129" s="35" t="str">
        <f>IF(Sequences!$B$17="","",Sequences!$F$16)</f>
        <v>Saturday</v>
      </c>
      <c r="B129" s="35" t="str">
        <f>IF(Sequences!$B$17="","",Sequences!$A$16)</f>
        <v>Saturday Photos</v>
      </c>
      <c r="C129" s="20">
        <f>IF(Sequences!$B$17="","",'Slot Times'!$B$11)</f>
        <v>2</v>
      </c>
      <c r="D129" s="35" t="str">
        <f>IF(Sequences!$B$17="","",'Slot Times'!$G$11)</f>
        <v>(not drawn)</v>
      </c>
      <c r="E129" s="35" t="str">
        <f>IF(Sequences!$B$17="","",Sequences!$B$17)</f>
        <v>Balcony (Team Photo)</v>
      </c>
      <c r="F129" s="34">
        <f>IF(OR(Sequences!$B$17="",'Slot Times'!$F$11=""),"",'Slot Times'!$F$11+Sequences!$C$17/1440)</f>
        <v>0.63194444444444442</v>
      </c>
      <c r="G129" s="34">
        <f>IF($F129="","",$F129+Sequences!$D$17/1440)</f>
        <v>0.63541666666666663</v>
      </c>
      <c r="H129" s="35" t="str">
        <f>IF(Sequences!$B$17="","",Sequences!$E$17)</f>
        <v>IU Auditorium — Balcony</v>
      </c>
    </row>
    <row r="130" spans="1:8" x14ac:dyDescent="0.2">
      <c r="A130" s="35" t="str">
        <f>IF(Sequences!$B$18="","",Sequences!$F$16)</f>
        <v/>
      </c>
      <c r="B130" s="35" t="str">
        <f>IF(Sequences!$B$18="","",Sequences!$A$16)</f>
        <v/>
      </c>
      <c r="C130" s="20" t="str">
        <f>IF(Sequences!$B$18="","",'Slot Times'!$B$11)</f>
        <v/>
      </c>
      <c r="D130" s="35" t="str">
        <f>IF(Sequences!$B$18="","",'Slot Times'!$G$11)</f>
        <v/>
      </c>
      <c r="E130" s="35" t="str">
        <f>IF(Sequences!$B$18="","",Sequences!$B$18)</f>
        <v/>
      </c>
      <c r="F130" s="34" t="str">
        <f>IF(OR(Sequences!$B$18="",'Slot Times'!$F$11=""),"",'Slot Times'!$F$11+Sequences!$C$18/1440)</f>
        <v/>
      </c>
      <c r="G130" s="34" t="str">
        <f>IF($F130="","",$F130+Sequences!$D$18/1440)</f>
        <v/>
      </c>
      <c r="H130" s="35" t="str">
        <f>IF(Sequences!$B$18="","",Sequences!$E$18)</f>
        <v/>
      </c>
    </row>
    <row r="131" spans="1:8" x14ac:dyDescent="0.2">
      <c r="A131" s="35" t="str">
        <f>IF(Sequences!$B$19="","",Sequences!$F$16)</f>
        <v/>
      </c>
      <c r="B131" s="35" t="str">
        <f>IF(Sequences!$B$19="","",Sequences!$A$16)</f>
        <v/>
      </c>
      <c r="C131" s="20" t="str">
        <f>IF(Sequences!$B$19="","",'Slot Times'!$B$11)</f>
        <v/>
      </c>
      <c r="D131" s="35" t="str">
        <f>IF(Sequences!$B$19="","",'Slot Times'!$G$11)</f>
        <v/>
      </c>
      <c r="E131" s="35" t="str">
        <f>IF(Sequences!$B$19="","",Sequences!$B$19)</f>
        <v/>
      </c>
      <c r="F131" s="34" t="str">
        <f>IF(OR(Sequences!$B$19="",'Slot Times'!$F$11=""),"",'Slot Times'!$F$11+Sequences!$C$19/1440)</f>
        <v/>
      </c>
      <c r="G131" s="34" t="str">
        <f>IF($F131="","",$F131+Sequences!$D$19/1440)</f>
        <v/>
      </c>
      <c r="H131" s="35" t="str">
        <f>IF(Sequences!$B$19="","",Sequences!$E$19)</f>
        <v/>
      </c>
    </row>
    <row r="132" spans="1:8" x14ac:dyDescent="0.2">
      <c r="A132" s="35" t="str">
        <f>IF(Sequences!$B$20="","",Sequences!$F$16)</f>
        <v/>
      </c>
      <c r="B132" s="35" t="str">
        <f>IF(Sequences!$B$20="","",Sequences!$A$16)</f>
        <v/>
      </c>
      <c r="C132" s="20" t="str">
        <f>IF(Sequences!$B$20="","",'Slot Times'!$B$11)</f>
        <v/>
      </c>
      <c r="D132" s="35" t="str">
        <f>IF(Sequences!$B$20="","",'Slot Times'!$G$11)</f>
        <v/>
      </c>
      <c r="E132" s="35" t="str">
        <f>IF(Sequences!$B$20="","",Sequences!$B$20)</f>
        <v/>
      </c>
      <c r="F132" s="34" t="str">
        <f>IF(OR(Sequences!$B$20="",'Slot Times'!$F$11=""),"",'Slot Times'!$F$11+Sequences!$C$20/1440)</f>
        <v/>
      </c>
      <c r="G132" s="34" t="str">
        <f>IF($F132="","",$F132+Sequences!$D$20/1440)</f>
        <v/>
      </c>
      <c r="H132" s="35" t="str">
        <f>IF(Sequences!$B$20="","",Sequences!$E$20)</f>
        <v/>
      </c>
    </row>
    <row r="133" spans="1:8" x14ac:dyDescent="0.2">
      <c r="A133" s="35" t="str">
        <f>IF(Sequences!$B$21="","",Sequences!$F$16)</f>
        <v/>
      </c>
      <c r="B133" s="35" t="str">
        <f>IF(Sequences!$B$21="","",Sequences!$A$16)</f>
        <v/>
      </c>
      <c r="C133" s="20" t="str">
        <f>IF(Sequences!$B$21="","",'Slot Times'!$B$11)</f>
        <v/>
      </c>
      <c r="D133" s="35" t="str">
        <f>IF(Sequences!$B$21="","",'Slot Times'!$G$11)</f>
        <v/>
      </c>
      <c r="E133" s="35" t="str">
        <f>IF(Sequences!$B$21="","",Sequences!$B$21)</f>
        <v/>
      </c>
      <c r="F133" s="34" t="str">
        <f>IF(OR(Sequences!$B$21="",'Slot Times'!$F$11=""),"",'Slot Times'!$F$11+Sequences!$C$21/1440)</f>
        <v/>
      </c>
      <c r="G133" s="34" t="str">
        <f>IF($F133="","",$F133+Sequences!$D$21/1440)</f>
        <v/>
      </c>
      <c r="H133" s="35" t="str">
        <f>IF(Sequences!$B$21="","",Sequences!$E$21)</f>
        <v/>
      </c>
    </row>
    <row r="134" spans="1:8" x14ac:dyDescent="0.2">
      <c r="A134" s="35" t="str">
        <f>IF(Sequences!$B$22="","",Sequences!$F$16)</f>
        <v/>
      </c>
      <c r="B134" s="35" t="str">
        <f>IF(Sequences!$B$22="","",Sequences!$A$16)</f>
        <v/>
      </c>
      <c r="C134" s="20" t="str">
        <f>IF(Sequences!$B$22="","",'Slot Times'!$B$11)</f>
        <v/>
      </c>
      <c r="D134" s="35" t="str">
        <f>IF(Sequences!$B$22="","",'Slot Times'!$G$11)</f>
        <v/>
      </c>
      <c r="E134" s="35" t="str">
        <f>IF(Sequences!$B$22="","",Sequences!$B$22)</f>
        <v/>
      </c>
      <c r="F134" s="34" t="str">
        <f>IF(OR(Sequences!$B$22="",'Slot Times'!$F$11=""),"",'Slot Times'!$F$11+Sequences!$C$22/1440)</f>
        <v/>
      </c>
      <c r="G134" s="34" t="str">
        <f>IF($F134="","",$F134+Sequences!$D$22/1440)</f>
        <v/>
      </c>
      <c r="H134" s="35" t="str">
        <f>IF(Sequences!$B$22="","",Sequences!$E$22)</f>
        <v/>
      </c>
    </row>
    <row r="135" spans="1:8" x14ac:dyDescent="0.2">
      <c r="A135" s="35" t="str">
        <f>IF(Sequences!$B$23="","",Sequences!$F$16)</f>
        <v/>
      </c>
      <c r="B135" s="35" t="str">
        <f>IF(Sequences!$B$23="","",Sequences!$A$16)</f>
        <v/>
      </c>
      <c r="C135" s="20" t="str">
        <f>IF(Sequences!$B$23="","",'Slot Times'!$B$11)</f>
        <v/>
      </c>
      <c r="D135" s="35" t="str">
        <f>IF(Sequences!$B$23="","",'Slot Times'!$G$11)</f>
        <v/>
      </c>
      <c r="E135" s="35" t="str">
        <f>IF(Sequences!$B$23="","",Sequences!$B$23)</f>
        <v/>
      </c>
      <c r="F135" s="34" t="str">
        <f>IF(OR(Sequences!$B$23="",'Slot Times'!$F$11=""),"",'Slot Times'!$F$11+Sequences!$C$23/1440)</f>
        <v/>
      </c>
      <c r="G135" s="34" t="str">
        <f>IF($F135="","",$F135+Sequences!$D$23/1440)</f>
        <v/>
      </c>
      <c r="H135" s="35" t="str">
        <f>IF(Sequences!$B$23="","",Sequences!$E$23)</f>
        <v/>
      </c>
    </row>
    <row r="136" spans="1:8" x14ac:dyDescent="0.2">
      <c r="A136" s="35" t="str">
        <f>IF(Sequences!$B$24="","",Sequences!$F$16)</f>
        <v/>
      </c>
      <c r="B136" s="35" t="str">
        <f>IF(Sequences!$B$24="","",Sequences!$A$16)</f>
        <v/>
      </c>
      <c r="C136" s="20" t="str">
        <f>IF(Sequences!$B$24="","",'Slot Times'!$B$11)</f>
        <v/>
      </c>
      <c r="D136" s="35" t="str">
        <f>IF(Sequences!$B$24="","",'Slot Times'!$G$11)</f>
        <v/>
      </c>
      <c r="E136" s="35" t="str">
        <f>IF(Sequences!$B$24="","",Sequences!$B$24)</f>
        <v/>
      </c>
      <c r="F136" s="34" t="str">
        <f>IF(OR(Sequences!$B$24="",'Slot Times'!$F$11=""),"",'Slot Times'!$F$11+Sequences!$C$24/1440)</f>
        <v/>
      </c>
      <c r="G136" s="34" t="str">
        <f>IF($F136="","",$F136+Sequences!$D$24/1440)</f>
        <v/>
      </c>
      <c r="H136" s="35" t="str">
        <f>IF(Sequences!$B$24="","",Sequences!$E$24)</f>
        <v/>
      </c>
    </row>
    <row r="137" spans="1:8" x14ac:dyDescent="0.2">
      <c r="A137" s="35" t="str">
        <f>IF(Sequences!$B$25="","",Sequences!$F$16)</f>
        <v/>
      </c>
      <c r="B137" s="35" t="str">
        <f>IF(Sequences!$B$25="","",Sequences!$A$16)</f>
        <v/>
      </c>
      <c r="C137" s="20" t="str">
        <f>IF(Sequences!$B$25="","",'Slot Times'!$B$11)</f>
        <v/>
      </c>
      <c r="D137" s="35" t="str">
        <f>IF(Sequences!$B$25="","",'Slot Times'!$G$11)</f>
        <v/>
      </c>
      <c r="E137" s="35" t="str">
        <f>IF(Sequences!$B$25="","",Sequences!$B$25)</f>
        <v/>
      </c>
      <c r="F137" s="34" t="str">
        <f>IF(OR(Sequences!$B$25="",'Slot Times'!$F$11=""),"",'Slot Times'!$F$11+Sequences!$C$25/1440)</f>
        <v/>
      </c>
      <c r="G137" s="34" t="str">
        <f>IF($F137="","",$F137+Sequences!$D$25/1440)</f>
        <v/>
      </c>
      <c r="H137" s="35" t="str">
        <f>IF(Sequences!$B$25="","",Sequences!$E$25)</f>
        <v/>
      </c>
    </row>
    <row r="138" spans="1:8" x14ac:dyDescent="0.2">
      <c r="A138" s="35" t="str">
        <f>IF(Sequences!$B$26="","",Sequences!$F$16)</f>
        <v/>
      </c>
      <c r="B138" s="35" t="str">
        <f>IF(Sequences!$B$26="","",Sequences!$A$16)</f>
        <v/>
      </c>
      <c r="C138" s="20" t="str">
        <f>IF(Sequences!$B$26="","",'Slot Times'!$B$11)</f>
        <v/>
      </c>
      <c r="D138" s="35" t="str">
        <f>IF(Sequences!$B$26="","",'Slot Times'!$G$11)</f>
        <v/>
      </c>
      <c r="E138" s="35" t="str">
        <f>IF(Sequences!$B$26="","",Sequences!$B$26)</f>
        <v/>
      </c>
      <c r="F138" s="34" t="str">
        <f>IF(OR(Sequences!$B$26="",'Slot Times'!$F$11=""),"",'Slot Times'!$F$11+Sequences!$C$26/1440)</f>
        <v/>
      </c>
      <c r="G138" s="34" t="str">
        <f>IF($F138="","",$F138+Sequences!$D$26/1440)</f>
        <v/>
      </c>
      <c r="H138" s="35" t="str">
        <f>IF(Sequences!$B$26="","",Sequences!$E$26)</f>
        <v/>
      </c>
    </row>
    <row r="139" spans="1:8" x14ac:dyDescent="0.2">
      <c r="A139" s="35" t="str">
        <f>IF(Sequences!$B$27="","",Sequences!$F$16)</f>
        <v/>
      </c>
      <c r="B139" s="35" t="str">
        <f>IF(Sequences!$B$27="","",Sequences!$A$16)</f>
        <v/>
      </c>
      <c r="C139" s="20" t="str">
        <f>IF(Sequences!$B$27="","",'Slot Times'!$B$11)</f>
        <v/>
      </c>
      <c r="D139" s="35" t="str">
        <f>IF(Sequences!$B$27="","",'Slot Times'!$G$11)</f>
        <v/>
      </c>
      <c r="E139" s="35" t="str">
        <f>IF(Sequences!$B$27="","",Sequences!$B$27)</f>
        <v/>
      </c>
      <c r="F139" s="34" t="str">
        <f>IF(OR(Sequences!$B$27="",'Slot Times'!$F$11=""),"",'Slot Times'!$F$11+Sequences!$C$27/1440)</f>
        <v/>
      </c>
      <c r="G139" s="34" t="str">
        <f>IF($F139="","",$F139+Sequences!$D$27/1440)</f>
        <v/>
      </c>
      <c r="H139" s="35" t="str">
        <f>IF(Sequences!$B$27="","",Sequences!$E$27)</f>
        <v/>
      </c>
    </row>
    <row r="140" spans="1:8" x14ac:dyDescent="0.2">
      <c r="A140" s="35" t="str">
        <f>IF(Sequences!$B$28="","",Sequences!$F$16)</f>
        <v/>
      </c>
      <c r="B140" s="35" t="str">
        <f>IF(Sequences!$B$28="","",Sequences!$A$16)</f>
        <v/>
      </c>
      <c r="C140" s="20" t="str">
        <f>IF(Sequences!$B$28="","",'Slot Times'!$B$11)</f>
        <v/>
      </c>
      <c r="D140" s="35" t="str">
        <f>IF(Sequences!$B$28="","",'Slot Times'!$G$11)</f>
        <v/>
      </c>
      <c r="E140" s="35" t="str">
        <f>IF(Sequences!$B$28="","",Sequences!$B$28)</f>
        <v/>
      </c>
      <c r="F140" s="34" t="str">
        <f>IF(OR(Sequences!$B$28="",'Slot Times'!$F$11=""),"",'Slot Times'!$F$11+Sequences!$C$28/1440)</f>
        <v/>
      </c>
      <c r="G140" s="34" t="str">
        <f>IF($F140="","",$F140+Sequences!$D$28/1440)</f>
        <v/>
      </c>
      <c r="H140" s="35" t="str">
        <f>IF(Sequences!$B$28="","",Sequences!$E$28)</f>
        <v/>
      </c>
    </row>
    <row r="141" spans="1:8" x14ac:dyDescent="0.2">
      <c r="A141" s="35" t="str">
        <f>IF(Sequences!$B$29="","",Sequences!$F$16)</f>
        <v/>
      </c>
      <c r="B141" s="35" t="str">
        <f>IF(Sequences!$B$29="","",Sequences!$A$16)</f>
        <v/>
      </c>
      <c r="C141" s="20" t="str">
        <f>IF(Sequences!$B$29="","",'Slot Times'!$B$11)</f>
        <v/>
      </c>
      <c r="D141" s="35" t="str">
        <f>IF(Sequences!$B$29="","",'Slot Times'!$G$11)</f>
        <v/>
      </c>
      <c r="E141" s="35" t="str">
        <f>IF(Sequences!$B$29="","",Sequences!$B$29)</f>
        <v/>
      </c>
      <c r="F141" s="34" t="str">
        <f>IF(OR(Sequences!$B$29="",'Slot Times'!$F$11=""),"",'Slot Times'!$F$11+Sequences!$C$29/1440)</f>
        <v/>
      </c>
      <c r="G141" s="34" t="str">
        <f>IF($F141="","",$F141+Sequences!$D$29/1440)</f>
        <v/>
      </c>
      <c r="H141" s="35" t="str">
        <f>IF(Sequences!$B$29="","",Sequences!$E$29)</f>
        <v/>
      </c>
    </row>
    <row r="142" spans="1:8" x14ac:dyDescent="0.2">
      <c r="A142" s="35" t="str">
        <f>IF(Sequences!$B$16="","",Sequences!$F$16)</f>
        <v>Saturday</v>
      </c>
      <c r="B142" s="35" t="str">
        <f>IF(Sequences!$B$16="","",Sequences!$A$16)</f>
        <v>Saturday Photos</v>
      </c>
      <c r="C142" s="20">
        <f>IF(Sequences!$B$16="","",'Slot Times'!$B$12)</f>
        <v>3</v>
      </c>
      <c r="D142" s="35" t="str">
        <f>IF(Sequences!$B$16="","",'Slot Times'!$G$12)</f>
        <v>(not drawn)</v>
      </c>
      <c r="E142" s="35" t="str">
        <f>IF(Sequences!$B$16="","",Sequences!$B$16)</f>
        <v>Staircase (Team Boomerang)</v>
      </c>
      <c r="F142" s="34">
        <f>IF(OR(Sequences!$B$16="",'Slot Times'!$F$12=""),"",'Slot Times'!$F$12+Sequences!$C$16/1440)</f>
        <v>0.63194444444444442</v>
      </c>
      <c r="G142" s="34">
        <f>IF($F142="","",$F142+Sequences!$D$16/1440)</f>
        <v>0.63541666666666663</v>
      </c>
      <c r="H142" s="35" t="str">
        <f>IF(Sequences!$B$16="","",Sequences!$E$16)</f>
        <v>IU Auditorium — Staircase</v>
      </c>
    </row>
    <row r="143" spans="1:8" x14ac:dyDescent="0.2">
      <c r="A143" s="35" t="str">
        <f>IF(Sequences!$B$17="","",Sequences!$F$16)</f>
        <v>Saturday</v>
      </c>
      <c r="B143" s="35" t="str">
        <f>IF(Sequences!$B$17="","",Sequences!$A$16)</f>
        <v>Saturday Photos</v>
      </c>
      <c r="C143" s="20">
        <f>IF(Sequences!$B$17="","",'Slot Times'!$B$12)</f>
        <v>3</v>
      </c>
      <c r="D143" s="35" t="str">
        <f>IF(Sequences!$B$17="","",'Slot Times'!$G$12)</f>
        <v>(not drawn)</v>
      </c>
      <c r="E143" s="35" t="str">
        <f>IF(Sequences!$B$17="","",Sequences!$B$17)</f>
        <v>Balcony (Team Photo)</v>
      </c>
      <c r="F143" s="34">
        <f>IF(OR(Sequences!$B$17="",'Slot Times'!$F$12=""),"",'Slot Times'!$F$12+Sequences!$C$17/1440)</f>
        <v>0.63541666666666663</v>
      </c>
      <c r="G143" s="34">
        <f>IF($F143="","",$F143+Sequences!$D$17/1440)</f>
        <v>0.63888888888888884</v>
      </c>
      <c r="H143" s="35" t="str">
        <f>IF(Sequences!$B$17="","",Sequences!$E$17)</f>
        <v>IU Auditorium — Balcony</v>
      </c>
    </row>
    <row r="144" spans="1:8" x14ac:dyDescent="0.2">
      <c r="A144" s="35" t="str">
        <f>IF(Sequences!$B$18="","",Sequences!$F$16)</f>
        <v/>
      </c>
      <c r="B144" s="35" t="str">
        <f>IF(Sequences!$B$18="","",Sequences!$A$16)</f>
        <v/>
      </c>
      <c r="C144" s="20" t="str">
        <f>IF(Sequences!$B$18="","",'Slot Times'!$B$12)</f>
        <v/>
      </c>
      <c r="D144" s="35" t="str">
        <f>IF(Sequences!$B$18="","",'Slot Times'!$G$12)</f>
        <v/>
      </c>
      <c r="E144" s="35" t="str">
        <f>IF(Sequences!$B$18="","",Sequences!$B$18)</f>
        <v/>
      </c>
      <c r="F144" s="34" t="str">
        <f>IF(OR(Sequences!$B$18="",'Slot Times'!$F$12=""),"",'Slot Times'!$F$12+Sequences!$C$18/1440)</f>
        <v/>
      </c>
      <c r="G144" s="34" t="str">
        <f>IF($F144="","",$F144+Sequences!$D$18/1440)</f>
        <v/>
      </c>
      <c r="H144" s="35" t="str">
        <f>IF(Sequences!$B$18="","",Sequences!$E$18)</f>
        <v/>
      </c>
    </row>
    <row r="145" spans="1:8" x14ac:dyDescent="0.2">
      <c r="A145" s="35" t="str">
        <f>IF(Sequences!$B$19="","",Sequences!$F$16)</f>
        <v/>
      </c>
      <c r="B145" s="35" t="str">
        <f>IF(Sequences!$B$19="","",Sequences!$A$16)</f>
        <v/>
      </c>
      <c r="C145" s="20" t="str">
        <f>IF(Sequences!$B$19="","",'Slot Times'!$B$12)</f>
        <v/>
      </c>
      <c r="D145" s="35" t="str">
        <f>IF(Sequences!$B$19="","",'Slot Times'!$G$12)</f>
        <v/>
      </c>
      <c r="E145" s="35" t="str">
        <f>IF(Sequences!$B$19="","",Sequences!$B$19)</f>
        <v/>
      </c>
      <c r="F145" s="34" t="str">
        <f>IF(OR(Sequences!$B$19="",'Slot Times'!$F$12=""),"",'Slot Times'!$F$12+Sequences!$C$19/1440)</f>
        <v/>
      </c>
      <c r="G145" s="34" t="str">
        <f>IF($F145="","",$F145+Sequences!$D$19/1440)</f>
        <v/>
      </c>
      <c r="H145" s="35" t="str">
        <f>IF(Sequences!$B$19="","",Sequences!$E$19)</f>
        <v/>
      </c>
    </row>
    <row r="146" spans="1:8" x14ac:dyDescent="0.2">
      <c r="A146" s="35" t="str">
        <f>IF(Sequences!$B$20="","",Sequences!$F$16)</f>
        <v/>
      </c>
      <c r="B146" s="35" t="str">
        <f>IF(Sequences!$B$20="","",Sequences!$A$16)</f>
        <v/>
      </c>
      <c r="C146" s="20" t="str">
        <f>IF(Sequences!$B$20="","",'Slot Times'!$B$12)</f>
        <v/>
      </c>
      <c r="D146" s="35" t="str">
        <f>IF(Sequences!$B$20="","",'Slot Times'!$G$12)</f>
        <v/>
      </c>
      <c r="E146" s="35" t="str">
        <f>IF(Sequences!$B$20="","",Sequences!$B$20)</f>
        <v/>
      </c>
      <c r="F146" s="34" t="str">
        <f>IF(OR(Sequences!$B$20="",'Slot Times'!$F$12=""),"",'Slot Times'!$F$12+Sequences!$C$20/1440)</f>
        <v/>
      </c>
      <c r="G146" s="34" t="str">
        <f>IF($F146="","",$F146+Sequences!$D$20/1440)</f>
        <v/>
      </c>
      <c r="H146" s="35" t="str">
        <f>IF(Sequences!$B$20="","",Sequences!$E$20)</f>
        <v/>
      </c>
    </row>
    <row r="147" spans="1:8" x14ac:dyDescent="0.2">
      <c r="A147" s="35" t="str">
        <f>IF(Sequences!$B$21="","",Sequences!$F$16)</f>
        <v/>
      </c>
      <c r="B147" s="35" t="str">
        <f>IF(Sequences!$B$21="","",Sequences!$A$16)</f>
        <v/>
      </c>
      <c r="C147" s="20" t="str">
        <f>IF(Sequences!$B$21="","",'Slot Times'!$B$12)</f>
        <v/>
      </c>
      <c r="D147" s="35" t="str">
        <f>IF(Sequences!$B$21="","",'Slot Times'!$G$12)</f>
        <v/>
      </c>
      <c r="E147" s="35" t="str">
        <f>IF(Sequences!$B$21="","",Sequences!$B$21)</f>
        <v/>
      </c>
      <c r="F147" s="34" t="str">
        <f>IF(OR(Sequences!$B$21="",'Slot Times'!$F$12=""),"",'Slot Times'!$F$12+Sequences!$C$21/1440)</f>
        <v/>
      </c>
      <c r="G147" s="34" t="str">
        <f>IF($F147="","",$F147+Sequences!$D$21/1440)</f>
        <v/>
      </c>
      <c r="H147" s="35" t="str">
        <f>IF(Sequences!$B$21="","",Sequences!$E$21)</f>
        <v/>
      </c>
    </row>
    <row r="148" spans="1:8" x14ac:dyDescent="0.2">
      <c r="A148" s="35" t="str">
        <f>IF(Sequences!$B$22="","",Sequences!$F$16)</f>
        <v/>
      </c>
      <c r="B148" s="35" t="str">
        <f>IF(Sequences!$B$22="","",Sequences!$A$16)</f>
        <v/>
      </c>
      <c r="C148" s="20" t="str">
        <f>IF(Sequences!$B$22="","",'Slot Times'!$B$12)</f>
        <v/>
      </c>
      <c r="D148" s="35" t="str">
        <f>IF(Sequences!$B$22="","",'Slot Times'!$G$12)</f>
        <v/>
      </c>
      <c r="E148" s="35" t="str">
        <f>IF(Sequences!$B$22="","",Sequences!$B$22)</f>
        <v/>
      </c>
      <c r="F148" s="34" t="str">
        <f>IF(OR(Sequences!$B$22="",'Slot Times'!$F$12=""),"",'Slot Times'!$F$12+Sequences!$C$22/1440)</f>
        <v/>
      </c>
      <c r="G148" s="34" t="str">
        <f>IF($F148="","",$F148+Sequences!$D$22/1440)</f>
        <v/>
      </c>
      <c r="H148" s="35" t="str">
        <f>IF(Sequences!$B$22="","",Sequences!$E$22)</f>
        <v/>
      </c>
    </row>
    <row r="149" spans="1:8" x14ac:dyDescent="0.2">
      <c r="A149" s="35" t="str">
        <f>IF(Sequences!$B$23="","",Sequences!$F$16)</f>
        <v/>
      </c>
      <c r="B149" s="35" t="str">
        <f>IF(Sequences!$B$23="","",Sequences!$A$16)</f>
        <v/>
      </c>
      <c r="C149" s="20" t="str">
        <f>IF(Sequences!$B$23="","",'Slot Times'!$B$12)</f>
        <v/>
      </c>
      <c r="D149" s="35" t="str">
        <f>IF(Sequences!$B$23="","",'Slot Times'!$G$12)</f>
        <v/>
      </c>
      <c r="E149" s="35" t="str">
        <f>IF(Sequences!$B$23="","",Sequences!$B$23)</f>
        <v/>
      </c>
      <c r="F149" s="34" t="str">
        <f>IF(OR(Sequences!$B$23="",'Slot Times'!$F$12=""),"",'Slot Times'!$F$12+Sequences!$C$23/1440)</f>
        <v/>
      </c>
      <c r="G149" s="34" t="str">
        <f>IF($F149="","",$F149+Sequences!$D$23/1440)</f>
        <v/>
      </c>
      <c r="H149" s="35" t="str">
        <f>IF(Sequences!$B$23="","",Sequences!$E$23)</f>
        <v/>
      </c>
    </row>
    <row r="150" spans="1:8" x14ac:dyDescent="0.2">
      <c r="A150" s="35" t="str">
        <f>IF(Sequences!$B$24="","",Sequences!$F$16)</f>
        <v/>
      </c>
      <c r="B150" s="35" t="str">
        <f>IF(Sequences!$B$24="","",Sequences!$A$16)</f>
        <v/>
      </c>
      <c r="C150" s="20" t="str">
        <f>IF(Sequences!$B$24="","",'Slot Times'!$B$12)</f>
        <v/>
      </c>
      <c r="D150" s="35" t="str">
        <f>IF(Sequences!$B$24="","",'Slot Times'!$G$12)</f>
        <v/>
      </c>
      <c r="E150" s="35" t="str">
        <f>IF(Sequences!$B$24="","",Sequences!$B$24)</f>
        <v/>
      </c>
      <c r="F150" s="34" t="str">
        <f>IF(OR(Sequences!$B$24="",'Slot Times'!$F$12=""),"",'Slot Times'!$F$12+Sequences!$C$24/1440)</f>
        <v/>
      </c>
      <c r="G150" s="34" t="str">
        <f>IF($F150="","",$F150+Sequences!$D$24/1440)</f>
        <v/>
      </c>
      <c r="H150" s="35" t="str">
        <f>IF(Sequences!$B$24="","",Sequences!$E$24)</f>
        <v/>
      </c>
    </row>
    <row r="151" spans="1:8" x14ac:dyDescent="0.2">
      <c r="A151" s="35" t="str">
        <f>IF(Sequences!$B$25="","",Sequences!$F$16)</f>
        <v/>
      </c>
      <c r="B151" s="35" t="str">
        <f>IF(Sequences!$B$25="","",Sequences!$A$16)</f>
        <v/>
      </c>
      <c r="C151" s="20" t="str">
        <f>IF(Sequences!$B$25="","",'Slot Times'!$B$12)</f>
        <v/>
      </c>
      <c r="D151" s="35" t="str">
        <f>IF(Sequences!$B$25="","",'Slot Times'!$G$12)</f>
        <v/>
      </c>
      <c r="E151" s="35" t="str">
        <f>IF(Sequences!$B$25="","",Sequences!$B$25)</f>
        <v/>
      </c>
      <c r="F151" s="34" t="str">
        <f>IF(OR(Sequences!$B$25="",'Slot Times'!$F$12=""),"",'Slot Times'!$F$12+Sequences!$C$25/1440)</f>
        <v/>
      </c>
      <c r="G151" s="34" t="str">
        <f>IF($F151="","",$F151+Sequences!$D$25/1440)</f>
        <v/>
      </c>
      <c r="H151" s="35" t="str">
        <f>IF(Sequences!$B$25="","",Sequences!$E$25)</f>
        <v/>
      </c>
    </row>
    <row r="152" spans="1:8" x14ac:dyDescent="0.2">
      <c r="A152" s="35" t="str">
        <f>IF(Sequences!$B$26="","",Sequences!$F$16)</f>
        <v/>
      </c>
      <c r="B152" s="35" t="str">
        <f>IF(Sequences!$B$26="","",Sequences!$A$16)</f>
        <v/>
      </c>
      <c r="C152" s="20" t="str">
        <f>IF(Sequences!$B$26="","",'Slot Times'!$B$12)</f>
        <v/>
      </c>
      <c r="D152" s="35" t="str">
        <f>IF(Sequences!$B$26="","",'Slot Times'!$G$12)</f>
        <v/>
      </c>
      <c r="E152" s="35" t="str">
        <f>IF(Sequences!$B$26="","",Sequences!$B$26)</f>
        <v/>
      </c>
      <c r="F152" s="34" t="str">
        <f>IF(OR(Sequences!$B$26="",'Slot Times'!$F$12=""),"",'Slot Times'!$F$12+Sequences!$C$26/1440)</f>
        <v/>
      </c>
      <c r="G152" s="34" t="str">
        <f>IF($F152="","",$F152+Sequences!$D$26/1440)</f>
        <v/>
      </c>
      <c r="H152" s="35" t="str">
        <f>IF(Sequences!$B$26="","",Sequences!$E$26)</f>
        <v/>
      </c>
    </row>
    <row r="153" spans="1:8" x14ac:dyDescent="0.2">
      <c r="A153" s="35" t="str">
        <f>IF(Sequences!$B$27="","",Sequences!$F$16)</f>
        <v/>
      </c>
      <c r="B153" s="35" t="str">
        <f>IF(Sequences!$B$27="","",Sequences!$A$16)</f>
        <v/>
      </c>
      <c r="C153" s="20" t="str">
        <f>IF(Sequences!$B$27="","",'Slot Times'!$B$12)</f>
        <v/>
      </c>
      <c r="D153" s="35" t="str">
        <f>IF(Sequences!$B$27="","",'Slot Times'!$G$12)</f>
        <v/>
      </c>
      <c r="E153" s="35" t="str">
        <f>IF(Sequences!$B$27="","",Sequences!$B$27)</f>
        <v/>
      </c>
      <c r="F153" s="34" t="str">
        <f>IF(OR(Sequences!$B$27="",'Slot Times'!$F$12=""),"",'Slot Times'!$F$12+Sequences!$C$27/1440)</f>
        <v/>
      </c>
      <c r="G153" s="34" t="str">
        <f>IF($F153="","",$F153+Sequences!$D$27/1440)</f>
        <v/>
      </c>
      <c r="H153" s="35" t="str">
        <f>IF(Sequences!$B$27="","",Sequences!$E$27)</f>
        <v/>
      </c>
    </row>
    <row r="154" spans="1:8" x14ac:dyDescent="0.2">
      <c r="A154" s="35" t="str">
        <f>IF(Sequences!$B$28="","",Sequences!$F$16)</f>
        <v/>
      </c>
      <c r="B154" s="35" t="str">
        <f>IF(Sequences!$B$28="","",Sequences!$A$16)</f>
        <v/>
      </c>
      <c r="C154" s="20" t="str">
        <f>IF(Sequences!$B$28="","",'Slot Times'!$B$12)</f>
        <v/>
      </c>
      <c r="D154" s="35" t="str">
        <f>IF(Sequences!$B$28="","",'Slot Times'!$G$12)</f>
        <v/>
      </c>
      <c r="E154" s="35" t="str">
        <f>IF(Sequences!$B$28="","",Sequences!$B$28)</f>
        <v/>
      </c>
      <c r="F154" s="34" t="str">
        <f>IF(OR(Sequences!$B$28="",'Slot Times'!$F$12=""),"",'Slot Times'!$F$12+Sequences!$C$28/1440)</f>
        <v/>
      </c>
      <c r="G154" s="34" t="str">
        <f>IF($F154="","",$F154+Sequences!$D$28/1440)</f>
        <v/>
      </c>
      <c r="H154" s="35" t="str">
        <f>IF(Sequences!$B$28="","",Sequences!$E$28)</f>
        <v/>
      </c>
    </row>
    <row r="155" spans="1:8" x14ac:dyDescent="0.2">
      <c r="A155" s="35" t="str">
        <f>IF(Sequences!$B$29="","",Sequences!$F$16)</f>
        <v/>
      </c>
      <c r="B155" s="35" t="str">
        <f>IF(Sequences!$B$29="","",Sequences!$A$16)</f>
        <v/>
      </c>
      <c r="C155" s="20" t="str">
        <f>IF(Sequences!$B$29="","",'Slot Times'!$B$12)</f>
        <v/>
      </c>
      <c r="D155" s="35" t="str">
        <f>IF(Sequences!$B$29="","",'Slot Times'!$G$12)</f>
        <v/>
      </c>
      <c r="E155" s="35" t="str">
        <f>IF(Sequences!$B$29="","",Sequences!$B$29)</f>
        <v/>
      </c>
      <c r="F155" s="34" t="str">
        <f>IF(OR(Sequences!$B$29="",'Slot Times'!$F$12=""),"",'Slot Times'!$F$12+Sequences!$C$29/1440)</f>
        <v/>
      </c>
      <c r="G155" s="34" t="str">
        <f>IF($F155="","",$F155+Sequences!$D$29/1440)</f>
        <v/>
      </c>
      <c r="H155" s="35" t="str">
        <f>IF(Sequences!$B$29="","",Sequences!$E$29)</f>
        <v/>
      </c>
    </row>
    <row r="156" spans="1:8" x14ac:dyDescent="0.2">
      <c r="A156" s="35" t="str">
        <f>IF(Sequences!$B$16="","",Sequences!$F$16)</f>
        <v>Saturday</v>
      </c>
      <c r="B156" s="35" t="str">
        <f>IF(Sequences!$B$16="","",Sequences!$A$16)</f>
        <v>Saturday Photos</v>
      </c>
      <c r="C156" s="20">
        <f>IF(Sequences!$B$16="","",'Slot Times'!$B$13)</f>
        <v>4</v>
      </c>
      <c r="D156" s="35" t="str">
        <f>IF(Sequences!$B$16="","",'Slot Times'!$G$13)</f>
        <v>(not drawn)</v>
      </c>
      <c r="E156" s="35" t="str">
        <f>IF(Sequences!$B$16="","",Sequences!$B$16)</f>
        <v>Staircase (Team Boomerang)</v>
      </c>
      <c r="F156" s="34">
        <f>IF(OR(Sequences!$B$16="",'Slot Times'!$F$13=""),"",'Slot Times'!$F$13+Sequences!$C$16/1440)</f>
        <v>0.63541666666666663</v>
      </c>
      <c r="G156" s="34">
        <f>IF($F156="","",$F156+Sequences!$D$16/1440)</f>
        <v>0.63888888888888884</v>
      </c>
      <c r="H156" s="35" t="str">
        <f>IF(Sequences!$B$16="","",Sequences!$E$16)</f>
        <v>IU Auditorium — Staircase</v>
      </c>
    </row>
    <row r="157" spans="1:8" x14ac:dyDescent="0.2">
      <c r="A157" s="35" t="str">
        <f>IF(Sequences!$B$17="","",Sequences!$F$16)</f>
        <v>Saturday</v>
      </c>
      <c r="B157" s="35" t="str">
        <f>IF(Sequences!$B$17="","",Sequences!$A$16)</f>
        <v>Saturday Photos</v>
      </c>
      <c r="C157" s="20">
        <f>IF(Sequences!$B$17="","",'Slot Times'!$B$13)</f>
        <v>4</v>
      </c>
      <c r="D157" s="35" t="str">
        <f>IF(Sequences!$B$17="","",'Slot Times'!$G$13)</f>
        <v>(not drawn)</v>
      </c>
      <c r="E157" s="35" t="str">
        <f>IF(Sequences!$B$17="","",Sequences!$B$17)</f>
        <v>Balcony (Team Photo)</v>
      </c>
      <c r="F157" s="34">
        <f>IF(OR(Sequences!$B$17="",'Slot Times'!$F$13=""),"",'Slot Times'!$F$13+Sequences!$C$17/1440)</f>
        <v>0.63888888888888884</v>
      </c>
      <c r="G157" s="34">
        <f>IF($F157="","",$F157+Sequences!$D$17/1440)</f>
        <v>0.64236111111111105</v>
      </c>
      <c r="H157" s="35" t="str">
        <f>IF(Sequences!$B$17="","",Sequences!$E$17)</f>
        <v>IU Auditorium — Balcony</v>
      </c>
    </row>
    <row r="158" spans="1:8" x14ac:dyDescent="0.2">
      <c r="A158" s="35" t="str">
        <f>IF(Sequences!$B$18="","",Sequences!$F$16)</f>
        <v/>
      </c>
      <c r="B158" s="35" t="str">
        <f>IF(Sequences!$B$18="","",Sequences!$A$16)</f>
        <v/>
      </c>
      <c r="C158" s="20" t="str">
        <f>IF(Sequences!$B$18="","",'Slot Times'!$B$13)</f>
        <v/>
      </c>
      <c r="D158" s="35" t="str">
        <f>IF(Sequences!$B$18="","",'Slot Times'!$G$13)</f>
        <v/>
      </c>
      <c r="E158" s="35" t="str">
        <f>IF(Sequences!$B$18="","",Sequences!$B$18)</f>
        <v/>
      </c>
      <c r="F158" s="34" t="str">
        <f>IF(OR(Sequences!$B$18="",'Slot Times'!$F$13=""),"",'Slot Times'!$F$13+Sequences!$C$18/1440)</f>
        <v/>
      </c>
      <c r="G158" s="34" t="str">
        <f>IF($F158="","",$F158+Sequences!$D$18/1440)</f>
        <v/>
      </c>
      <c r="H158" s="35" t="str">
        <f>IF(Sequences!$B$18="","",Sequences!$E$18)</f>
        <v/>
      </c>
    </row>
    <row r="159" spans="1:8" x14ac:dyDescent="0.2">
      <c r="A159" s="35" t="str">
        <f>IF(Sequences!$B$19="","",Sequences!$F$16)</f>
        <v/>
      </c>
      <c r="B159" s="35" t="str">
        <f>IF(Sequences!$B$19="","",Sequences!$A$16)</f>
        <v/>
      </c>
      <c r="C159" s="20" t="str">
        <f>IF(Sequences!$B$19="","",'Slot Times'!$B$13)</f>
        <v/>
      </c>
      <c r="D159" s="35" t="str">
        <f>IF(Sequences!$B$19="","",'Slot Times'!$G$13)</f>
        <v/>
      </c>
      <c r="E159" s="35" t="str">
        <f>IF(Sequences!$B$19="","",Sequences!$B$19)</f>
        <v/>
      </c>
      <c r="F159" s="34" t="str">
        <f>IF(OR(Sequences!$B$19="",'Slot Times'!$F$13=""),"",'Slot Times'!$F$13+Sequences!$C$19/1440)</f>
        <v/>
      </c>
      <c r="G159" s="34" t="str">
        <f>IF($F159="","",$F159+Sequences!$D$19/1440)</f>
        <v/>
      </c>
      <c r="H159" s="35" t="str">
        <f>IF(Sequences!$B$19="","",Sequences!$E$19)</f>
        <v/>
      </c>
    </row>
    <row r="160" spans="1:8" x14ac:dyDescent="0.2">
      <c r="A160" s="35" t="str">
        <f>IF(Sequences!$B$20="","",Sequences!$F$16)</f>
        <v/>
      </c>
      <c r="B160" s="35" t="str">
        <f>IF(Sequences!$B$20="","",Sequences!$A$16)</f>
        <v/>
      </c>
      <c r="C160" s="20" t="str">
        <f>IF(Sequences!$B$20="","",'Slot Times'!$B$13)</f>
        <v/>
      </c>
      <c r="D160" s="35" t="str">
        <f>IF(Sequences!$B$20="","",'Slot Times'!$G$13)</f>
        <v/>
      </c>
      <c r="E160" s="35" t="str">
        <f>IF(Sequences!$B$20="","",Sequences!$B$20)</f>
        <v/>
      </c>
      <c r="F160" s="34" t="str">
        <f>IF(OR(Sequences!$B$20="",'Slot Times'!$F$13=""),"",'Slot Times'!$F$13+Sequences!$C$20/1440)</f>
        <v/>
      </c>
      <c r="G160" s="34" t="str">
        <f>IF($F160="","",$F160+Sequences!$D$20/1440)</f>
        <v/>
      </c>
      <c r="H160" s="35" t="str">
        <f>IF(Sequences!$B$20="","",Sequences!$E$20)</f>
        <v/>
      </c>
    </row>
    <row r="161" spans="1:8" x14ac:dyDescent="0.2">
      <c r="A161" s="35" t="str">
        <f>IF(Sequences!$B$21="","",Sequences!$F$16)</f>
        <v/>
      </c>
      <c r="B161" s="35" t="str">
        <f>IF(Sequences!$B$21="","",Sequences!$A$16)</f>
        <v/>
      </c>
      <c r="C161" s="20" t="str">
        <f>IF(Sequences!$B$21="","",'Slot Times'!$B$13)</f>
        <v/>
      </c>
      <c r="D161" s="35" t="str">
        <f>IF(Sequences!$B$21="","",'Slot Times'!$G$13)</f>
        <v/>
      </c>
      <c r="E161" s="35" t="str">
        <f>IF(Sequences!$B$21="","",Sequences!$B$21)</f>
        <v/>
      </c>
      <c r="F161" s="34" t="str">
        <f>IF(OR(Sequences!$B$21="",'Slot Times'!$F$13=""),"",'Slot Times'!$F$13+Sequences!$C$21/1440)</f>
        <v/>
      </c>
      <c r="G161" s="34" t="str">
        <f>IF($F161="","",$F161+Sequences!$D$21/1440)</f>
        <v/>
      </c>
      <c r="H161" s="35" t="str">
        <f>IF(Sequences!$B$21="","",Sequences!$E$21)</f>
        <v/>
      </c>
    </row>
    <row r="162" spans="1:8" x14ac:dyDescent="0.2">
      <c r="A162" s="35" t="str">
        <f>IF(Sequences!$B$22="","",Sequences!$F$16)</f>
        <v/>
      </c>
      <c r="B162" s="35" t="str">
        <f>IF(Sequences!$B$22="","",Sequences!$A$16)</f>
        <v/>
      </c>
      <c r="C162" s="20" t="str">
        <f>IF(Sequences!$B$22="","",'Slot Times'!$B$13)</f>
        <v/>
      </c>
      <c r="D162" s="35" t="str">
        <f>IF(Sequences!$B$22="","",'Slot Times'!$G$13)</f>
        <v/>
      </c>
      <c r="E162" s="35" t="str">
        <f>IF(Sequences!$B$22="","",Sequences!$B$22)</f>
        <v/>
      </c>
      <c r="F162" s="34" t="str">
        <f>IF(OR(Sequences!$B$22="",'Slot Times'!$F$13=""),"",'Slot Times'!$F$13+Sequences!$C$22/1440)</f>
        <v/>
      </c>
      <c r="G162" s="34" t="str">
        <f>IF($F162="","",$F162+Sequences!$D$22/1440)</f>
        <v/>
      </c>
      <c r="H162" s="35" t="str">
        <f>IF(Sequences!$B$22="","",Sequences!$E$22)</f>
        <v/>
      </c>
    </row>
    <row r="163" spans="1:8" x14ac:dyDescent="0.2">
      <c r="A163" s="35" t="str">
        <f>IF(Sequences!$B$23="","",Sequences!$F$16)</f>
        <v/>
      </c>
      <c r="B163" s="35" t="str">
        <f>IF(Sequences!$B$23="","",Sequences!$A$16)</f>
        <v/>
      </c>
      <c r="C163" s="20" t="str">
        <f>IF(Sequences!$B$23="","",'Slot Times'!$B$13)</f>
        <v/>
      </c>
      <c r="D163" s="35" t="str">
        <f>IF(Sequences!$B$23="","",'Slot Times'!$G$13)</f>
        <v/>
      </c>
      <c r="E163" s="35" t="str">
        <f>IF(Sequences!$B$23="","",Sequences!$B$23)</f>
        <v/>
      </c>
      <c r="F163" s="34" t="str">
        <f>IF(OR(Sequences!$B$23="",'Slot Times'!$F$13=""),"",'Slot Times'!$F$13+Sequences!$C$23/1440)</f>
        <v/>
      </c>
      <c r="G163" s="34" t="str">
        <f>IF($F163="","",$F163+Sequences!$D$23/1440)</f>
        <v/>
      </c>
      <c r="H163" s="35" t="str">
        <f>IF(Sequences!$B$23="","",Sequences!$E$23)</f>
        <v/>
      </c>
    </row>
    <row r="164" spans="1:8" x14ac:dyDescent="0.2">
      <c r="A164" s="35" t="str">
        <f>IF(Sequences!$B$24="","",Sequences!$F$16)</f>
        <v/>
      </c>
      <c r="B164" s="35" t="str">
        <f>IF(Sequences!$B$24="","",Sequences!$A$16)</f>
        <v/>
      </c>
      <c r="C164" s="20" t="str">
        <f>IF(Sequences!$B$24="","",'Slot Times'!$B$13)</f>
        <v/>
      </c>
      <c r="D164" s="35" t="str">
        <f>IF(Sequences!$B$24="","",'Slot Times'!$G$13)</f>
        <v/>
      </c>
      <c r="E164" s="35" t="str">
        <f>IF(Sequences!$B$24="","",Sequences!$B$24)</f>
        <v/>
      </c>
      <c r="F164" s="34" t="str">
        <f>IF(OR(Sequences!$B$24="",'Slot Times'!$F$13=""),"",'Slot Times'!$F$13+Sequences!$C$24/1440)</f>
        <v/>
      </c>
      <c r="G164" s="34" t="str">
        <f>IF($F164="","",$F164+Sequences!$D$24/1440)</f>
        <v/>
      </c>
      <c r="H164" s="35" t="str">
        <f>IF(Sequences!$B$24="","",Sequences!$E$24)</f>
        <v/>
      </c>
    </row>
    <row r="165" spans="1:8" x14ac:dyDescent="0.2">
      <c r="A165" s="35" t="str">
        <f>IF(Sequences!$B$25="","",Sequences!$F$16)</f>
        <v/>
      </c>
      <c r="B165" s="35" t="str">
        <f>IF(Sequences!$B$25="","",Sequences!$A$16)</f>
        <v/>
      </c>
      <c r="C165" s="20" t="str">
        <f>IF(Sequences!$B$25="","",'Slot Times'!$B$13)</f>
        <v/>
      </c>
      <c r="D165" s="35" t="str">
        <f>IF(Sequences!$B$25="","",'Slot Times'!$G$13)</f>
        <v/>
      </c>
      <c r="E165" s="35" t="str">
        <f>IF(Sequences!$B$25="","",Sequences!$B$25)</f>
        <v/>
      </c>
      <c r="F165" s="34" t="str">
        <f>IF(OR(Sequences!$B$25="",'Slot Times'!$F$13=""),"",'Slot Times'!$F$13+Sequences!$C$25/1440)</f>
        <v/>
      </c>
      <c r="G165" s="34" t="str">
        <f>IF($F165="","",$F165+Sequences!$D$25/1440)</f>
        <v/>
      </c>
      <c r="H165" s="35" t="str">
        <f>IF(Sequences!$B$25="","",Sequences!$E$25)</f>
        <v/>
      </c>
    </row>
    <row r="166" spans="1:8" x14ac:dyDescent="0.2">
      <c r="A166" s="35" t="str">
        <f>IF(Sequences!$B$26="","",Sequences!$F$16)</f>
        <v/>
      </c>
      <c r="B166" s="35" t="str">
        <f>IF(Sequences!$B$26="","",Sequences!$A$16)</f>
        <v/>
      </c>
      <c r="C166" s="20" t="str">
        <f>IF(Sequences!$B$26="","",'Slot Times'!$B$13)</f>
        <v/>
      </c>
      <c r="D166" s="35" t="str">
        <f>IF(Sequences!$B$26="","",'Slot Times'!$G$13)</f>
        <v/>
      </c>
      <c r="E166" s="35" t="str">
        <f>IF(Sequences!$B$26="","",Sequences!$B$26)</f>
        <v/>
      </c>
      <c r="F166" s="34" t="str">
        <f>IF(OR(Sequences!$B$26="",'Slot Times'!$F$13=""),"",'Slot Times'!$F$13+Sequences!$C$26/1440)</f>
        <v/>
      </c>
      <c r="G166" s="34" t="str">
        <f>IF($F166="","",$F166+Sequences!$D$26/1440)</f>
        <v/>
      </c>
      <c r="H166" s="35" t="str">
        <f>IF(Sequences!$B$26="","",Sequences!$E$26)</f>
        <v/>
      </c>
    </row>
    <row r="167" spans="1:8" x14ac:dyDescent="0.2">
      <c r="A167" s="35" t="str">
        <f>IF(Sequences!$B$27="","",Sequences!$F$16)</f>
        <v/>
      </c>
      <c r="B167" s="35" t="str">
        <f>IF(Sequences!$B$27="","",Sequences!$A$16)</f>
        <v/>
      </c>
      <c r="C167" s="20" t="str">
        <f>IF(Sequences!$B$27="","",'Slot Times'!$B$13)</f>
        <v/>
      </c>
      <c r="D167" s="35" t="str">
        <f>IF(Sequences!$B$27="","",'Slot Times'!$G$13)</f>
        <v/>
      </c>
      <c r="E167" s="35" t="str">
        <f>IF(Sequences!$B$27="","",Sequences!$B$27)</f>
        <v/>
      </c>
      <c r="F167" s="34" t="str">
        <f>IF(OR(Sequences!$B$27="",'Slot Times'!$F$13=""),"",'Slot Times'!$F$13+Sequences!$C$27/1440)</f>
        <v/>
      </c>
      <c r="G167" s="34" t="str">
        <f>IF($F167="","",$F167+Sequences!$D$27/1440)</f>
        <v/>
      </c>
      <c r="H167" s="35" t="str">
        <f>IF(Sequences!$B$27="","",Sequences!$E$27)</f>
        <v/>
      </c>
    </row>
    <row r="168" spans="1:8" x14ac:dyDescent="0.2">
      <c r="A168" s="35" t="str">
        <f>IF(Sequences!$B$28="","",Sequences!$F$16)</f>
        <v/>
      </c>
      <c r="B168" s="35" t="str">
        <f>IF(Sequences!$B$28="","",Sequences!$A$16)</f>
        <v/>
      </c>
      <c r="C168" s="20" t="str">
        <f>IF(Sequences!$B$28="","",'Slot Times'!$B$13)</f>
        <v/>
      </c>
      <c r="D168" s="35" t="str">
        <f>IF(Sequences!$B$28="","",'Slot Times'!$G$13)</f>
        <v/>
      </c>
      <c r="E168" s="35" t="str">
        <f>IF(Sequences!$B$28="","",Sequences!$B$28)</f>
        <v/>
      </c>
      <c r="F168" s="34" t="str">
        <f>IF(OR(Sequences!$B$28="",'Slot Times'!$F$13=""),"",'Slot Times'!$F$13+Sequences!$C$28/1440)</f>
        <v/>
      </c>
      <c r="G168" s="34" t="str">
        <f>IF($F168="","",$F168+Sequences!$D$28/1440)</f>
        <v/>
      </c>
      <c r="H168" s="35" t="str">
        <f>IF(Sequences!$B$28="","",Sequences!$E$28)</f>
        <v/>
      </c>
    </row>
    <row r="169" spans="1:8" x14ac:dyDescent="0.2">
      <c r="A169" s="35" t="str">
        <f>IF(Sequences!$B$29="","",Sequences!$F$16)</f>
        <v/>
      </c>
      <c r="B169" s="35" t="str">
        <f>IF(Sequences!$B$29="","",Sequences!$A$16)</f>
        <v/>
      </c>
      <c r="C169" s="20" t="str">
        <f>IF(Sequences!$B$29="","",'Slot Times'!$B$13)</f>
        <v/>
      </c>
      <c r="D169" s="35" t="str">
        <f>IF(Sequences!$B$29="","",'Slot Times'!$G$13)</f>
        <v/>
      </c>
      <c r="E169" s="35" t="str">
        <f>IF(Sequences!$B$29="","",Sequences!$B$29)</f>
        <v/>
      </c>
      <c r="F169" s="34" t="str">
        <f>IF(OR(Sequences!$B$29="",'Slot Times'!$F$13=""),"",'Slot Times'!$F$13+Sequences!$C$29/1440)</f>
        <v/>
      </c>
      <c r="G169" s="34" t="str">
        <f>IF($F169="","",$F169+Sequences!$D$29/1440)</f>
        <v/>
      </c>
      <c r="H169" s="35" t="str">
        <f>IF(Sequences!$B$29="","",Sequences!$E$29)</f>
        <v/>
      </c>
    </row>
    <row r="170" spans="1:8" x14ac:dyDescent="0.2">
      <c r="A170" s="35" t="str">
        <f>IF(Sequences!$B$16="","",Sequences!$F$16)</f>
        <v>Saturday</v>
      </c>
      <c r="B170" s="35" t="str">
        <f>IF(Sequences!$B$16="","",Sequences!$A$16)</f>
        <v>Saturday Photos</v>
      </c>
      <c r="C170" s="20">
        <f>IF(Sequences!$B$16="","",'Slot Times'!$B$14)</f>
        <v>5</v>
      </c>
      <c r="D170" s="35" t="str">
        <f>IF(Sequences!$B$16="","",'Slot Times'!$G$14)</f>
        <v>(not drawn)</v>
      </c>
      <c r="E170" s="35" t="str">
        <f>IF(Sequences!$B$16="","",Sequences!$B$16)</f>
        <v>Staircase (Team Boomerang)</v>
      </c>
      <c r="F170" s="34">
        <f>IF(OR(Sequences!$B$16="",'Slot Times'!$F$14=""),"",'Slot Times'!$F$14+Sequences!$C$16/1440)</f>
        <v>0.64236111111111105</v>
      </c>
      <c r="G170" s="34">
        <f>IF($F170="","",$F170+Sequences!$D$16/1440)</f>
        <v>0.64583333333333326</v>
      </c>
      <c r="H170" s="35" t="str">
        <f>IF(Sequences!$B$16="","",Sequences!$E$16)</f>
        <v>IU Auditorium — Staircase</v>
      </c>
    </row>
    <row r="171" spans="1:8" x14ac:dyDescent="0.2">
      <c r="A171" s="35" t="str">
        <f>IF(Sequences!$B$17="","",Sequences!$F$16)</f>
        <v>Saturday</v>
      </c>
      <c r="B171" s="35" t="str">
        <f>IF(Sequences!$B$17="","",Sequences!$A$16)</f>
        <v>Saturday Photos</v>
      </c>
      <c r="C171" s="20">
        <f>IF(Sequences!$B$17="","",'Slot Times'!$B$14)</f>
        <v>5</v>
      </c>
      <c r="D171" s="35" t="str">
        <f>IF(Sequences!$B$17="","",'Slot Times'!$G$14)</f>
        <v>(not drawn)</v>
      </c>
      <c r="E171" s="35" t="str">
        <f>IF(Sequences!$B$17="","",Sequences!$B$17)</f>
        <v>Balcony (Team Photo)</v>
      </c>
      <c r="F171" s="34">
        <f>IF(OR(Sequences!$B$17="",'Slot Times'!$F$14=""),"",'Slot Times'!$F$14+Sequences!$C$17/1440)</f>
        <v>0.64583333333333326</v>
      </c>
      <c r="G171" s="34">
        <f>IF($F171="","",$F171+Sequences!$D$17/1440)</f>
        <v>0.64930555555555547</v>
      </c>
      <c r="H171" s="35" t="str">
        <f>IF(Sequences!$B$17="","",Sequences!$E$17)</f>
        <v>IU Auditorium — Balcony</v>
      </c>
    </row>
    <row r="172" spans="1:8" x14ac:dyDescent="0.2">
      <c r="A172" s="35" t="str">
        <f>IF(Sequences!$B$18="","",Sequences!$F$16)</f>
        <v/>
      </c>
      <c r="B172" s="35" t="str">
        <f>IF(Sequences!$B$18="","",Sequences!$A$16)</f>
        <v/>
      </c>
      <c r="C172" s="20" t="str">
        <f>IF(Sequences!$B$18="","",'Slot Times'!$B$14)</f>
        <v/>
      </c>
      <c r="D172" s="35" t="str">
        <f>IF(Sequences!$B$18="","",'Slot Times'!$G$14)</f>
        <v/>
      </c>
      <c r="E172" s="35" t="str">
        <f>IF(Sequences!$B$18="","",Sequences!$B$18)</f>
        <v/>
      </c>
      <c r="F172" s="34" t="str">
        <f>IF(OR(Sequences!$B$18="",'Slot Times'!$F$14=""),"",'Slot Times'!$F$14+Sequences!$C$18/1440)</f>
        <v/>
      </c>
      <c r="G172" s="34" t="str">
        <f>IF($F172="","",$F172+Sequences!$D$18/1440)</f>
        <v/>
      </c>
      <c r="H172" s="35" t="str">
        <f>IF(Sequences!$B$18="","",Sequences!$E$18)</f>
        <v/>
      </c>
    </row>
    <row r="173" spans="1:8" x14ac:dyDescent="0.2">
      <c r="A173" s="35" t="str">
        <f>IF(Sequences!$B$19="","",Sequences!$F$16)</f>
        <v/>
      </c>
      <c r="B173" s="35" t="str">
        <f>IF(Sequences!$B$19="","",Sequences!$A$16)</f>
        <v/>
      </c>
      <c r="C173" s="20" t="str">
        <f>IF(Sequences!$B$19="","",'Slot Times'!$B$14)</f>
        <v/>
      </c>
      <c r="D173" s="35" t="str">
        <f>IF(Sequences!$B$19="","",'Slot Times'!$G$14)</f>
        <v/>
      </c>
      <c r="E173" s="35" t="str">
        <f>IF(Sequences!$B$19="","",Sequences!$B$19)</f>
        <v/>
      </c>
      <c r="F173" s="34" t="str">
        <f>IF(OR(Sequences!$B$19="",'Slot Times'!$F$14=""),"",'Slot Times'!$F$14+Sequences!$C$19/1440)</f>
        <v/>
      </c>
      <c r="G173" s="34" t="str">
        <f>IF($F173="","",$F173+Sequences!$D$19/1440)</f>
        <v/>
      </c>
      <c r="H173" s="35" t="str">
        <f>IF(Sequences!$B$19="","",Sequences!$E$19)</f>
        <v/>
      </c>
    </row>
    <row r="174" spans="1:8" x14ac:dyDescent="0.2">
      <c r="A174" s="35" t="str">
        <f>IF(Sequences!$B$20="","",Sequences!$F$16)</f>
        <v/>
      </c>
      <c r="B174" s="35" t="str">
        <f>IF(Sequences!$B$20="","",Sequences!$A$16)</f>
        <v/>
      </c>
      <c r="C174" s="20" t="str">
        <f>IF(Sequences!$B$20="","",'Slot Times'!$B$14)</f>
        <v/>
      </c>
      <c r="D174" s="35" t="str">
        <f>IF(Sequences!$B$20="","",'Slot Times'!$G$14)</f>
        <v/>
      </c>
      <c r="E174" s="35" t="str">
        <f>IF(Sequences!$B$20="","",Sequences!$B$20)</f>
        <v/>
      </c>
      <c r="F174" s="34" t="str">
        <f>IF(OR(Sequences!$B$20="",'Slot Times'!$F$14=""),"",'Slot Times'!$F$14+Sequences!$C$20/1440)</f>
        <v/>
      </c>
      <c r="G174" s="34" t="str">
        <f>IF($F174="","",$F174+Sequences!$D$20/1440)</f>
        <v/>
      </c>
      <c r="H174" s="35" t="str">
        <f>IF(Sequences!$B$20="","",Sequences!$E$20)</f>
        <v/>
      </c>
    </row>
    <row r="175" spans="1:8" x14ac:dyDescent="0.2">
      <c r="A175" s="35" t="str">
        <f>IF(Sequences!$B$21="","",Sequences!$F$16)</f>
        <v/>
      </c>
      <c r="B175" s="35" t="str">
        <f>IF(Sequences!$B$21="","",Sequences!$A$16)</f>
        <v/>
      </c>
      <c r="C175" s="20" t="str">
        <f>IF(Sequences!$B$21="","",'Slot Times'!$B$14)</f>
        <v/>
      </c>
      <c r="D175" s="35" t="str">
        <f>IF(Sequences!$B$21="","",'Slot Times'!$G$14)</f>
        <v/>
      </c>
      <c r="E175" s="35" t="str">
        <f>IF(Sequences!$B$21="","",Sequences!$B$21)</f>
        <v/>
      </c>
      <c r="F175" s="34" t="str">
        <f>IF(OR(Sequences!$B$21="",'Slot Times'!$F$14=""),"",'Slot Times'!$F$14+Sequences!$C$21/1440)</f>
        <v/>
      </c>
      <c r="G175" s="34" t="str">
        <f>IF($F175="","",$F175+Sequences!$D$21/1440)</f>
        <v/>
      </c>
      <c r="H175" s="35" t="str">
        <f>IF(Sequences!$B$21="","",Sequences!$E$21)</f>
        <v/>
      </c>
    </row>
    <row r="176" spans="1:8" x14ac:dyDescent="0.2">
      <c r="A176" s="35" t="str">
        <f>IF(Sequences!$B$22="","",Sequences!$F$16)</f>
        <v/>
      </c>
      <c r="B176" s="35" t="str">
        <f>IF(Sequences!$B$22="","",Sequences!$A$16)</f>
        <v/>
      </c>
      <c r="C176" s="20" t="str">
        <f>IF(Sequences!$B$22="","",'Slot Times'!$B$14)</f>
        <v/>
      </c>
      <c r="D176" s="35" t="str">
        <f>IF(Sequences!$B$22="","",'Slot Times'!$G$14)</f>
        <v/>
      </c>
      <c r="E176" s="35" t="str">
        <f>IF(Sequences!$B$22="","",Sequences!$B$22)</f>
        <v/>
      </c>
      <c r="F176" s="34" t="str">
        <f>IF(OR(Sequences!$B$22="",'Slot Times'!$F$14=""),"",'Slot Times'!$F$14+Sequences!$C$22/1440)</f>
        <v/>
      </c>
      <c r="G176" s="34" t="str">
        <f>IF($F176="","",$F176+Sequences!$D$22/1440)</f>
        <v/>
      </c>
      <c r="H176" s="35" t="str">
        <f>IF(Sequences!$B$22="","",Sequences!$E$22)</f>
        <v/>
      </c>
    </row>
    <row r="177" spans="1:8" x14ac:dyDescent="0.2">
      <c r="A177" s="35" t="str">
        <f>IF(Sequences!$B$23="","",Sequences!$F$16)</f>
        <v/>
      </c>
      <c r="B177" s="35" t="str">
        <f>IF(Sequences!$B$23="","",Sequences!$A$16)</f>
        <v/>
      </c>
      <c r="C177" s="20" t="str">
        <f>IF(Sequences!$B$23="","",'Slot Times'!$B$14)</f>
        <v/>
      </c>
      <c r="D177" s="35" t="str">
        <f>IF(Sequences!$B$23="","",'Slot Times'!$G$14)</f>
        <v/>
      </c>
      <c r="E177" s="35" t="str">
        <f>IF(Sequences!$B$23="","",Sequences!$B$23)</f>
        <v/>
      </c>
      <c r="F177" s="34" t="str">
        <f>IF(OR(Sequences!$B$23="",'Slot Times'!$F$14=""),"",'Slot Times'!$F$14+Sequences!$C$23/1440)</f>
        <v/>
      </c>
      <c r="G177" s="34" t="str">
        <f>IF($F177="","",$F177+Sequences!$D$23/1440)</f>
        <v/>
      </c>
      <c r="H177" s="35" t="str">
        <f>IF(Sequences!$B$23="","",Sequences!$E$23)</f>
        <v/>
      </c>
    </row>
    <row r="178" spans="1:8" x14ac:dyDescent="0.2">
      <c r="A178" s="35" t="str">
        <f>IF(Sequences!$B$24="","",Sequences!$F$16)</f>
        <v/>
      </c>
      <c r="B178" s="35" t="str">
        <f>IF(Sequences!$B$24="","",Sequences!$A$16)</f>
        <v/>
      </c>
      <c r="C178" s="20" t="str">
        <f>IF(Sequences!$B$24="","",'Slot Times'!$B$14)</f>
        <v/>
      </c>
      <c r="D178" s="35" t="str">
        <f>IF(Sequences!$B$24="","",'Slot Times'!$G$14)</f>
        <v/>
      </c>
      <c r="E178" s="35" t="str">
        <f>IF(Sequences!$B$24="","",Sequences!$B$24)</f>
        <v/>
      </c>
      <c r="F178" s="34" t="str">
        <f>IF(OR(Sequences!$B$24="",'Slot Times'!$F$14=""),"",'Slot Times'!$F$14+Sequences!$C$24/1440)</f>
        <v/>
      </c>
      <c r="G178" s="34" t="str">
        <f>IF($F178="","",$F178+Sequences!$D$24/1440)</f>
        <v/>
      </c>
      <c r="H178" s="35" t="str">
        <f>IF(Sequences!$B$24="","",Sequences!$E$24)</f>
        <v/>
      </c>
    </row>
    <row r="179" spans="1:8" x14ac:dyDescent="0.2">
      <c r="A179" s="35" t="str">
        <f>IF(Sequences!$B$25="","",Sequences!$F$16)</f>
        <v/>
      </c>
      <c r="B179" s="35" t="str">
        <f>IF(Sequences!$B$25="","",Sequences!$A$16)</f>
        <v/>
      </c>
      <c r="C179" s="20" t="str">
        <f>IF(Sequences!$B$25="","",'Slot Times'!$B$14)</f>
        <v/>
      </c>
      <c r="D179" s="35" t="str">
        <f>IF(Sequences!$B$25="","",'Slot Times'!$G$14)</f>
        <v/>
      </c>
      <c r="E179" s="35" t="str">
        <f>IF(Sequences!$B$25="","",Sequences!$B$25)</f>
        <v/>
      </c>
      <c r="F179" s="34" t="str">
        <f>IF(OR(Sequences!$B$25="",'Slot Times'!$F$14=""),"",'Slot Times'!$F$14+Sequences!$C$25/1440)</f>
        <v/>
      </c>
      <c r="G179" s="34" t="str">
        <f>IF($F179="","",$F179+Sequences!$D$25/1440)</f>
        <v/>
      </c>
      <c r="H179" s="35" t="str">
        <f>IF(Sequences!$B$25="","",Sequences!$E$25)</f>
        <v/>
      </c>
    </row>
    <row r="180" spans="1:8" x14ac:dyDescent="0.2">
      <c r="A180" s="35" t="str">
        <f>IF(Sequences!$B$26="","",Sequences!$F$16)</f>
        <v/>
      </c>
      <c r="B180" s="35" t="str">
        <f>IF(Sequences!$B$26="","",Sequences!$A$16)</f>
        <v/>
      </c>
      <c r="C180" s="20" t="str">
        <f>IF(Sequences!$B$26="","",'Slot Times'!$B$14)</f>
        <v/>
      </c>
      <c r="D180" s="35" t="str">
        <f>IF(Sequences!$B$26="","",'Slot Times'!$G$14)</f>
        <v/>
      </c>
      <c r="E180" s="35" t="str">
        <f>IF(Sequences!$B$26="","",Sequences!$B$26)</f>
        <v/>
      </c>
      <c r="F180" s="34" t="str">
        <f>IF(OR(Sequences!$B$26="",'Slot Times'!$F$14=""),"",'Slot Times'!$F$14+Sequences!$C$26/1440)</f>
        <v/>
      </c>
      <c r="G180" s="34" t="str">
        <f>IF($F180="","",$F180+Sequences!$D$26/1440)</f>
        <v/>
      </c>
      <c r="H180" s="35" t="str">
        <f>IF(Sequences!$B$26="","",Sequences!$E$26)</f>
        <v/>
      </c>
    </row>
    <row r="181" spans="1:8" x14ac:dyDescent="0.2">
      <c r="A181" s="35" t="str">
        <f>IF(Sequences!$B$27="","",Sequences!$F$16)</f>
        <v/>
      </c>
      <c r="B181" s="35" t="str">
        <f>IF(Sequences!$B$27="","",Sequences!$A$16)</f>
        <v/>
      </c>
      <c r="C181" s="20" t="str">
        <f>IF(Sequences!$B$27="","",'Slot Times'!$B$14)</f>
        <v/>
      </c>
      <c r="D181" s="35" t="str">
        <f>IF(Sequences!$B$27="","",'Slot Times'!$G$14)</f>
        <v/>
      </c>
      <c r="E181" s="35" t="str">
        <f>IF(Sequences!$B$27="","",Sequences!$B$27)</f>
        <v/>
      </c>
      <c r="F181" s="34" t="str">
        <f>IF(OR(Sequences!$B$27="",'Slot Times'!$F$14=""),"",'Slot Times'!$F$14+Sequences!$C$27/1440)</f>
        <v/>
      </c>
      <c r="G181" s="34" t="str">
        <f>IF($F181="","",$F181+Sequences!$D$27/1440)</f>
        <v/>
      </c>
      <c r="H181" s="35" t="str">
        <f>IF(Sequences!$B$27="","",Sequences!$E$27)</f>
        <v/>
      </c>
    </row>
    <row r="182" spans="1:8" x14ac:dyDescent="0.2">
      <c r="A182" s="35" t="str">
        <f>IF(Sequences!$B$28="","",Sequences!$F$16)</f>
        <v/>
      </c>
      <c r="B182" s="35" t="str">
        <f>IF(Sequences!$B$28="","",Sequences!$A$16)</f>
        <v/>
      </c>
      <c r="C182" s="20" t="str">
        <f>IF(Sequences!$B$28="","",'Slot Times'!$B$14)</f>
        <v/>
      </c>
      <c r="D182" s="35" t="str">
        <f>IF(Sequences!$B$28="","",'Slot Times'!$G$14)</f>
        <v/>
      </c>
      <c r="E182" s="35" t="str">
        <f>IF(Sequences!$B$28="","",Sequences!$B$28)</f>
        <v/>
      </c>
      <c r="F182" s="34" t="str">
        <f>IF(OR(Sequences!$B$28="",'Slot Times'!$F$14=""),"",'Slot Times'!$F$14+Sequences!$C$28/1440)</f>
        <v/>
      </c>
      <c r="G182" s="34" t="str">
        <f>IF($F182="","",$F182+Sequences!$D$28/1440)</f>
        <v/>
      </c>
      <c r="H182" s="35" t="str">
        <f>IF(Sequences!$B$28="","",Sequences!$E$28)</f>
        <v/>
      </c>
    </row>
    <row r="183" spans="1:8" x14ac:dyDescent="0.2">
      <c r="A183" s="35" t="str">
        <f>IF(Sequences!$B$29="","",Sequences!$F$16)</f>
        <v/>
      </c>
      <c r="B183" s="35" t="str">
        <f>IF(Sequences!$B$29="","",Sequences!$A$16)</f>
        <v/>
      </c>
      <c r="C183" s="20" t="str">
        <f>IF(Sequences!$B$29="","",'Slot Times'!$B$14)</f>
        <v/>
      </c>
      <c r="D183" s="35" t="str">
        <f>IF(Sequences!$B$29="","",'Slot Times'!$G$14)</f>
        <v/>
      </c>
      <c r="E183" s="35" t="str">
        <f>IF(Sequences!$B$29="","",Sequences!$B$29)</f>
        <v/>
      </c>
      <c r="F183" s="34" t="str">
        <f>IF(OR(Sequences!$B$29="",'Slot Times'!$F$14=""),"",'Slot Times'!$F$14+Sequences!$C$29/1440)</f>
        <v/>
      </c>
      <c r="G183" s="34" t="str">
        <f>IF($F183="","",$F183+Sequences!$D$29/1440)</f>
        <v/>
      </c>
      <c r="H183" s="35" t="str">
        <f>IF(Sequences!$B$29="","",Sequences!$E$29)</f>
        <v/>
      </c>
    </row>
    <row r="184" spans="1:8" x14ac:dyDescent="0.2">
      <c r="A184" s="35" t="str">
        <f>IF(Sequences!$B$16="","",Sequences!$F$16)</f>
        <v>Saturday</v>
      </c>
      <c r="B184" s="35" t="str">
        <f>IF(Sequences!$B$16="","",Sequences!$A$16)</f>
        <v>Saturday Photos</v>
      </c>
      <c r="C184" s="20">
        <f>IF(Sequences!$B$16="","",'Slot Times'!$B$15)</f>
        <v>6</v>
      </c>
      <c r="D184" s="35" t="str">
        <f>IF(Sequences!$B$16="","",'Slot Times'!$G$15)</f>
        <v>(not drawn)</v>
      </c>
      <c r="E184" s="35" t="str">
        <f>IF(Sequences!$B$16="","",Sequences!$B$16)</f>
        <v>Staircase (Team Boomerang)</v>
      </c>
      <c r="F184" s="34">
        <f>IF(OR(Sequences!$B$16="",'Slot Times'!$F$15=""),"",'Slot Times'!$F$15+Sequences!$C$16/1440)</f>
        <v>0.64583333333333326</v>
      </c>
      <c r="G184" s="34">
        <f>IF($F184="","",$F184+Sequences!$D$16/1440)</f>
        <v>0.64930555555555547</v>
      </c>
      <c r="H184" s="35" t="str">
        <f>IF(Sequences!$B$16="","",Sequences!$E$16)</f>
        <v>IU Auditorium — Staircase</v>
      </c>
    </row>
    <row r="185" spans="1:8" x14ac:dyDescent="0.2">
      <c r="A185" s="35" t="str">
        <f>IF(Sequences!$B$17="","",Sequences!$F$16)</f>
        <v>Saturday</v>
      </c>
      <c r="B185" s="35" t="str">
        <f>IF(Sequences!$B$17="","",Sequences!$A$16)</f>
        <v>Saturday Photos</v>
      </c>
      <c r="C185" s="20">
        <f>IF(Sequences!$B$17="","",'Slot Times'!$B$15)</f>
        <v>6</v>
      </c>
      <c r="D185" s="35" t="str">
        <f>IF(Sequences!$B$17="","",'Slot Times'!$G$15)</f>
        <v>(not drawn)</v>
      </c>
      <c r="E185" s="35" t="str">
        <f>IF(Sequences!$B$17="","",Sequences!$B$17)</f>
        <v>Balcony (Team Photo)</v>
      </c>
      <c r="F185" s="34">
        <f>IF(OR(Sequences!$B$17="",'Slot Times'!$F$15=""),"",'Slot Times'!$F$15+Sequences!$C$17/1440)</f>
        <v>0.64930555555555547</v>
      </c>
      <c r="G185" s="34">
        <f>IF($F185="","",$F185+Sequences!$D$17/1440)</f>
        <v>0.65277777777777768</v>
      </c>
      <c r="H185" s="35" t="str">
        <f>IF(Sequences!$B$17="","",Sequences!$E$17)</f>
        <v>IU Auditorium — Balcony</v>
      </c>
    </row>
    <row r="186" spans="1:8" x14ac:dyDescent="0.2">
      <c r="A186" s="35" t="str">
        <f>IF(Sequences!$B$18="","",Sequences!$F$16)</f>
        <v/>
      </c>
      <c r="B186" s="35" t="str">
        <f>IF(Sequences!$B$18="","",Sequences!$A$16)</f>
        <v/>
      </c>
      <c r="C186" s="20" t="str">
        <f>IF(Sequences!$B$18="","",'Slot Times'!$B$15)</f>
        <v/>
      </c>
      <c r="D186" s="35" t="str">
        <f>IF(Sequences!$B$18="","",'Slot Times'!$G$15)</f>
        <v/>
      </c>
      <c r="E186" s="35" t="str">
        <f>IF(Sequences!$B$18="","",Sequences!$B$18)</f>
        <v/>
      </c>
      <c r="F186" s="34" t="str">
        <f>IF(OR(Sequences!$B$18="",'Slot Times'!$F$15=""),"",'Slot Times'!$F$15+Sequences!$C$18/1440)</f>
        <v/>
      </c>
      <c r="G186" s="34" t="str">
        <f>IF($F186="","",$F186+Sequences!$D$18/1440)</f>
        <v/>
      </c>
      <c r="H186" s="35" t="str">
        <f>IF(Sequences!$B$18="","",Sequences!$E$18)</f>
        <v/>
      </c>
    </row>
    <row r="187" spans="1:8" x14ac:dyDescent="0.2">
      <c r="A187" s="35" t="str">
        <f>IF(Sequences!$B$19="","",Sequences!$F$16)</f>
        <v/>
      </c>
      <c r="B187" s="35" t="str">
        <f>IF(Sequences!$B$19="","",Sequences!$A$16)</f>
        <v/>
      </c>
      <c r="C187" s="20" t="str">
        <f>IF(Sequences!$B$19="","",'Slot Times'!$B$15)</f>
        <v/>
      </c>
      <c r="D187" s="35" t="str">
        <f>IF(Sequences!$B$19="","",'Slot Times'!$G$15)</f>
        <v/>
      </c>
      <c r="E187" s="35" t="str">
        <f>IF(Sequences!$B$19="","",Sequences!$B$19)</f>
        <v/>
      </c>
      <c r="F187" s="34" t="str">
        <f>IF(OR(Sequences!$B$19="",'Slot Times'!$F$15=""),"",'Slot Times'!$F$15+Sequences!$C$19/1440)</f>
        <v/>
      </c>
      <c r="G187" s="34" t="str">
        <f>IF($F187="","",$F187+Sequences!$D$19/1440)</f>
        <v/>
      </c>
      <c r="H187" s="35" t="str">
        <f>IF(Sequences!$B$19="","",Sequences!$E$19)</f>
        <v/>
      </c>
    </row>
    <row r="188" spans="1:8" x14ac:dyDescent="0.2">
      <c r="A188" s="35" t="str">
        <f>IF(Sequences!$B$20="","",Sequences!$F$16)</f>
        <v/>
      </c>
      <c r="B188" s="35" t="str">
        <f>IF(Sequences!$B$20="","",Sequences!$A$16)</f>
        <v/>
      </c>
      <c r="C188" s="20" t="str">
        <f>IF(Sequences!$B$20="","",'Slot Times'!$B$15)</f>
        <v/>
      </c>
      <c r="D188" s="35" t="str">
        <f>IF(Sequences!$B$20="","",'Slot Times'!$G$15)</f>
        <v/>
      </c>
      <c r="E188" s="35" t="str">
        <f>IF(Sequences!$B$20="","",Sequences!$B$20)</f>
        <v/>
      </c>
      <c r="F188" s="34" t="str">
        <f>IF(OR(Sequences!$B$20="",'Slot Times'!$F$15=""),"",'Slot Times'!$F$15+Sequences!$C$20/1440)</f>
        <v/>
      </c>
      <c r="G188" s="34" t="str">
        <f>IF($F188="","",$F188+Sequences!$D$20/1440)</f>
        <v/>
      </c>
      <c r="H188" s="35" t="str">
        <f>IF(Sequences!$B$20="","",Sequences!$E$20)</f>
        <v/>
      </c>
    </row>
    <row r="189" spans="1:8" x14ac:dyDescent="0.2">
      <c r="A189" s="35" t="str">
        <f>IF(Sequences!$B$21="","",Sequences!$F$16)</f>
        <v/>
      </c>
      <c r="B189" s="35" t="str">
        <f>IF(Sequences!$B$21="","",Sequences!$A$16)</f>
        <v/>
      </c>
      <c r="C189" s="20" t="str">
        <f>IF(Sequences!$B$21="","",'Slot Times'!$B$15)</f>
        <v/>
      </c>
      <c r="D189" s="35" t="str">
        <f>IF(Sequences!$B$21="","",'Slot Times'!$G$15)</f>
        <v/>
      </c>
      <c r="E189" s="35" t="str">
        <f>IF(Sequences!$B$21="","",Sequences!$B$21)</f>
        <v/>
      </c>
      <c r="F189" s="34" t="str">
        <f>IF(OR(Sequences!$B$21="",'Slot Times'!$F$15=""),"",'Slot Times'!$F$15+Sequences!$C$21/1440)</f>
        <v/>
      </c>
      <c r="G189" s="34" t="str">
        <f>IF($F189="","",$F189+Sequences!$D$21/1440)</f>
        <v/>
      </c>
      <c r="H189" s="35" t="str">
        <f>IF(Sequences!$B$21="","",Sequences!$E$21)</f>
        <v/>
      </c>
    </row>
    <row r="190" spans="1:8" x14ac:dyDescent="0.2">
      <c r="A190" s="35" t="str">
        <f>IF(Sequences!$B$22="","",Sequences!$F$16)</f>
        <v/>
      </c>
      <c r="B190" s="35" t="str">
        <f>IF(Sequences!$B$22="","",Sequences!$A$16)</f>
        <v/>
      </c>
      <c r="C190" s="20" t="str">
        <f>IF(Sequences!$B$22="","",'Slot Times'!$B$15)</f>
        <v/>
      </c>
      <c r="D190" s="35" t="str">
        <f>IF(Sequences!$B$22="","",'Slot Times'!$G$15)</f>
        <v/>
      </c>
      <c r="E190" s="35" t="str">
        <f>IF(Sequences!$B$22="","",Sequences!$B$22)</f>
        <v/>
      </c>
      <c r="F190" s="34" t="str">
        <f>IF(OR(Sequences!$B$22="",'Slot Times'!$F$15=""),"",'Slot Times'!$F$15+Sequences!$C$22/1440)</f>
        <v/>
      </c>
      <c r="G190" s="34" t="str">
        <f>IF($F190="","",$F190+Sequences!$D$22/1440)</f>
        <v/>
      </c>
      <c r="H190" s="35" t="str">
        <f>IF(Sequences!$B$22="","",Sequences!$E$22)</f>
        <v/>
      </c>
    </row>
    <row r="191" spans="1:8" x14ac:dyDescent="0.2">
      <c r="A191" s="35" t="str">
        <f>IF(Sequences!$B$23="","",Sequences!$F$16)</f>
        <v/>
      </c>
      <c r="B191" s="35" t="str">
        <f>IF(Sequences!$B$23="","",Sequences!$A$16)</f>
        <v/>
      </c>
      <c r="C191" s="20" t="str">
        <f>IF(Sequences!$B$23="","",'Slot Times'!$B$15)</f>
        <v/>
      </c>
      <c r="D191" s="35" t="str">
        <f>IF(Sequences!$B$23="","",'Slot Times'!$G$15)</f>
        <v/>
      </c>
      <c r="E191" s="35" t="str">
        <f>IF(Sequences!$B$23="","",Sequences!$B$23)</f>
        <v/>
      </c>
      <c r="F191" s="34" t="str">
        <f>IF(OR(Sequences!$B$23="",'Slot Times'!$F$15=""),"",'Slot Times'!$F$15+Sequences!$C$23/1440)</f>
        <v/>
      </c>
      <c r="G191" s="34" t="str">
        <f>IF($F191="","",$F191+Sequences!$D$23/1440)</f>
        <v/>
      </c>
      <c r="H191" s="35" t="str">
        <f>IF(Sequences!$B$23="","",Sequences!$E$23)</f>
        <v/>
      </c>
    </row>
    <row r="192" spans="1:8" x14ac:dyDescent="0.2">
      <c r="A192" s="35" t="str">
        <f>IF(Sequences!$B$24="","",Sequences!$F$16)</f>
        <v/>
      </c>
      <c r="B192" s="35" t="str">
        <f>IF(Sequences!$B$24="","",Sequences!$A$16)</f>
        <v/>
      </c>
      <c r="C192" s="20" t="str">
        <f>IF(Sequences!$B$24="","",'Slot Times'!$B$15)</f>
        <v/>
      </c>
      <c r="D192" s="35" t="str">
        <f>IF(Sequences!$B$24="","",'Slot Times'!$G$15)</f>
        <v/>
      </c>
      <c r="E192" s="35" t="str">
        <f>IF(Sequences!$B$24="","",Sequences!$B$24)</f>
        <v/>
      </c>
      <c r="F192" s="34" t="str">
        <f>IF(OR(Sequences!$B$24="",'Slot Times'!$F$15=""),"",'Slot Times'!$F$15+Sequences!$C$24/1440)</f>
        <v/>
      </c>
      <c r="G192" s="34" t="str">
        <f>IF($F192="","",$F192+Sequences!$D$24/1440)</f>
        <v/>
      </c>
      <c r="H192" s="35" t="str">
        <f>IF(Sequences!$B$24="","",Sequences!$E$24)</f>
        <v/>
      </c>
    </row>
    <row r="193" spans="1:8" x14ac:dyDescent="0.2">
      <c r="A193" s="35" t="str">
        <f>IF(Sequences!$B$25="","",Sequences!$F$16)</f>
        <v/>
      </c>
      <c r="B193" s="35" t="str">
        <f>IF(Sequences!$B$25="","",Sequences!$A$16)</f>
        <v/>
      </c>
      <c r="C193" s="20" t="str">
        <f>IF(Sequences!$B$25="","",'Slot Times'!$B$15)</f>
        <v/>
      </c>
      <c r="D193" s="35" t="str">
        <f>IF(Sequences!$B$25="","",'Slot Times'!$G$15)</f>
        <v/>
      </c>
      <c r="E193" s="35" t="str">
        <f>IF(Sequences!$B$25="","",Sequences!$B$25)</f>
        <v/>
      </c>
      <c r="F193" s="34" t="str">
        <f>IF(OR(Sequences!$B$25="",'Slot Times'!$F$15=""),"",'Slot Times'!$F$15+Sequences!$C$25/1440)</f>
        <v/>
      </c>
      <c r="G193" s="34" t="str">
        <f>IF($F193="","",$F193+Sequences!$D$25/1440)</f>
        <v/>
      </c>
      <c r="H193" s="35" t="str">
        <f>IF(Sequences!$B$25="","",Sequences!$E$25)</f>
        <v/>
      </c>
    </row>
    <row r="194" spans="1:8" x14ac:dyDescent="0.2">
      <c r="A194" s="35" t="str">
        <f>IF(Sequences!$B$26="","",Sequences!$F$16)</f>
        <v/>
      </c>
      <c r="B194" s="35" t="str">
        <f>IF(Sequences!$B$26="","",Sequences!$A$16)</f>
        <v/>
      </c>
      <c r="C194" s="20" t="str">
        <f>IF(Sequences!$B$26="","",'Slot Times'!$B$15)</f>
        <v/>
      </c>
      <c r="D194" s="35" t="str">
        <f>IF(Sequences!$B$26="","",'Slot Times'!$G$15)</f>
        <v/>
      </c>
      <c r="E194" s="35" t="str">
        <f>IF(Sequences!$B$26="","",Sequences!$B$26)</f>
        <v/>
      </c>
      <c r="F194" s="34" t="str">
        <f>IF(OR(Sequences!$B$26="",'Slot Times'!$F$15=""),"",'Slot Times'!$F$15+Sequences!$C$26/1440)</f>
        <v/>
      </c>
      <c r="G194" s="34" t="str">
        <f>IF($F194="","",$F194+Sequences!$D$26/1440)</f>
        <v/>
      </c>
      <c r="H194" s="35" t="str">
        <f>IF(Sequences!$B$26="","",Sequences!$E$26)</f>
        <v/>
      </c>
    </row>
    <row r="195" spans="1:8" x14ac:dyDescent="0.2">
      <c r="A195" s="35" t="str">
        <f>IF(Sequences!$B$27="","",Sequences!$F$16)</f>
        <v/>
      </c>
      <c r="B195" s="35" t="str">
        <f>IF(Sequences!$B$27="","",Sequences!$A$16)</f>
        <v/>
      </c>
      <c r="C195" s="20" t="str">
        <f>IF(Sequences!$B$27="","",'Slot Times'!$B$15)</f>
        <v/>
      </c>
      <c r="D195" s="35" t="str">
        <f>IF(Sequences!$B$27="","",'Slot Times'!$G$15)</f>
        <v/>
      </c>
      <c r="E195" s="35" t="str">
        <f>IF(Sequences!$B$27="","",Sequences!$B$27)</f>
        <v/>
      </c>
      <c r="F195" s="34" t="str">
        <f>IF(OR(Sequences!$B$27="",'Slot Times'!$F$15=""),"",'Slot Times'!$F$15+Sequences!$C$27/1440)</f>
        <v/>
      </c>
      <c r="G195" s="34" t="str">
        <f>IF($F195="","",$F195+Sequences!$D$27/1440)</f>
        <v/>
      </c>
      <c r="H195" s="35" t="str">
        <f>IF(Sequences!$B$27="","",Sequences!$E$27)</f>
        <v/>
      </c>
    </row>
    <row r="196" spans="1:8" x14ac:dyDescent="0.2">
      <c r="A196" s="35" t="str">
        <f>IF(Sequences!$B$28="","",Sequences!$F$16)</f>
        <v/>
      </c>
      <c r="B196" s="35" t="str">
        <f>IF(Sequences!$B$28="","",Sequences!$A$16)</f>
        <v/>
      </c>
      <c r="C196" s="20" t="str">
        <f>IF(Sequences!$B$28="","",'Slot Times'!$B$15)</f>
        <v/>
      </c>
      <c r="D196" s="35" t="str">
        <f>IF(Sequences!$B$28="","",'Slot Times'!$G$15)</f>
        <v/>
      </c>
      <c r="E196" s="35" t="str">
        <f>IF(Sequences!$B$28="","",Sequences!$B$28)</f>
        <v/>
      </c>
      <c r="F196" s="34" t="str">
        <f>IF(OR(Sequences!$B$28="",'Slot Times'!$F$15=""),"",'Slot Times'!$F$15+Sequences!$C$28/1440)</f>
        <v/>
      </c>
      <c r="G196" s="34" t="str">
        <f>IF($F196="","",$F196+Sequences!$D$28/1440)</f>
        <v/>
      </c>
      <c r="H196" s="35" t="str">
        <f>IF(Sequences!$B$28="","",Sequences!$E$28)</f>
        <v/>
      </c>
    </row>
    <row r="197" spans="1:8" x14ac:dyDescent="0.2">
      <c r="A197" s="35" t="str">
        <f>IF(Sequences!$B$29="","",Sequences!$F$16)</f>
        <v/>
      </c>
      <c r="B197" s="35" t="str">
        <f>IF(Sequences!$B$29="","",Sequences!$A$16)</f>
        <v/>
      </c>
      <c r="C197" s="20" t="str">
        <f>IF(Sequences!$B$29="","",'Slot Times'!$B$15)</f>
        <v/>
      </c>
      <c r="D197" s="35" t="str">
        <f>IF(Sequences!$B$29="","",'Slot Times'!$G$15)</f>
        <v/>
      </c>
      <c r="E197" s="35" t="str">
        <f>IF(Sequences!$B$29="","",Sequences!$B$29)</f>
        <v/>
      </c>
      <c r="F197" s="34" t="str">
        <f>IF(OR(Sequences!$B$29="",'Slot Times'!$F$15=""),"",'Slot Times'!$F$15+Sequences!$C$29/1440)</f>
        <v/>
      </c>
      <c r="G197" s="34" t="str">
        <f>IF($F197="","",$F197+Sequences!$D$29/1440)</f>
        <v/>
      </c>
      <c r="H197" s="35" t="str">
        <f>IF(Sequences!$B$29="","",Sequences!$E$29)</f>
        <v/>
      </c>
    </row>
    <row r="198" spans="1:8" x14ac:dyDescent="0.2">
      <c r="A198" s="35" t="str">
        <f>IF(Sequences!$B$16="","",Sequences!$F$16)</f>
        <v>Saturday</v>
      </c>
      <c r="B198" s="35" t="str">
        <f>IF(Sequences!$B$16="","",Sequences!$A$16)</f>
        <v>Saturday Photos</v>
      </c>
      <c r="C198" s="20">
        <f>IF(Sequences!$B$16="","",'Slot Times'!$B$16)</f>
        <v>7</v>
      </c>
      <c r="D198" s="35" t="str">
        <f>IF(Sequences!$B$16="","",'Slot Times'!$G$16)</f>
        <v>(not drawn)</v>
      </c>
      <c r="E198" s="35" t="str">
        <f>IF(Sequences!$B$16="","",Sequences!$B$16)</f>
        <v>Staircase (Team Boomerang)</v>
      </c>
      <c r="F198" s="34">
        <f>IF(OR(Sequences!$B$16="",'Slot Times'!$F$16=""),"",'Slot Times'!$F$16+Sequences!$C$16/1440)</f>
        <v>0.64930555555555547</v>
      </c>
      <c r="G198" s="34">
        <f>IF($F198="","",$F198+Sequences!$D$16/1440)</f>
        <v>0.65277777777777768</v>
      </c>
      <c r="H198" s="35" t="str">
        <f>IF(Sequences!$B$16="","",Sequences!$E$16)</f>
        <v>IU Auditorium — Staircase</v>
      </c>
    </row>
    <row r="199" spans="1:8" x14ac:dyDescent="0.2">
      <c r="A199" s="35" t="str">
        <f>IF(Sequences!$B$17="","",Sequences!$F$16)</f>
        <v>Saturday</v>
      </c>
      <c r="B199" s="35" t="str">
        <f>IF(Sequences!$B$17="","",Sequences!$A$16)</f>
        <v>Saturday Photos</v>
      </c>
      <c r="C199" s="20">
        <f>IF(Sequences!$B$17="","",'Slot Times'!$B$16)</f>
        <v>7</v>
      </c>
      <c r="D199" s="35" t="str">
        <f>IF(Sequences!$B$17="","",'Slot Times'!$G$16)</f>
        <v>(not drawn)</v>
      </c>
      <c r="E199" s="35" t="str">
        <f>IF(Sequences!$B$17="","",Sequences!$B$17)</f>
        <v>Balcony (Team Photo)</v>
      </c>
      <c r="F199" s="34">
        <f>IF(OR(Sequences!$B$17="",'Slot Times'!$F$16=""),"",'Slot Times'!$F$16+Sequences!$C$17/1440)</f>
        <v>0.65277777777777768</v>
      </c>
      <c r="G199" s="34">
        <f>IF($F199="","",$F199+Sequences!$D$17/1440)</f>
        <v>0.65624999999999989</v>
      </c>
      <c r="H199" s="35" t="str">
        <f>IF(Sequences!$B$17="","",Sequences!$E$17)</f>
        <v>IU Auditorium — Balcony</v>
      </c>
    </row>
    <row r="200" spans="1:8" x14ac:dyDescent="0.2">
      <c r="A200" s="35" t="str">
        <f>IF(Sequences!$B$18="","",Sequences!$F$16)</f>
        <v/>
      </c>
      <c r="B200" s="35" t="str">
        <f>IF(Sequences!$B$18="","",Sequences!$A$16)</f>
        <v/>
      </c>
      <c r="C200" s="20" t="str">
        <f>IF(Sequences!$B$18="","",'Slot Times'!$B$16)</f>
        <v/>
      </c>
      <c r="D200" s="35" t="str">
        <f>IF(Sequences!$B$18="","",'Slot Times'!$G$16)</f>
        <v/>
      </c>
      <c r="E200" s="35" t="str">
        <f>IF(Sequences!$B$18="","",Sequences!$B$18)</f>
        <v/>
      </c>
      <c r="F200" s="34" t="str">
        <f>IF(OR(Sequences!$B$18="",'Slot Times'!$F$16=""),"",'Slot Times'!$F$16+Sequences!$C$18/1440)</f>
        <v/>
      </c>
      <c r="G200" s="34" t="str">
        <f>IF($F200="","",$F200+Sequences!$D$18/1440)</f>
        <v/>
      </c>
      <c r="H200" s="35" t="str">
        <f>IF(Sequences!$B$18="","",Sequences!$E$18)</f>
        <v/>
      </c>
    </row>
    <row r="201" spans="1:8" x14ac:dyDescent="0.2">
      <c r="A201" s="35" t="str">
        <f>IF(Sequences!$B$19="","",Sequences!$F$16)</f>
        <v/>
      </c>
      <c r="B201" s="35" t="str">
        <f>IF(Sequences!$B$19="","",Sequences!$A$16)</f>
        <v/>
      </c>
      <c r="C201" s="20" t="str">
        <f>IF(Sequences!$B$19="","",'Slot Times'!$B$16)</f>
        <v/>
      </c>
      <c r="D201" s="35" t="str">
        <f>IF(Sequences!$B$19="","",'Slot Times'!$G$16)</f>
        <v/>
      </c>
      <c r="E201" s="35" t="str">
        <f>IF(Sequences!$B$19="","",Sequences!$B$19)</f>
        <v/>
      </c>
      <c r="F201" s="34" t="str">
        <f>IF(OR(Sequences!$B$19="",'Slot Times'!$F$16=""),"",'Slot Times'!$F$16+Sequences!$C$19/1440)</f>
        <v/>
      </c>
      <c r="G201" s="34" t="str">
        <f>IF($F201="","",$F201+Sequences!$D$19/1440)</f>
        <v/>
      </c>
      <c r="H201" s="35" t="str">
        <f>IF(Sequences!$B$19="","",Sequences!$E$19)</f>
        <v/>
      </c>
    </row>
    <row r="202" spans="1:8" x14ac:dyDescent="0.2">
      <c r="A202" s="35" t="str">
        <f>IF(Sequences!$B$20="","",Sequences!$F$16)</f>
        <v/>
      </c>
      <c r="B202" s="35" t="str">
        <f>IF(Sequences!$B$20="","",Sequences!$A$16)</f>
        <v/>
      </c>
      <c r="C202" s="20" t="str">
        <f>IF(Sequences!$B$20="","",'Slot Times'!$B$16)</f>
        <v/>
      </c>
      <c r="D202" s="35" t="str">
        <f>IF(Sequences!$B$20="","",'Slot Times'!$G$16)</f>
        <v/>
      </c>
      <c r="E202" s="35" t="str">
        <f>IF(Sequences!$B$20="","",Sequences!$B$20)</f>
        <v/>
      </c>
      <c r="F202" s="34" t="str">
        <f>IF(OR(Sequences!$B$20="",'Slot Times'!$F$16=""),"",'Slot Times'!$F$16+Sequences!$C$20/1440)</f>
        <v/>
      </c>
      <c r="G202" s="34" t="str">
        <f>IF($F202="","",$F202+Sequences!$D$20/1440)</f>
        <v/>
      </c>
      <c r="H202" s="35" t="str">
        <f>IF(Sequences!$B$20="","",Sequences!$E$20)</f>
        <v/>
      </c>
    </row>
    <row r="203" spans="1:8" x14ac:dyDescent="0.2">
      <c r="A203" s="35" t="str">
        <f>IF(Sequences!$B$21="","",Sequences!$F$16)</f>
        <v/>
      </c>
      <c r="B203" s="35" t="str">
        <f>IF(Sequences!$B$21="","",Sequences!$A$16)</f>
        <v/>
      </c>
      <c r="C203" s="20" t="str">
        <f>IF(Sequences!$B$21="","",'Slot Times'!$B$16)</f>
        <v/>
      </c>
      <c r="D203" s="35" t="str">
        <f>IF(Sequences!$B$21="","",'Slot Times'!$G$16)</f>
        <v/>
      </c>
      <c r="E203" s="35" t="str">
        <f>IF(Sequences!$B$21="","",Sequences!$B$21)</f>
        <v/>
      </c>
      <c r="F203" s="34" t="str">
        <f>IF(OR(Sequences!$B$21="",'Slot Times'!$F$16=""),"",'Slot Times'!$F$16+Sequences!$C$21/1440)</f>
        <v/>
      </c>
      <c r="G203" s="34" t="str">
        <f>IF($F203="","",$F203+Sequences!$D$21/1440)</f>
        <v/>
      </c>
      <c r="H203" s="35" t="str">
        <f>IF(Sequences!$B$21="","",Sequences!$E$21)</f>
        <v/>
      </c>
    </row>
    <row r="204" spans="1:8" x14ac:dyDescent="0.2">
      <c r="A204" s="35" t="str">
        <f>IF(Sequences!$B$22="","",Sequences!$F$16)</f>
        <v/>
      </c>
      <c r="B204" s="35" t="str">
        <f>IF(Sequences!$B$22="","",Sequences!$A$16)</f>
        <v/>
      </c>
      <c r="C204" s="20" t="str">
        <f>IF(Sequences!$B$22="","",'Slot Times'!$B$16)</f>
        <v/>
      </c>
      <c r="D204" s="35" t="str">
        <f>IF(Sequences!$B$22="","",'Slot Times'!$G$16)</f>
        <v/>
      </c>
      <c r="E204" s="35" t="str">
        <f>IF(Sequences!$B$22="","",Sequences!$B$22)</f>
        <v/>
      </c>
      <c r="F204" s="34" t="str">
        <f>IF(OR(Sequences!$B$22="",'Slot Times'!$F$16=""),"",'Slot Times'!$F$16+Sequences!$C$22/1440)</f>
        <v/>
      </c>
      <c r="G204" s="34" t="str">
        <f>IF($F204="","",$F204+Sequences!$D$22/1440)</f>
        <v/>
      </c>
      <c r="H204" s="35" t="str">
        <f>IF(Sequences!$B$22="","",Sequences!$E$22)</f>
        <v/>
      </c>
    </row>
    <row r="205" spans="1:8" x14ac:dyDescent="0.2">
      <c r="A205" s="35" t="str">
        <f>IF(Sequences!$B$23="","",Sequences!$F$16)</f>
        <v/>
      </c>
      <c r="B205" s="35" t="str">
        <f>IF(Sequences!$B$23="","",Sequences!$A$16)</f>
        <v/>
      </c>
      <c r="C205" s="20" t="str">
        <f>IF(Sequences!$B$23="","",'Slot Times'!$B$16)</f>
        <v/>
      </c>
      <c r="D205" s="35" t="str">
        <f>IF(Sequences!$B$23="","",'Slot Times'!$G$16)</f>
        <v/>
      </c>
      <c r="E205" s="35" t="str">
        <f>IF(Sequences!$B$23="","",Sequences!$B$23)</f>
        <v/>
      </c>
      <c r="F205" s="34" t="str">
        <f>IF(OR(Sequences!$B$23="",'Slot Times'!$F$16=""),"",'Slot Times'!$F$16+Sequences!$C$23/1440)</f>
        <v/>
      </c>
      <c r="G205" s="34" t="str">
        <f>IF($F205="","",$F205+Sequences!$D$23/1440)</f>
        <v/>
      </c>
      <c r="H205" s="35" t="str">
        <f>IF(Sequences!$B$23="","",Sequences!$E$23)</f>
        <v/>
      </c>
    </row>
    <row r="206" spans="1:8" x14ac:dyDescent="0.2">
      <c r="A206" s="35" t="str">
        <f>IF(Sequences!$B$24="","",Sequences!$F$16)</f>
        <v/>
      </c>
      <c r="B206" s="35" t="str">
        <f>IF(Sequences!$B$24="","",Sequences!$A$16)</f>
        <v/>
      </c>
      <c r="C206" s="20" t="str">
        <f>IF(Sequences!$B$24="","",'Slot Times'!$B$16)</f>
        <v/>
      </c>
      <c r="D206" s="35" t="str">
        <f>IF(Sequences!$B$24="","",'Slot Times'!$G$16)</f>
        <v/>
      </c>
      <c r="E206" s="35" t="str">
        <f>IF(Sequences!$B$24="","",Sequences!$B$24)</f>
        <v/>
      </c>
      <c r="F206" s="34" t="str">
        <f>IF(OR(Sequences!$B$24="",'Slot Times'!$F$16=""),"",'Slot Times'!$F$16+Sequences!$C$24/1440)</f>
        <v/>
      </c>
      <c r="G206" s="34" t="str">
        <f>IF($F206="","",$F206+Sequences!$D$24/1440)</f>
        <v/>
      </c>
      <c r="H206" s="35" t="str">
        <f>IF(Sequences!$B$24="","",Sequences!$E$24)</f>
        <v/>
      </c>
    </row>
    <row r="207" spans="1:8" x14ac:dyDescent="0.2">
      <c r="A207" s="35" t="str">
        <f>IF(Sequences!$B$25="","",Sequences!$F$16)</f>
        <v/>
      </c>
      <c r="B207" s="35" t="str">
        <f>IF(Sequences!$B$25="","",Sequences!$A$16)</f>
        <v/>
      </c>
      <c r="C207" s="20" t="str">
        <f>IF(Sequences!$B$25="","",'Slot Times'!$B$16)</f>
        <v/>
      </c>
      <c r="D207" s="35" t="str">
        <f>IF(Sequences!$B$25="","",'Slot Times'!$G$16)</f>
        <v/>
      </c>
      <c r="E207" s="35" t="str">
        <f>IF(Sequences!$B$25="","",Sequences!$B$25)</f>
        <v/>
      </c>
      <c r="F207" s="34" t="str">
        <f>IF(OR(Sequences!$B$25="",'Slot Times'!$F$16=""),"",'Slot Times'!$F$16+Sequences!$C$25/1440)</f>
        <v/>
      </c>
      <c r="G207" s="34" t="str">
        <f>IF($F207="","",$F207+Sequences!$D$25/1440)</f>
        <v/>
      </c>
      <c r="H207" s="35" t="str">
        <f>IF(Sequences!$B$25="","",Sequences!$E$25)</f>
        <v/>
      </c>
    </row>
    <row r="208" spans="1:8" x14ac:dyDescent="0.2">
      <c r="A208" s="35" t="str">
        <f>IF(Sequences!$B$26="","",Sequences!$F$16)</f>
        <v/>
      </c>
      <c r="B208" s="35" t="str">
        <f>IF(Sequences!$B$26="","",Sequences!$A$16)</f>
        <v/>
      </c>
      <c r="C208" s="20" t="str">
        <f>IF(Sequences!$B$26="","",'Slot Times'!$B$16)</f>
        <v/>
      </c>
      <c r="D208" s="35" t="str">
        <f>IF(Sequences!$B$26="","",'Slot Times'!$G$16)</f>
        <v/>
      </c>
      <c r="E208" s="35" t="str">
        <f>IF(Sequences!$B$26="","",Sequences!$B$26)</f>
        <v/>
      </c>
      <c r="F208" s="34" t="str">
        <f>IF(OR(Sequences!$B$26="",'Slot Times'!$F$16=""),"",'Slot Times'!$F$16+Sequences!$C$26/1440)</f>
        <v/>
      </c>
      <c r="G208" s="34" t="str">
        <f>IF($F208="","",$F208+Sequences!$D$26/1440)</f>
        <v/>
      </c>
      <c r="H208" s="35" t="str">
        <f>IF(Sequences!$B$26="","",Sequences!$E$26)</f>
        <v/>
      </c>
    </row>
    <row r="209" spans="1:8" x14ac:dyDescent="0.2">
      <c r="A209" s="35" t="str">
        <f>IF(Sequences!$B$27="","",Sequences!$F$16)</f>
        <v/>
      </c>
      <c r="B209" s="35" t="str">
        <f>IF(Sequences!$B$27="","",Sequences!$A$16)</f>
        <v/>
      </c>
      <c r="C209" s="20" t="str">
        <f>IF(Sequences!$B$27="","",'Slot Times'!$B$16)</f>
        <v/>
      </c>
      <c r="D209" s="35" t="str">
        <f>IF(Sequences!$B$27="","",'Slot Times'!$G$16)</f>
        <v/>
      </c>
      <c r="E209" s="35" t="str">
        <f>IF(Sequences!$B$27="","",Sequences!$B$27)</f>
        <v/>
      </c>
      <c r="F209" s="34" t="str">
        <f>IF(OR(Sequences!$B$27="",'Slot Times'!$F$16=""),"",'Slot Times'!$F$16+Sequences!$C$27/1440)</f>
        <v/>
      </c>
      <c r="G209" s="34" t="str">
        <f>IF($F209="","",$F209+Sequences!$D$27/1440)</f>
        <v/>
      </c>
      <c r="H209" s="35" t="str">
        <f>IF(Sequences!$B$27="","",Sequences!$E$27)</f>
        <v/>
      </c>
    </row>
    <row r="210" spans="1:8" x14ac:dyDescent="0.2">
      <c r="A210" s="35" t="str">
        <f>IF(Sequences!$B$28="","",Sequences!$F$16)</f>
        <v/>
      </c>
      <c r="B210" s="35" t="str">
        <f>IF(Sequences!$B$28="","",Sequences!$A$16)</f>
        <v/>
      </c>
      <c r="C210" s="20" t="str">
        <f>IF(Sequences!$B$28="","",'Slot Times'!$B$16)</f>
        <v/>
      </c>
      <c r="D210" s="35" t="str">
        <f>IF(Sequences!$B$28="","",'Slot Times'!$G$16)</f>
        <v/>
      </c>
      <c r="E210" s="35" t="str">
        <f>IF(Sequences!$B$28="","",Sequences!$B$28)</f>
        <v/>
      </c>
      <c r="F210" s="34" t="str">
        <f>IF(OR(Sequences!$B$28="",'Slot Times'!$F$16=""),"",'Slot Times'!$F$16+Sequences!$C$28/1440)</f>
        <v/>
      </c>
      <c r="G210" s="34" t="str">
        <f>IF($F210="","",$F210+Sequences!$D$28/1440)</f>
        <v/>
      </c>
      <c r="H210" s="35" t="str">
        <f>IF(Sequences!$B$28="","",Sequences!$E$28)</f>
        <v/>
      </c>
    </row>
    <row r="211" spans="1:8" x14ac:dyDescent="0.2">
      <c r="A211" s="35" t="str">
        <f>IF(Sequences!$B$29="","",Sequences!$F$16)</f>
        <v/>
      </c>
      <c r="B211" s="35" t="str">
        <f>IF(Sequences!$B$29="","",Sequences!$A$16)</f>
        <v/>
      </c>
      <c r="C211" s="20" t="str">
        <f>IF(Sequences!$B$29="","",'Slot Times'!$B$16)</f>
        <v/>
      </c>
      <c r="D211" s="35" t="str">
        <f>IF(Sequences!$B$29="","",'Slot Times'!$G$16)</f>
        <v/>
      </c>
      <c r="E211" s="35" t="str">
        <f>IF(Sequences!$B$29="","",Sequences!$B$29)</f>
        <v/>
      </c>
      <c r="F211" s="34" t="str">
        <f>IF(OR(Sequences!$B$29="",'Slot Times'!$F$16=""),"",'Slot Times'!$F$16+Sequences!$C$29/1440)</f>
        <v/>
      </c>
      <c r="G211" s="34" t="str">
        <f>IF($F211="","",$F211+Sequences!$D$29/1440)</f>
        <v/>
      </c>
      <c r="H211" s="35" t="str">
        <f>IF(Sequences!$B$29="","",Sequences!$E$29)</f>
        <v/>
      </c>
    </row>
    <row r="212" spans="1:8" x14ac:dyDescent="0.2">
      <c r="A212" s="35" t="str">
        <f>IF(Sequences!$B$16="","",Sequences!$F$16)</f>
        <v>Saturday</v>
      </c>
      <c r="B212" s="35" t="str">
        <f>IF(Sequences!$B$16="","",Sequences!$A$16)</f>
        <v>Saturday Photos</v>
      </c>
      <c r="C212" s="20">
        <f>IF(Sequences!$B$16="","",'Slot Times'!$B$17)</f>
        <v>8</v>
      </c>
      <c r="D212" s="35" t="str">
        <f>IF(Sequences!$B$16="","",'Slot Times'!$G$17)</f>
        <v>(not drawn)</v>
      </c>
      <c r="E212" s="35" t="str">
        <f>IF(Sequences!$B$16="","",Sequences!$B$16)</f>
        <v>Staircase (Team Boomerang)</v>
      </c>
      <c r="F212" s="34">
        <f>IF(OR(Sequences!$B$16="",'Slot Times'!$F$17=""),"",'Slot Times'!$F$17+Sequences!$C$16/1440)</f>
        <v>0.65277777777777768</v>
      </c>
      <c r="G212" s="34">
        <f>IF($F212="","",$F212+Sequences!$D$16/1440)</f>
        <v>0.65624999999999989</v>
      </c>
      <c r="H212" s="35" t="str">
        <f>IF(Sequences!$B$16="","",Sequences!$E$16)</f>
        <v>IU Auditorium — Staircase</v>
      </c>
    </row>
    <row r="213" spans="1:8" x14ac:dyDescent="0.2">
      <c r="A213" s="35" t="str">
        <f>IF(Sequences!$B$17="","",Sequences!$F$16)</f>
        <v>Saturday</v>
      </c>
      <c r="B213" s="35" t="str">
        <f>IF(Sequences!$B$17="","",Sequences!$A$16)</f>
        <v>Saturday Photos</v>
      </c>
      <c r="C213" s="20">
        <f>IF(Sequences!$B$17="","",'Slot Times'!$B$17)</f>
        <v>8</v>
      </c>
      <c r="D213" s="35" t="str">
        <f>IF(Sequences!$B$17="","",'Slot Times'!$G$17)</f>
        <v>(not drawn)</v>
      </c>
      <c r="E213" s="35" t="str">
        <f>IF(Sequences!$B$17="","",Sequences!$B$17)</f>
        <v>Balcony (Team Photo)</v>
      </c>
      <c r="F213" s="34">
        <f>IF(OR(Sequences!$B$17="",'Slot Times'!$F$17=""),"",'Slot Times'!$F$17+Sequences!$C$17/1440)</f>
        <v>0.65624999999999989</v>
      </c>
      <c r="G213" s="34">
        <f>IF($F213="","",$F213+Sequences!$D$17/1440)</f>
        <v>0.6597222222222221</v>
      </c>
      <c r="H213" s="35" t="str">
        <f>IF(Sequences!$B$17="","",Sequences!$E$17)</f>
        <v>IU Auditorium — Balcony</v>
      </c>
    </row>
    <row r="214" spans="1:8" x14ac:dyDescent="0.2">
      <c r="A214" s="35" t="str">
        <f>IF(Sequences!$B$18="","",Sequences!$F$16)</f>
        <v/>
      </c>
      <c r="B214" s="35" t="str">
        <f>IF(Sequences!$B$18="","",Sequences!$A$16)</f>
        <v/>
      </c>
      <c r="C214" s="20" t="str">
        <f>IF(Sequences!$B$18="","",'Slot Times'!$B$17)</f>
        <v/>
      </c>
      <c r="D214" s="35" t="str">
        <f>IF(Sequences!$B$18="","",'Slot Times'!$G$17)</f>
        <v/>
      </c>
      <c r="E214" s="35" t="str">
        <f>IF(Sequences!$B$18="","",Sequences!$B$18)</f>
        <v/>
      </c>
      <c r="F214" s="34" t="str">
        <f>IF(OR(Sequences!$B$18="",'Slot Times'!$F$17=""),"",'Slot Times'!$F$17+Sequences!$C$18/1440)</f>
        <v/>
      </c>
      <c r="G214" s="34" t="str">
        <f>IF($F214="","",$F214+Sequences!$D$18/1440)</f>
        <v/>
      </c>
      <c r="H214" s="35" t="str">
        <f>IF(Sequences!$B$18="","",Sequences!$E$18)</f>
        <v/>
      </c>
    </row>
    <row r="215" spans="1:8" x14ac:dyDescent="0.2">
      <c r="A215" s="35" t="str">
        <f>IF(Sequences!$B$19="","",Sequences!$F$16)</f>
        <v/>
      </c>
      <c r="B215" s="35" t="str">
        <f>IF(Sequences!$B$19="","",Sequences!$A$16)</f>
        <v/>
      </c>
      <c r="C215" s="20" t="str">
        <f>IF(Sequences!$B$19="","",'Slot Times'!$B$17)</f>
        <v/>
      </c>
      <c r="D215" s="35" t="str">
        <f>IF(Sequences!$B$19="","",'Slot Times'!$G$17)</f>
        <v/>
      </c>
      <c r="E215" s="35" t="str">
        <f>IF(Sequences!$B$19="","",Sequences!$B$19)</f>
        <v/>
      </c>
      <c r="F215" s="34" t="str">
        <f>IF(OR(Sequences!$B$19="",'Slot Times'!$F$17=""),"",'Slot Times'!$F$17+Sequences!$C$19/1440)</f>
        <v/>
      </c>
      <c r="G215" s="34" t="str">
        <f>IF($F215="","",$F215+Sequences!$D$19/1440)</f>
        <v/>
      </c>
      <c r="H215" s="35" t="str">
        <f>IF(Sequences!$B$19="","",Sequences!$E$19)</f>
        <v/>
      </c>
    </row>
    <row r="216" spans="1:8" x14ac:dyDescent="0.2">
      <c r="A216" s="35" t="str">
        <f>IF(Sequences!$B$20="","",Sequences!$F$16)</f>
        <v/>
      </c>
      <c r="B216" s="35" t="str">
        <f>IF(Sequences!$B$20="","",Sequences!$A$16)</f>
        <v/>
      </c>
      <c r="C216" s="20" t="str">
        <f>IF(Sequences!$B$20="","",'Slot Times'!$B$17)</f>
        <v/>
      </c>
      <c r="D216" s="35" t="str">
        <f>IF(Sequences!$B$20="","",'Slot Times'!$G$17)</f>
        <v/>
      </c>
      <c r="E216" s="35" t="str">
        <f>IF(Sequences!$B$20="","",Sequences!$B$20)</f>
        <v/>
      </c>
      <c r="F216" s="34" t="str">
        <f>IF(OR(Sequences!$B$20="",'Slot Times'!$F$17=""),"",'Slot Times'!$F$17+Sequences!$C$20/1440)</f>
        <v/>
      </c>
      <c r="G216" s="34" t="str">
        <f>IF($F216="","",$F216+Sequences!$D$20/1440)</f>
        <v/>
      </c>
      <c r="H216" s="35" t="str">
        <f>IF(Sequences!$B$20="","",Sequences!$E$20)</f>
        <v/>
      </c>
    </row>
    <row r="217" spans="1:8" x14ac:dyDescent="0.2">
      <c r="A217" s="35" t="str">
        <f>IF(Sequences!$B$21="","",Sequences!$F$16)</f>
        <v/>
      </c>
      <c r="B217" s="35" t="str">
        <f>IF(Sequences!$B$21="","",Sequences!$A$16)</f>
        <v/>
      </c>
      <c r="C217" s="20" t="str">
        <f>IF(Sequences!$B$21="","",'Slot Times'!$B$17)</f>
        <v/>
      </c>
      <c r="D217" s="35" t="str">
        <f>IF(Sequences!$B$21="","",'Slot Times'!$G$17)</f>
        <v/>
      </c>
      <c r="E217" s="35" t="str">
        <f>IF(Sequences!$B$21="","",Sequences!$B$21)</f>
        <v/>
      </c>
      <c r="F217" s="34" t="str">
        <f>IF(OR(Sequences!$B$21="",'Slot Times'!$F$17=""),"",'Slot Times'!$F$17+Sequences!$C$21/1440)</f>
        <v/>
      </c>
      <c r="G217" s="34" t="str">
        <f>IF($F217="","",$F217+Sequences!$D$21/1440)</f>
        <v/>
      </c>
      <c r="H217" s="35" t="str">
        <f>IF(Sequences!$B$21="","",Sequences!$E$21)</f>
        <v/>
      </c>
    </row>
    <row r="218" spans="1:8" x14ac:dyDescent="0.2">
      <c r="A218" s="35" t="str">
        <f>IF(Sequences!$B$22="","",Sequences!$F$16)</f>
        <v/>
      </c>
      <c r="B218" s="35" t="str">
        <f>IF(Sequences!$B$22="","",Sequences!$A$16)</f>
        <v/>
      </c>
      <c r="C218" s="20" t="str">
        <f>IF(Sequences!$B$22="","",'Slot Times'!$B$17)</f>
        <v/>
      </c>
      <c r="D218" s="35" t="str">
        <f>IF(Sequences!$B$22="","",'Slot Times'!$G$17)</f>
        <v/>
      </c>
      <c r="E218" s="35" t="str">
        <f>IF(Sequences!$B$22="","",Sequences!$B$22)</f>
        <v/>
      </c>
      <c r="F218" s="34" t="str">
        <f>IF(OR(Sequences!$B$22="",'Slot Times'!$F$17=""),"",'Slot Times'!$F$17+Sequences!$C$22/1440)</f>
        <v/>
      </c>
      <c r="G218" s="34" t="str">
        <f>IF($F218="","",$F218+Sequences!$D$22/1440)</f>
        <v/>
      </c>
      <c r="H218" s="35" t="str">
        <f>IF(Sequences!$B$22="","",Sequences!$E$22)</f>
        <v/>
      </c>
    </row>
    <row r="219" spans="1:8" x14ac:dyDescent="0.2">
      <c r="A219" s="35" t="str">
        <f>IF(Sequences!$B$23="","",Sequences!$F$16)</f>
        <v/>
      </c>
      <c r="B219" s="35" t="str">
        <f>IF(Sequences!$B$23="","",Sequences!$A$16)</f>
        <v/>
      </c>
      <c r="C219" s="20" t="str">
        <f>IF(Sequences!$B$23="","",'Slot Times'!$B$17)</f>
        <v/>
      </c>
      <c r="D219" s="35" t="str">
        <f>IF(Sequences!$B$23="","",'Slot Times'!$G$17)</f>
        <v/>
      </c>
      <c r="E219" s="35" t="str">
        <f>IF(Sequences!$B$23="","",Sequences!$B$23)</f>
        <v/>
      </c>
      <c r="F219" s="34" t="str">
        <f>IF(OR(Sequences!$B$23="",'Slot Times'!$F$17=""),"",'Slot Times'!$F$17+Sequences!$C$23/1440)</f>
        <v/>
      </c>
      <c r="G219" s="34" t="str">
        <f>IF($F219="","",$F219+Sequences!$D$23/1440)</f>
        <v/>
      </c>
      <c r="H219" s="35" t="str">
        <f>IF(Sequences!$B$23="","",Sequences!$E$23)</f>
        <v/>
      </c>
    </row>
    <row r="220" spans="1:8" x14ac:dyDescent="0.2">
      <c r="A220" s="35" t="str">
        <f>IF(Sequences!$B$24="","",Sequences!$F$16)</f>
        <v/>
      </c>
      <c r="B220" s="35" t="str">
        <f>IF(Sequences!$B$24="","",Sequences!$A$16)</f>
        <v/>
      </c>
      <c r="C220" s="20" t="str">
        <f>IF(Sequences!$B$24="","",'Slot Times'!$B$17)</f>
        <v/>
      </c>
      <c r="D220" s="35" t="str">
        <f>IF(Sequences!$B$24="","",'Slot Times'!$G$17)</f>
        <v/>
      </c>
      <c r="E220" s="35" t="str">
        <f>IF(Sequences!$B$24="","",Sequences!$B$24)</f>
        <v/>
      </c>
      <c r="F220" s="34" t="str">
        <f>IF(OR(Sequences!$B$24="",'Slot Times'!$F$17=""),"",'Slot Times'!$F$17+Sequences!$C$24/1440)</f>
        <v/>
      </c>
      <c r="G220" s="34" t="str">
        <f>IF($F220="","",$F220+Sequences!$D$24/1440)</f>
        <v/>
      </c>
      <c r="H220" s="35" t="str">
        <f>IF(Sequences!$B$24="","",Sequences!$E$24)</f>
        <v/>
      </c>
    </row>
    <row r="221" spans="1:8" x14ac:dyDescent="0.2">
      <c r="A221" s="35" t="str">
        <f>IF(Sequences!$B$25="","",Sequences!$F$16)</f>
        <v/>
      </c>
      <c r="B221" s="35" t="str">
        <f>IF(Sequences!$B$25="","",Sequences!$A$16)</f>
        <v/>
      </c>
      <c r="C221" s="20" t="str">
        <f>IF(Sequences!$B$25="","",'Slot Times'!$B$17)</f>
        <v/>
      </c>
      <c r="D221" s="35" t="str">
        <f>IF(Sequences!$B$25="","",'Slot Times'!$G$17)</f>
        <v/>
      </c>
      <c r="E221" s="35" t="str">
        <f>IF(Sequences!$B$25="","",Sequences!$B$25)</f>
        <v/>
      </c>
      <c r="F221" s="34" t="str">
        <f>IF(OR(Sequences!$B$25="",'Slot Times'!$F$17=""),"",'Slot Times'!$F$17+Sequences!$C$25/1440)</f>
        <v/>
      </c>
      <c r="G221" s="34" t="str">
        <f>IF($F221="","",$F221+Sequences!$D$25/1440)</f>
        <v/>
      </c>
      <c r="H221" s="35" t="str">
        <f>IF(Sequences!$B$25="","",Sequences!$E$25)</f>
        <v/>
      </c>
    </row>
    <row r="222" spans="1:8" x14ac:dyDescent="0.2">
      <c r="A222" s="35" t="str">
        <f>IF(Sequences!$B$26="","",Sequences!$F$16)</f>
        <v/>
      </c>
      <c r="B222" s="35" t="str">
        <f>IF(Sequences!$B$26="","",Sequences!$A$16)</f>
        <v/>
      </c>
      <c r="C222" s="20" t="str">
        <f>IF(Sequences!$B$26="","",'Slot Times'!$B$17)</f>
        <v/>
      </c>
      <c r="D222" s="35" t="str">
        <f>IF(Sequences!$B$26="","",'Slot Times'!$G$17)</f>
        <v/>
      </c>
      <c r="E222" s="35" t="str">
        <f>IF(Sequences!$B$26="","",Sequences!$B$26)</f>
        <v/>
      </c>
      <c r="F222" s="34" t="str">
        <f>IF(OR(Sequences!$B$26="",'Slot Times'!$F$17=""),"",'Slot Times'!$F$17+Sequences!$C$26/1440)</f>
        <v/>
      </c>
      <c r="G222" s="34" t="str">
        <f>IF($F222="","",$F222+Sequences!$D$26/1440)</f>
        <v/>
      </c>
      <c r="H222" s="35" t="str">
        <f>IF(Sequences!$B$26="","",Sequences!$E$26)</f>
        <v/>
      </c>
    </row>
    <row r="223" spans="1:8" x14ac:dyDescent="0.2">
      <c r="A223" s="35" t="str">
        <f>IF(Sequences!$B$27="","",Sequences!$F$16)</f>
        <v/>
      </c>
      <c r="B223" s="35" t="str">
        <f>IF(Sequences!$B$27="","",Sequences!$A$16)</f>
        <v/>
      </c>
      <c r="C223" s="20" t="str">
        <f>IF(Sequences!$B$27="","",'Slot Times'!$B$17)</f>
        <v/>
      </c>
      <c r="D223" s="35" t="str">
        <f>IF(Sequences!$B$27="","",'Slot Times'!$G$17)</f>
        <v/>
      </c>
      <c r="E223" s="35" t="str">
        <f>IF(Sequences!$B$27="","",Sequences!$B$27)</f>
        <v/>
      </c>
      <c r="F223" s="34" t="str">
        <f>IF(OR(Sequences!$B$27="",'Slot Times'!$F$17=""),"",'Slot Times'!$F$17+Sequences!$C$27/1440)</f>
        <v/>
      </c>
      <c r="G223" s="34" t="str">
        <f>IF($F223="","",$F223+Sequences!$D$27/1440)</f>
        <v/>
      </c>
      <c r="H223" s="35" t="str">
        <f>IF(Sequences!$B$27="","",Sequences!$E$27)</f>
        <v/>
      </c>
    </row>
    <row r="224" spans="1:8" x14ac:dyDescent="0.2">
      <c r="A224" s="35" t="str">
        <f>IF(Sequences!$B$28="","",Sequences!$F$16)</f>
        <v/>
      </c>
      <c r="B224" s="35" t="str">
        <f>IF(Sequences!$B$28="","",Sequences!$A$16)</f>
        <v/>
      </c>
      <c r="C224" s="20" t="str">
        <f>IF(Sequences!$B$28="","",'Slot Times'!$B$17)</f>
        <v/>
      </c>
      <c r="D224" s="35" t="str">
        <f>IF(Sequences!$B$28="","",'Slot Times'!$G$17)</f>
        <v/>
      </c>
      <c r="E224" s="35" t="str">
        <f>IF(Sequences!$B$28="","",Sequences!$B$28)</f>
        <v/>
      </c>
      <c r="F224" s="34" t="str">
        <f>IF(OR(Sequences!$B$28="",'Slot Times'!$F$17=""),"",'Slot Times'!$F$17+Sequences!$C$28/1440)</f>
        <v/>
      </c>
      <c r="G224" s="34" t="str">
        <f>IF($F224="","",$F224+Sequences!$D$28/1440)</f>
        <v/>
      </c>
      <c r="H224" s="35" t="str">
        <f>IF(Sequences!$B$28="","",Sequences!$E$28)</f>
        <v/>
      </c>
    </row>
    <row r="225" spans="1:8" x14ac:dyDescent="0.2">
      <c r="A225" s="35" t="str">
        <f>IF(Sequences!$B$29="","",Sequences!$F$16)</f>
        <v/>
      </c>
      <c r="B225" s="35" t="str">
        <f>IF(Sequences!$B$29="","",Sequences!$A$16)</f>
        <v/>
      </c>
      <c r="C225" s="20" t="str">
        <f>IF(Sequences!$B$29="","",'Slot Times'!$B$17)</f>
        <v/>
      </c>
      <c r="D225" s="35" t="str">
        <f>IF(Sequences!$B$29="","",'Slot Times'!$G$17)</f>
        <v/>
      </c>
      <c r="E225" s="35" t="str">
        <f>IF(Sequences!$B$29="","",Sequences!$B$29)</f>
        <v/>
      </c>
      <c r="F225" s="34" t="str">
        <f>IF(OR(Sequences!$B$29="",'Slot Times'!$F$17=""),"",'Slot Times'!$F$17+Sequences!$C$29/1440)</f>
        <v/>
      </c>
      <c r="G225" s="34" t="str">
        <f>IF($F225="","",$F225+Sequences!$D$29/1440)</f>
        <v/>
      </c>
      <c r="H225" s="35" t="str">
        <f>IF(Sequences!$B$29="","",Sequences!$E$29)</f>
        <v/>
      </c>
    </row>
    <row r="226" spans="1:8" x14ac:dyDescent="0.2">
      <c r="A226" s="35" t="str">
        <f>IF(Sequences!$B$30="","",Sequences!$F$30)</f>
        <v>Saturday</v>
      </c>
      <c r="B226" s="35" t="str">
        <f>IF(Sequences!$B$30="","",Sequences!$A$30)</f>
        <v>Show Backstage</v>
      </c>
      <c r="C226" s="20">
        <f>IF(Sequences!$B$30="","",'Slot Times'!$B$18)</f>
        <v>1</v>
      </c>
      <c r="D226" s="35" t="str">
        <f>IF(Sequences!$B$30="","",'Slot Times'!$G$18)</f>
        <v>(not drawn)</v>
      </c>
      <c r="E226" s="35" t="str">
        <f>IF(Sequences!$B$30="","",Sequences!$B$30)</f>
        <v>Leave Audience Seats</v>
      </c>
      <c r="F226" s="34">
        <f>IF(OR(Sequences!$B$30="",'Slot Times'!$F$18=""),"",'Slot Times'!$F$18+Sequences!$C$30/1440)</f>
        <v>0.70833333333333326</v>
      </c>
      <c r="G226" s="34">
        <f>IF($F226="","",$F226+Sequences!$D$30/1440)</f>
        <v>0.71180555555555547</v>
      </c>
      <c r="H226" s="35" t="str">
        <f>IF(Sequences!$B$30="","",Sequences!$E$30)</f>
        <v>IU Auditorium — House</v>
      </c>
    </row>
    <row r="227" spans="1:8" x14ac:dyDescent="0.2">
      <c r="A227" s="35" t="str">
        <f>IF(Sequences!$B$31="","",Sequences!$F$30)</f>
        <v>Saturday</v>
      </c>
      <c r="B227" s="35" t="str">
        <f>IF(Sequences!$B$31="","",Sequences!$A$30)</f>
        <v>Show Backstage</v>
      </c>
      <c r="C227" s="20">
        <f>IF(Sequences!$B$31="","",'Slot Times'!$B$18)</f>
        <v>1</v>
      </c>
      <c r="D227" s="35" t="str">
        <f>IF(Sequences!$B$31="","",'Slot Times'!$G$18)</f>
        <v>(not drawn)</v>
      </c>
      <c r="E227" s="35" t="str">
        <f>IF(Sequences!$B$31="","",Sequences!$B$31)</f>
        <v>Dressing Room</v>
      </c>
      <c r="F227" s="34">
        <f>IF(OR(Sequences!$B$31="",'Slot Times'!$F$18=""),"",'Slot Times'!$F$18+Sequences!$C$31/1440)</f>
        <v>0.71180555555555558</v>
      </c>
      <c r="G227" s="34">
        <f>IF($F227="","",$F227+Sequences!$D$31/1440)</f>
        <v>0.71875</v>
      </c>
      <c r="H227" s="35" t="str">
        <f>IF(Sequences!$B$31="","",Sequences!$E$31)</f>
        <v>IU Auditorium — Dressing Room</v>
      </c>
    </row>
    <row r="228" spans="1:8" x14ac:dyDescent="0.2">
      <c r="A228" s="35" t="str">
        <f>IF(Sequences!$B$32="","",Sequences!$F$30)</f>
        <v>Saturday</v>
      </c>
      <c r="B228" s="35" t="str">
        <f>IF(Sequences!$B$32="","",Sequences!$A$30)</f>
        <v>Show Backstage</v>
      </c>
      <c r="C228" s="20">
        <f>IF(Sequences!$B$32="","",'Slot Times'!$B$18)</f>
        <v>1</v>
      </c>
      <c r="D228" s="35" t="str">
        <f>IF(Sequences!$B$32="","",'Slot Times'!$G$18)</f>
        <v>(not drawn)</v>
      </c>
      <c r="E228" s="35" t="str">
        <f>IF(Sequences!$B$32="","",Sequences!$B$32)</f>
        <v>Pre-Prop</v>
      </c>
      <c r="F228" s="34">
        <f>IF(OR(Sequences!$B$32="",'Slot Times'!$F$18=""),"",'Slot Times'!$F$18+Sequences!$C$32/1440)</f>
        <v>0.71875</v>
      </c>
      <c r="G228" s="34">
        <f>IF($F228="","",$F228+Sequences!$D$32/1440)</f>
        <v>0.72569444444444442</v>
      </c>
      <c r="H228" s="35" t="str">
        <f>IF(Sequences!$B$32="","",Sequences!$E$32)</f>
        <v>IU Auditorium — Pre-Prop</v>
      </c>
    </row>
    <row r="229" spans="1:8" x14ac:dyDescent="0.2">
      <c r="A229" s="35" t="str">
        <f>IF(Sequences!$B$33="","",Sequences!$F$30)</f>
        <v>Saturday</v>
      </c>
      <c r="B229" s="35" t="str">
        <f>IF(Sequences!$B$33="","",Sequences!$A$30)</f>
        <v>Show Backstage</v>
      </c>
      <c r="C229" s="20">
        <f>IF(Sequences!$B$33="","",'Slot Times'!$B$18)</f>
        <v>1</v>
      </c>
      <c r="D229" s="35" t="str">
        <f>IF(Sequences!$B$33="","",'Slot Times'!$G$18)</f>
        <v>(not drawn)</v>
      </c>
      <c r="E229" s="35" t="str">
        <f>IF(Sequences!$B$33="","",Sequences!$B$33)</f>
        <v>ON STAGE</v>
      </c>
      <c r="F229" s="34">
        <f>IF(OR(Sequences!$B$33="",'Slot Times'!$F$18=""),"",'Slot Times'!$F$18+Sequences!$C$33/1440)</f>
        <v>0.72569444444444442</v>
      </c>
      <c r="G229" s="34">
        <f>IF($F229="","",$F229+Sequences!$D$33/1440)</f>
        <v>0.73263888888888884</v>
      </c>
      <c r="H229" s="35" t="str">
        <f>IF(Sequences!$B$33="","",Sequences!$E$33)</f>
        <v>IU Auditorium — Stage</v>
      </c>
    </row>
    <row r="230" spans="1:8" x14ac:dyDescent="0.2">
      <c r="A230" s="35" t="str">
        <f>IF(Sequences!$B$34="","",Sequences!$F$30)</f>
        <v>Saturday</v>
      </c>
      <c r="B230" s="35" t="str">
        <f>IF(Sequences!$B$34="","",Sequences!$A$30)</f>
        <v>Show Backstage</v>
      </c>
      <c r="C230" s="20">
        <f>IF(Sequences!$B$34="","",'Slot Times'!$B$18)</f>
        <v>1</v>
      </c>
      <c r="D230" s="35" t="str">
        <f>IF(Sequences!$B$34="","",'Slot Times'!$G$18)</f>
        <v>(not drawn)</v>
      </c>
      <c r="E230" s="35" t="str">
        <f>IF(Sequences!$B$34="","",Sequences!$B$34)</f>
        <v>Post-Prop to Audience</v>
      </c>
      <c r="F230" s="34">
        <f>IF(OR(Sequences!$B$34="",'Slot Times'!$F$18=""),"",'Slot Times'!$F$18+Sequences!$C$34/1440)</f>
        <v>0.73263888888888884</v>
      </c>
      <c r="G230" s="34">
        <f>IF($F230="","",$F230+Sequences!$D$34/1440)</f>
        <v>0.73958333333333326</v>
      </c>
      <c r="H230" s="35" t="str">
        <f>IF(Sequences!$B$34="","",Sequences!$E$34)</f>
        <v>IU Auditorium — Post-Prop</v>
      </c>
    </row>
    <row r="231" spans="1:8" x14ac:dyDescent="0.2">
      <c r="A231" s="35" t="str">
        <f>IF(Sequences!$B$35="","",Sequences!$F$30)</f>
        <v/>
      </c>
      <c r="B231" s="35" t="str">
        <f>IF(Sequences!$B$35="","",Sequences!$A$30)</f>
        <v/>
      </c>
      <c r="C231" s="20" t="str">
        <f>IF(Sequences!$B$35="","",'Slot Times'!$B$18)</f>
        <v/>
      </c>
      <c r="D231" s="35" t="str">
        <f>IF(Sequences!$B$35="","",'Slot Times'!$G$18)</f>
        <v/>
      </c>
      <c r="E231" s="35" t="str">
        <f>IF(Sequences!$B$35="","",Sequences!$B$35)</f>
        <v/>
      </c>
      <c r="F231" s="34" t="str">
        <f>IF(OR(Sequences!$B$35="",'Slot Times'!$F$18=""),"",'Slot Times'!$F$18+Sequences!$C$35/1440)</f>
        <v/>
      </c>
      <c r="G231" s="34" t="str">
        <f>IF($F231="","",$F231+Sequences!$D$35/1440)</f>
        <v/>
      </c>
      <c r="H231" s="35" t="str">
        <f>IF(Sequences!$B$35="","",Sequences!$E$35)</f>
        <v/>
      </c>
    </row>
    <row r="232" spans="1:8" x14ac:dyDescent="0.2">
      <c r="A232" s="35" t="str">
        <f>IF(Sequences!$B$36="","",Sequences!$F$30)</f>
        <v/>
      </c>
      <c r="B232" s="35" t="str">
        <f>IF(Sequences!$B$36="","",Sequences!$A$30)</f>
        <v/>
      </c>
      <c r="C232" s="20" t="str">
        <f>IF(Sequences!$B$36="","",'Slot Times'!$B$18)</f>
        <v/>
      </c>
      <c r="D232" s="35" t="str">
        <f>IF(Sequences!$B$36="","",'Slot Times'!$G$18)</f>
        <v/>
      </c>
      <c r="E232" s="35" t="str">
        <f>IF(Sequences!$B$36="","",Sequences!$B$36)</f>
        <v/>
      </c>
      <c r="F232" s="34" t="str">
        <f>IF(OR(Sequences!$B$36="",'Slot Times'!$F$18=""),"",'Slot Times'!$F$18+Sequences!$C$36/1440)</f>
        <v/>
      </c>
      <c r="G232" s="34" t="str">
        <f>IF($F232="","",$F232+Sequences!$D$36/1440)</f>
        <v/>
      </c>
      <c r="H232" s="35" t="str">
        <f>IF(Sequences!$B$36="","",Sequences!$E$36)</f>
        <v/>
      </c>
    </row>
    <row r="233" spans="1:8" x14ac:dyDescent="0.2">
      <c r="A233" s="35" t="str">
        <f>IF(Sequences!$B$37="","",Sequences!$F$30)</f>
        <v/>
      </c>
      <c r="B233" s="35" t="str">
        <f>IF(Sequences!$B$37="","",Sequences!$A$30)</f>
        <v/>
      </c>
      <c r="C233" s="20" t="str">
        <f>IF(Sequences!$B$37="","",'Slot Times'!$B$18)</f>
        <v/>
      </c>
      <c r="D233" s="35" t="str">
        <f>IF(Sequences!$B$37="","",'Slot Times'!$G$18)</f>
        <v/>
      </c>
      <c r="E233" s="35" t="str">
        <f>IF(Sequences!$B$37="","",Sequences!$B$37)</f>
        <v/>
      </c>
      <c r="F233" s="34" t="str">
        <f>IF(OR(Sequences!$B$37="",'Slot Times'!$F$18=""),"",'Slot Times'!$F$18+Sequences!$C$37/1440)</f>
        <v/>
      </c>
      <c r="G233" s="34" t="str">
        <f>IF($F233="","",$F233+Sequences!$D$37/1440)</f>
        <v/>
      </c>
      <c r="H233" s="35" t="str">
        <f>IF(Sequences!$B$37="","",Sequences!$E$37)</f>
        <v/>
      </c>
    </row>
    <row r="234" spans="1:8" x14ac:dyDescent="0.2">
      <c r="A234" s="35" t="str">
        <f>IF(Sequences!$B$38="","",Sequences!$F$30)</f>
        <v/>
      </c>
      <c r="B234" s="35" t="str">
        <f>IF(Sequences!$B$38="","",Sequences!$A$30)</f>
        <v/>
      </c>
      <c r="C234" s="20" t="str">
        <f>IF(Sequences!$B$38="","",'Slot Times'!$B$18)</f>
        <v/>
      </c>
      <c r="D234" s="35" t="str">
        <f>IF(Sequences!$B$38="","",'Slot Times'!$G$18)</f>
        <v/>
      </c>
      <c r="E234" s="35" t="str">
        <f>IF(Sequences!$B$38="","",Sequences!$B$38)</f>
        <v/>
      </c>
      <c r="F234" s="34" t="str">
        <f>IF(OR(Sequences!$B$38="",'Slot Times'!$F$18=""),"",'Slot Times'!$F$18+Sequences!$C$38/1440)</f>
        <v/>
      </c>
      <c r="G234" s="34" t="str">
        <f>IF($F234="","",$F234+Sequences!$D$38/1440)</f>
        <v/>
      </c>
      <c r="H234" s="35" t="str">
        <f>IF(Sequences!$B$38="","",Sequences!$E$38)</f>
        <v/>
      </c>
    </row>
    <row r="235" spans="1:8" x14ac:dyDescent="0.2">
      <c r="A235" s="35" t="str">
        <f>IF(Sequences!$B$39="","",Sequences!$F$30)</f>
        <v/>
      </c>
      <c r="B235" s="35" t="str">
        <f>IF(Sequences!$B$39="","",Sequences!$A$30)</f>
        <v/>
      </c>
      <c r="C235" s="20" t="str">
        <f>IF(Sequences!$B$39="","",'Slot Times'!$B$18)</f>
        <v/>
      </c>
      <c r="D235" s="35" t="str">
        <f>IF(Sequences!$B$39="","",'Slot Times'!$G$18)</f>
        <v/>
      </c>
      <c r="E235" s="35" t="str">
        <f>IF(Sequences!$B$39="","",Sequences!$B$39)</f>
        <v/>
      </c>
      <c r="F235" s="34" t="str">
        <f>IF(OR(Sequences!$B$39="",'Slot Times'!$F$18=""),"",'Slot Times'!$F$18+Sequences!$C$39/1440)</f>
        <v/>
      </c>
      <c r="G235" s="34" t="str">
        <f>IF($F235="","",$F235+Sequences!$D$39/1440)</f>
        <v/>
      </c>
      <c r="H235" s="35" t="str">
        <f>IF(Sequences!$B$39="","",Sequences!$E$39)</f>
        <v/>
      </c>
    </row>
    <row r="236" spans="1:8" x14ac:dyDescent="0.2">
      <c r="A236" s="35" t="str">
        <f>IF(Sequences!$B$40="","",Sequences!$F$30)</f>
        <v/>
      </c>
      <c r="B236" s="35" t="str">
        <f>IF(Sequences!$B$40="","",Sequences!$A$30)</f>
        <v/>
      </c>
      <c r="C236" s="20" t="str">
        <f>IF(Sequences!$B$40="","",'Slot Times'!$B$18)</f>
        <v/>
      </c>
      <c r="D236" s="35" t="str">
        <f>IF(Sequences!$B$40="","",'Slot Times'!$G$18)</f>
        <v/>
      </c>
      <c r="E236" s="35" t="str">
        <f>IF(Sequences!$B$40="","",Sequences!$B$40)</f>
        <v/>
      </c>
      <c r="F236" s="34" t="str">
        <f>IF(OR(Sequences!$B$40="",'Slot Times'!$F$18=""),"",'Slot Times'!$F$18+Sequences!$C$40/1440)</f>
        <v/>
      </c>
      <c r="G236" s="34" t="str">
        <f>IF($F236="","",$F236+Sequences!$D$40/1440)</f>
        <v/>
      </c>
      <c r="H236" s="35" t="str">
        <f>IF(Sequences!$B$40="","",Sequences!$E$40)</f>
        <v/>
      </c>
    </row>
    <row r="237" spans="1:8" x14ac:dyDescent="0.2">
      <c r="A237" s="35" t="str">
        <f>IF(Sequences!$B$41="","",Sequences!$F$30)</f>
        <v/>
      </c>
      <c r="B237" s="35" t="str">
        <f>IF(Sequences!$B$41="","",Sequences!$A$30)</f>
        <v/>
      </c>
      <c r="C237" s="20" t="str">
        <f>IF(Sequences!$B$41="","",'Slot Times'!$B$18)</f>
        <v/>
      </c>
      <c r="D237" s="35" t="str">
        <f>IF(Sequences!$B$41="","",'Slot Times'!$G$18)</f>
        <v/>
      </c>
      <c r="E237" s="35" t="str">
        <f>IF(Sequences!$B$41="","",Sequences!$B$41)</f>
        <v/>
      </c>
      <c r="F237" s="34" t="str">
        <f>IF(OR(Sequences!$B$41="",'Slot Times'!$F$18=""),"",'Slot Times'!$F$18+Sequences!$C$41/1440)</f>
        <v/>
      </c>
      <c r="G237" s="34" t="str">
        <f>IF($F237="","",$F237+Sequences!$D$41/1440)</f>
        <v/>
      </c>
      <c r="H237" s="35" t="str">
        <f>IF(Sequences!$B$41="","",Sequences!$E$41)</f>
        <v/>
      </c>
    </row>
    <row r="238" spans="1:8" x14ac:dyDescent="0.2">
      <c r="A238" s="35" t="str">
        <f>IF(Sequences!$B$42="","",Sequences!$F$30)</f>
        <v/>
      </c>
      <c r="B238" s="35" t="str">
        <f>IF(Sequences!$B$42="","",Sequences!$A$30)</f>
        <v/>
      </c>
      <c r="C238" s="20" t="str">
        <f>IF(Sequences!$B$42="","",'Slot Times'!$B$18)</f>
        <v/>
      </c>
      <c r="D238" s="35" t="str">
        <f>IF(Sequences!$B$42="","",'Slot Times'!$G$18)</f>
        <v/>
      </c>
      <c r="E238" s="35" t="str">
        <f>IF(Sequences!$B$42="","",Sequences!$B$42)</f>
        <v/>
      </c>
      <c r="F238" s="34" t="str">
        <f>IF(OR(Sequences!$B$42="",'Slot Times'!$F$18=""),"",'Slot Times'!$F$18+Sequences!$C$42/1440)</f>
        <v/>
      </c>
      <c r="G238" s="34" t="str">
        <f>IF($F238="","",$F238+Sequences!$D$42/1440)</f>
        <v/>
      </c>
      <c r="H238" s="35" t="str">
        <f>IF(Sequences!$B$42="","",Sequences!$E$42)</f>
        <v/>
      </c>
    </row>
    <row r="239" spans="1:8" x14ac:dyDescent="0.2">
      <c r="A239" s="35" t="str">
        <f>IF(Sequences!$B$43="","",Sequences!$F$30)</f>
        <v/>
      </c>
      <c r="B239" s="35" t="str">
        <f>IF(Sequences!$B$43="","",Sequences!$A$30)</f>
        <v/>
      </c>
      <c r="C239" s="20" t="str">
        <f>IF(Sequences!$B$43="","",'Slot Times'!$B$18)</f>
        <v/>
      </c>
      <c r="D239" s="35" t="str">
        <f>IF(Sequences!$B$43="","",'Slot Times'!$G$18)</f>
        <v/>
      </c>
      <c r="E239" s="35" t="str">
        <f>IF(Sequences!$B$43="","",Sequences!$B$43)</f>
        <v/>
      </c>
      <c r="F239" s="34" t="str">
        <f>IF(OR(Sequences!$B$43="",'Slot Times'!$F$18=""),"",'Slot Times'!$F$18+Sequences!$C$43/1440)</f>
        <v/>
      </c>
      <c r="G239" s="34" t="str">
        <f>IF($F239="","",$F239+Sequences!$D$43/1440)</f>
        <v/>
      </c>
      <c r="H239" s="35" t="str">
        <f>IF(Sequences!$B$43="","",Sequences!$E$43)</f>
        <v/>
      </c>
    </row>
    <row r="240" spans="1:8" x14ac:dyDescent="0.2">
      <c r="A240" s="35" t="str">
        <f>IF(Sequences!$B$30="","",Sequences!$F$30)</f>
        <v>Saturday</v>
      </c>
      <c r="B240" s="35" t="str">
        <f>IF(Sequences!$B$30="","",Sequences!$A$30)</f>
        <v>Show Backstage</v>
      </c>
      <c r="C240" s="20">
        <f>IF(Sequences!$B$30="","",'Slot Times'!$B$19)</f>
        <v>2</v>
      </c>
      <c r="D240" s="35" t="str">
        <f>IF(Sequences!$B$30="","",'Slot Times'!$G$19)</f>
        <v>(not drawn)</v>
      </c>
      <c r="E240" s="35" t="str">
        <f>IF(Sequences!$B$30="","",Sequences!$B$30)</f>
        <v>Leave Audience Seats</v>
      </c>
      <c r="F240" s="34">
        <f>IF(OR(Sequences!$B$30="",'Slot Times'!$F$19=""),"",'Slot Times'!$F$19+Sequences!$C$30/1440)</f>
        <v>0.71527777777777768</v>
      </c>
      <c r="G240" s="34">
        <f>IF($F240="","",$F240+Sequences!$D$30/1440)</f>
        <v>0.71874999999999989</v>
      </c>
      <c r="H240" s="35" t="str">
        <f>IF(Sequences!$B$30="","",Sequences!$E$30)</f>
        <v>IU Auditorium — House</v>
      </c>
    </row>
    <row r="241" spans="1:8" x14ac:dyDescent="0.2">
      <c r="A241" s="35" t="str">
        <f>IF(Sequences!$B$31="","",Sequences!$F$30)</f>
        <v>Saturday</v>
      </c>
      <c r="B241" s="35" t="str">
        <f>IF(Sequences!$B$31="","",Sequences!$A$30)</f>
        <v>Show Backstage</v>
      </c>
      <c r="C241" s="20">
        <f>IF(Sequences!$B$31="","",'Slot Times'!$B$19)</f>
        <v>2</v>
      </c>
      <c r="D241" s="35" t="str">
        <f>IF(Sequences!$B$31="","",'Slot Times'!$G$19)</f>
        <v>(not drawn)</v>
      </c>
      <c r="E241" s="35" t="str">
        <f>IF(Sequences!$B$31="","",Sequences!$B$31)</f>
        <v>Dressing Room</v>
      </c>
      <c r="F241" s="34">
        <f>IF(OR(Sequences!$B$31="",'Slot Times'!$F$19=""),"",'Slot Times'!$F$19+Sequences!$C$31/1440)</f>
        <v>0.71875</v>
      </c>
      <c r="G241" s="34">
        <f>IF($F241="","",$F241+Sequences!$D$31/1440)</f>
        <v>0.72569444444444442</v>
      </c>
      <c r="H241" s="35" t="str">
        <f>IF(Sequences!$B$31="","",Sequences!$E$31)</f>
        <v>IU Auditorium — Dressing Room</v>
      </c>
    </row>
    <row r="242" spans="1:8" x14ac:dyDescent="0.2">
      <c r="A242" s="35" t="str">
        <f>IF(Sequences!$B$32="","",Sequences!$F$30)</f>
        <v>Saturday</v>
      </c>
      <c r="B242" s="35" t="str">
        <f>IF(Sequences!$B$32="","",Sequences!$A$30)</f>
        <v>Show Backstage</v>
      </c>
      <c r="C242" s="20">
        <f>IF(Sequences!$B$32="","",'Slot Times'!$B$19)</f>
        <v>2</v>
      </c>
      <c r="D242" s="35" t="str">
        <f>IF(Sequences!$B$32="","",'Slot Times'!$G$19)</f>
        <v>(not drawn)</v>
      </c>
      <c r="E242" s="35" t="str">
        <f>IF(Sequences!$B$32="","",Sequences!$B$32)</f>
        <v>Pre-Prop</v>
      </c>
      <c r="F242" s="34">
        <f>IF(OR(Sequences!$B$32="",'Slot Times'!$F$19=""),"",'Slot Times'!$F$19+Sequences!$C$32/1440)</f>
        <v>0.72569444444444442</v>
      </c>
      <c r="G242" s="34">
        <f>IF($F242="","",$F242+Sequences!$D$32/1440)</f>
        <v>0.73263888888888884</v>
      </c>
      <c r="H242" s="35" t="str">
        <f>IF(Sequences!$B$32="","",Sequences!$E$32)</f>
        <v>IU Auditorium — Pre-Prop</v>
      </c>
    </row>
    <row r="243" spans="1:8" x14ac:dyDescent="0.2">
      <c r="A243" s="35" t="str">
        <f>IF(Sequences!$B$33="","",Sequences!$F$30)</f>
        <v>Saturday</v>
      </c>
      <c r="B243" s="35" t="str">
        <f>IF(Sequences!$B$33="","",Sequences!$A$30)</f>
        <v>Show Backstage</v>
      </c>
      <c r="C243" s="20">
        <f>IF(Sequences!$B$33="","",'Slot Times'!$B$19)</f>
        <v>2</v>
      </c>
      <c r="D243" s="35" t="str">
        <f>IF(Sequences!$B$33="","",'Slot Times'!$G$19)</f>
        <v>(not drawn)</v>
      </c>
      <c r="E243" s="35" t="str">
        <f>IF(Sequences!$B$33="","",Sequences!$B$33)</f>
        <v>ON STAGE</v>
      </c>
      <c r="F243" s="34">
        <f>IF(OR(Sequences!$B$33="",'Slot Times'!$F$19=""),"",'Slot Times'!$F$19+Sequences!$C$33/1440)</f>
        <v>0.73263888888888884</v>
      </c>
      <c r="G243" s="34">
        <f>IF($F243="","",$F243+Sequences!$D$33/1440)</f>
        <v>0.73958333333333326</v>
      </c>
      <c r="H243" s="35" t="str">
        <f>IF(Sequences!$B$33="","",Sequences!$E$33)</f>
        <v>IU Auditorium — Stage</v>
      </c>
    </row>
    <row r="244" spans="1:8" x14ac:dyDescent="0.2">
      <c r="A244" s="35" t="str">
        <f>IF(Sequences!$B$34="","",Sequences!$F$30)</f>
        <v>Saturday</v>
      </c>
      <c r="B244" s="35" t="str">
        <f>IF(Sequences!$B$34="","",Sequences!$A$30)</f>
        <v>Show Backstage</v>
      </c>
      <c r="C244" s="20">
        <f>IF(Sequences!$B$34="","",'Slot Times'!$B$19)</f>
        <v>2</v>
      </c>
      <c r="D244" s="35" t="str">
        <f>IF(Sequences!$B$34="","",'Slot Times'!$G$19)</f>
        <v>(not drawn)</v>
      </c>
      <c r="E244" s="35" t="str">
        <f>IF(Sequences!$B$34="","",Sequences!$B$34)</f>
        <v>Post-Prop to Audience</v>
      </c>
      <c r="F244" s="34">
        <f>IF(OR(Sequences!$B$34="",'Slot Times'!$F$19=""),"",'Slot Times'!$F$19+Sequences!$C$34/1440)</f>
        <v>0.73958333333333326</v>
      </c>
      <c r="G244" s="34">
        <f>IF($F244="","",$F244+Sequences!$D$34/1440)</f>
        <v>0.74652777777777768</v>
      </c>
      <c r="H244" s="35" t="str">
        <f>IF(Sequences!$B$34="","",Sequences!$E$34)</f>
        <v>IU Auditorium — Post-Prop</v>
      </c>
    </row>
    <row r="245" spans="1:8" x14ac:dyDescent="0.2">
      <c r="A245" s="35" t="str">
        <f>IF(Sequences!$B$35="","",Sequences!$F$30)</f>
        <v/>
      </c>
      <c r="B245" s="35" t="str">
        <f>IF(Sequences!$B$35="","",Sequences!$A$30)</f>
        <v/>
      </c>
      <c r="C245" s="20" t="str">
        <f>IF(Sequences!$B$35="","",'Slot Times'!$B$19)</f>
        <v/>
      </c>
      <c r="D245" s="35" t="str">
        <f>IF(Sequences!$B$35="","",'Slot Times'!$G$19)</f>
        <v/>
      </c>
      <c r="E245" s="35" t="str">
        <f>IF(Sequences!$B$35="","",Sequences!$B$35)</f>
        <v/>
      </c>
      <c r="F245" s="34" t="str">
        <f>IF(OR(Sequences!$B$35="",'Slot Times'!$F$19=""),"",'Slot Times'!$F$19+Sequences!$C$35/1440)</f>
        <v/>
      </c>
      <c r="G245" s="34" t="str">
        <f>IF($F245="","",$F245+Sequences!$D$35/1440)</f>
        <v/>
      </c>
      <c r="H245" s="35" t="str">
        <f>IF(Sequences!$B$35="","",Sequences!$E$35)</f>
        <v/>
      </c>
    </row>
    <row r="246" spans="1:8" x14ac:dyDescent="0.2">
      <c r="A246" s="35" t="str">
        <f>IF(Sequences!$B$36="","",Sequences!$F$30)</f>
        <v/>
      </c>
      <c r="B246" s="35" t="str">
        <f>IF(Sequences!$B$36="","",Sequences!$A$30)</f>
        <v/>
      </c>
      <c r="C246" s="20" t="str">
        <f>IF(Sequences!$B$36="","",'Slot Times'!$B$19)</f>
        <v/>
      </c>
      <c r="D246" s="35" t="str">
        <f>IF(Sequences!$B$36="","",'Slot Times'!$G$19)</f>
        <v/>
      </c>
      <c r="E246" s="35" t="str">
        <f>IF(Sequences!$B$36="","",Sequences!$B$36)</f>
        <v/>
      </c>
      <c r="F246" s="34" t="str">
        <f>IF(OR(Sequences!$B$36="",'Slot Times'!$F$19=""),"",'Slot Times'!$F$19+Sequences!$C$36/1440)</f>
        <v/>
      </c>
      <c r="G246" s="34" t="str">
        <f>IF($F246="","",$F246+Sequences!$D$36/1440)</f>
        <v/>
      </c>
      <c r="H246" s="35" t="str">
        <f>IF(Sequences!$B$36="","",Sequences!$E$36)</f>
        <v/>
      </c>
    </row>
    <row r="247" spans="1:8" x14ac:dyDescent="0.2">
      <c r="A247" s="35" t="str">
        <f>IF(Sequences!$B$37="","",Sequences!$F$30)</f>
        <v/>
      </c>
      <c r="B247" s="35" t="str">
        <f>IF(Sequences!$B$37="","",Sequences!$A$30)</f>
        <v/>
      </c>
      <c r="C247" s="20" t="str">
        <f>IF(Sequences!$B$37="","",'Slot Times'!$B$19)</f>
        <v/>
      </c>
      <c r="D247" s="35" t="str">
        <f>IF(Sequences!$B$37="","",'Slot Times'!$G$19)</f>
        <v/>
      </c>
      <c r="E247" s="35" t="str">
        <f>IF(Sequences!$B$37="","",Sequences!$B$37)</f>
        <v/>
      </c>
      <c r="F247" s="34" t="str">
        <f>IF(OR(Sequences!$B$37="",'Slot Times'!$F$19=""),"",'Slot Times'!$F$19+Sequences!$C$37/1440)</f>
        <v/>
      </c>
      <c r="G247" s="34" t="str">
        <f>IF($F247="","",$F247+Sequences!$D$37/1440)</f>
        <v/>
      </c>
      <c r="H247" s="35" t="str">
        <f>IF(Sequences!$B$37="","",Sequences!$E$37)</f>
        <v/>
      </c>
    </row>
    <row r="248" spans="1:8" x14ac:dyDescent="0.2">
      <c r="A248" s="35" t="str">
        <f>IF(Sequences!$B$38="","",Sequences!$F$30)</f>
        <v/>
      </c>
      <c r="B248" s="35" t="str">
        <f>IF(Sequences!$B$38="","",Sequences!$A$30)</f>
        <v/>
      </c>
      <c r="C248" s="20" t="str">
        <f>IF(Sequences!$B$38="","",'Slot Times'!$B$19)</f>
        <v/>
      </c>
      <c r="D248" s="35" t="str">
        <f>IF(Sequences!$B$38="","",'Slot Times'!$G$19)</f>
        <v/>
      </c>
      <c r="E248" s="35" t="str">
        <f>IF(Sequences!$B$38="","",Sequences!$B$38)</f>
        <v/>
      </c>
      <c r="F248" s="34" t="str">
        <f>IF(OR(Sequences!$B$38="",'Slot Times'!$F$19=""),"",'Slot Times'!$F$19+Sequences!$C$38/1440)</f>
        <v/>
      </c>
      <c r="G248" s="34" t="str">
        <f>IF($F248="","",$F248+Sequences!$D$38/1440)</f>
        <v/>
      </c>
      <c r="H248" s="35" t="str">
        <f>IF(Sequences!$B$38="","",Sequences!$E$38)</f>
        <v/>
      </c>
    </row>
    <row r="249" spans="1:8" x14ac:dyDescent="0.2">
      <c r="A249" s="35" t="str">
        <f>IF(Sequences!$B$39="","",Sequences!$F$30)</f>
        <v/>
      </c>
      <c r="B249" s="35" t="str">
        <f>IF(Sequences!$B$39="","",Sequences!$A$30)</f>
        <v/>
      </c>
      <c r="C249" s="20" t="str">
        <f>IF(Sequences!$B$39="","",'Slot Times'!$B$19)</f>
        <v/>
      </c>
      <c r="D249" s="35" t="str">
        <f>IF(Sequences!$B$39="","",'Slot Times'!$G$19)</f>
        <v/>
      </c>
      <c r="E249" s="35" t="str">
        <f>IF(Sequences!$B$39="","",Sequences!$B$39)</f>
        <v/>
      </c>
      <c r="F249" s="34" t="str">
        <f>IF(OR(Sequences!$B$39="",'Slot Times'!$F$19=""),"",'Slot Times'!$F$19+Sequences!$C$39/1440)</f>
        <v/>
      </c>
      <c r="G249" s="34" t="str">
        <f>IF($F249="","",$F249+Sequences!$D$39/1440)</f>
        <v/>
      </c>
      <c r="H249" s="35" t="str">
        <f>IF(Sequences!$B$39="","",Sequences!$E$39)</f>
        <v/>
      </c>
    </row>
    <row r="250" spans="1:8" x14ac:dyDescent="0.2">
      <c r="A250" s="35" t="str">
        <f>IF(Sequences!$B$40="","",Sequences!$F$30)</f>
        <v/>
      </c>
      <c r="B250" s="35" t="str">
        <f>IF(Sequences!$B$40="","",Sequences!$A$30)</f>
        <v/>
      </c>
      <c r="C250" s="20" t="str">
        <f>IF(Sequences!$B$40="","",'Slot Times'!$B$19)</f>
        <v/>
      </c>
      <c r="D250" s="35" t="str">
        <f>IF(Sequences!$B$40="","",'Slot Times'!$G$19)</f>
        <v/>
      </c>
      <c r="E250" s="35" t="str">
        <f>IF(Sequences!$B$40="","",Sequences!$B$40)</f>
        <v/>
      </c>
      <c r="F250" s="34" t="str">
        <f>IF(OR(Sequences!$B$40="",'Slot Times'!$F$19=""),"",'Slot Times'!$F$19+Sequences!$C$40/1440)</f>
        <v/>
      </c>
      <c r="G250" s="34" t="str">
        <f>IF($F250="","",$F250+Sequences!$D$40/1440)</f>
        <v/>
      </c>
      <c r="H250" s="35" t="str">
        <f>IF(Sequences!$B$40="","",Sequences!$E$40)</f>
        <v/>
      </c>
    </row>
    <row r="251" spans="1:8" x14ac:dyDescent="0.2">
      <c r="A251" s="35" t="str">
        <f>IF(Sequences!$B$41="","",Sequences!$F$30)</f>
        <v/>
      </c>
      <c r="B251" s="35" t="str">
        <f>IF(Sequences!$B$41="","",Sequences!$A$30)</f>
        <v/>
      </c>
      <c r="C251" s="20" t="str">
        <f>IF(Sequences!$B$41="","",'Slot Times'!$B$19)</f>
        <v/>
      </c>
      <c r="D251" s="35" t="str">
        <f>IF(Sequences!$B$41="","",'Slot Times'!$G$19)</f>
        <v/>
      </c>
      <c r="E251" s="35" t="str">
        <f>IF(Sequences!$B$41="","",Sequences!$B$41)</f>
        <v/>
      </c>
      <c r="F251" s="34" t="str">
        <f>IF(OR(Sequences!$B$41="",'Slot Times'!$F$19=""),"",'Slot Times'!$F$19+Sequences!$C$41/1440)</f>
        <v/>
      </c>
      <c r="G251" s="34" t="str">
        <f>IF($F251="","",$F251+Sequences!$D$41/1440)</f>
        <v/>
      </c>
      <c r="H251" s="35" t="str">
        <f>IF(Sequences!$B$41="","",Sequences!$E$41)</f>
        <v/>
      </c>
    </row>
    <row r="252" spans="1:8" x14ac:dyDescent="0.2">
      <c r="A252" s="35" t="str">
        <f>IF(Sequences!$B$42="","",Sequences!$F$30)</f>
        <v/>
      </c>
      <c r="B252" s="35" t="str">
        <f>IF(Sequences!$B$42="","",Sequences!$A$30)</f>
        <v/>
      </c>
      <c r="C252" s="20" t="str">
        <f>IF(Sequences!$B$42="","",'Slot Times'!$B$19)</f>
        <v/>
      </c>
      <c r="D252" s="35" t="str">
        <f>IF(Sequences!$B$42="","",'Slot Times'!$G$19)</f>
        <v/>
      </c>
      <c r="E252" s="35" t="str">
        <f>IF(Sequences!$B$42="","",Sequences!$B$42)</f>
        <v/>
      </c>
      <c r="F252" s="34" t="str">
        <f>IF(OR(Sequences!$B$42="",'Slot Times'!$F$19=""),"",'Slot Times'!$F$19+Sequences!$C$42/1440)</f>
        <v/>
      </c>
      <c r="G252" s="34" t="str">
        <f>IF($F252="","",$F252+Sequences!$D$42/1440)</f>
        <v/>
      </c>
      <c r="H252" s="35" t="str">
        <f>IF(Sequences!$B$42="","",Sequences!$E$42)</f>
        <v/>
      </c>
    </row>
    <row r="253" spans="1:8" x14ac:dyDescent="0.2">
      <c r="A253" s="35" t="str">
        <f>IF(Sequences!$B$43="","",Sequences!$F$30)</f>
        <v/>
      </c>
      <c r="B253" s="35" t="str">
        <f>IF(Sequences!$B$43="","",Sequences!$A$30)</f>
        <v/>
      </c>
      <c r="C253" s="20" t="str">
        <f>IF(Sequences!$B$43="","",'Slot Times'!$B$19)</f>
        <v/>
      </c>
      <c r="D253" s="35" t="str">
        <f>IF(Sequences!$B$43="","",'Slot Times'!$G$19)</f>
        <v/>
      </c>
      <c r="E253" s="35" t="str">
        <f>IF(Sequences!$B$43="","",Sequences!$B$43)</f>
        <v/>
      </c>
      <c r="F253" s="34" t="str">
        <f>IF(OR(Sequences!$B$43="",'Slot Times'!$F$19=""),"",'Slot Times'!$F$19+Sequences!$C$43/1440)</f>
        <v/>
      </c>
      <c r="G253" s="34" t="str">
        <f>IF($F253="","",$F253+Sequences!$D$43/1440)</f>
        <v/>
      </c>
      <c r="H253" s="35" t="str">
        <f>IF(Sequences!$B$43="","",Sequences!$E$43)</f>
        <v/>
      </c>
    </row>
    <row r="254" spans="1:8" x14ac:dyDescent="0.2">
      <c r="A254" s="35" t="str">
        <f>IF(Sequences!$B$30="","",Sequences!$F$30)</f>
        <v>Saturday</v>
      </c>
      <c r="B254" s="35" t="str">
        <f>IF(Sequences!$B$30="","",Sequences!$A$30)</f>
        <v>Show Backstage</v>
      </c>
      <c r="C254" s="20">
        <f>IF(Sequences!$B$30="","",'Slot Times'!$B$20)</f>
        <v>3</v>
      </c>
      <c r="D254" s="35" t="str">
        <f>IF(Sequences!$B$30="","",'Slot Times'!$G$20)</f>
        <v>(not drawn)</v>
      </c>
      <c r="E254" s="35" t="str">
        <f>IF(Sequences!$B$30="","",Sequences!$B$30)</f>
        <v>Leave Audience Seats</v>
      </c>
      <c r="F254" s="34">
        <f>IF(OR(Sequences!$B$30="",'Slot Times'!$F$20=""),"",'Slot Times'!$F$20+Sequences!$C$30/1440)</f>
        <v>0.7222222222222221</v>
      </c>
      <c r="G254" s="34">
        <f>IF($F254="","",$F254+Sequences!$D$30/1440)</f>
        <v>0.72569444444444431</v>
      </c>
      <c r="H254" s="35" t="str">
        <f>IF(Sequences!$B$30="","",Sequences!$E$30)</f>
        <v>IU Auditorium — House</v>
      </c>
    </row>
    <row r="255" spans="1:8" x14ac:dyDescent="0.2">
      <c r="A255" s="35" t="str">
        <f>IF(Sequences!$B$31="","",Sequences!$F$30)</f>
        <v>Saturday</v>
      </c>
      <c r="B255" s="35" t="str">
        <f>IF(Sequences!$B$31="","",Sequences!$A$30)</f>
        <v>Show Backstage</v>
      </c>
      <c r="C255" s="20">
        <f>IF(Sequences!$B$31="","",'Slot Times'!$B$20)</f>
        <v>3</v>
      </c>
      <c r="D255" s="35" t="str">
        <f>IF(Sequences!$B$31="","",'Slot Times'!$G$20)</f>
        <v>(not drawn)</v>
      </c>
      <c r="E255" s="35" t="str">
        <f>IF(Sequences!$B$31="","",Sequences!$B$31)</f>
        <v>Dressing Room</v>
      </c>
      <c r="F255" s="34">
        <f>IF(OR(Sequences!$B$31="",'Slot Times'!$F$20=""),"",'Slot Times'!$F$20+Sequences!$C$31/1440)</f>
        <v>0.72569444444444442</v>
      </c>
      <c r="G255" s="34">
        <f>IF($F255="","",$F255+Sequences!$D$31/1440)</f>
        <v>0.73263888888888884</v>
      </c>
      <c r="H255" s="35" t="str">
        <f>IF(Sequences!$B$31="","",Sequences!$E$31)</f>
        <v>IU Auditorium — Dressing Room</v>
      </c>
    </row>
    <row r="256" spans="1:8" x14ac:dyDescent="0.2">
      <c r="A256" s="35" t="str">
        <f>IF(Sequences!$B$32="","",Sequences!$F$30)</f>
        <v>Saturday</v>
      </c>
      <c r="B256" s="35" t="str">
        <f>IF(Sequences!$B$32="","",Sequences!$A$30)</f>
        <v>Show Backstage</v>
      </c>
      <c r="C256" s="20">
        <f>IF(Sequences!$B$32="","",'Slot Times'!$B$20)</f>
        <v>3</v>
      </c>
      <c r="D256" s="35" t="str">
        <f>IF(Sequences!$B$32="","",'Slot Times'!$G$20)</f>
        <v>(not drawn)</v>
      </c>
      <c r="E256" s="35" t="str">
        <f>IF(Sequences!$B$32="","",Sequences!$B$32)</f>
        <v>Pre-Prop</v>
      </c>
      <c r="F256" s="34">
        <f>IF(OR(Sequences!$B$32="",'Slot Times'!$F$20=""),"",'Slot Times'!$F$20+Sequences!$C$32/1440)</f>
        <v>0.73263888888888884</v>
      </c>
      <c r="G256" s="34">
        <f>IF($F256="","",$F256+Sequences!$D$32/1440)</f>
        <v>0.73958333333333326</v>
      </c>
      <c r="H256" s="35" t="str">
        <f>IF(Sequences!$B$32="","",Sequences!$E$32)</f>
        <v>IU Auditorium — Pre-Prop</v>
      </c>
    </row>
    <row r="257" spans="1:8" x14ac:dyDescent="0.2">
      <c r="A257" s="35" t="str">
        <f>IF(Sequences!$B$33="","",Sequences!$F$30)</f>
        <v>Saturday</v>
      </c>
      <c r="B257" s="35" t="str">
        <f>IF(Sequences!$B$33="","",Sequences!$A$30)</f>
        <v>Show Backstage</v>
      </c>
      <c r="C257" s="20">
        <f>IF(Sequences!$B$33="","",'Slot Times'!$B$20)</f>
        <v>3</v>
      </c>
      <c r="D257" s="35" t="str">
        <f>IF(Sequences!$B$33="","",'Slot Times'!$G$20)</f>
        <v>(not drawn)</v>
      </c>
      <c r="E257" s="35" t="str">
        <f>IF(Sequences!$B$33="","",Sequences!$B$33)</f>
        <v>ON STAGE</v>
      </c>
      <c r="F257" s="34">
        <f>IF(OR(Sequences!$B$33="",'Slot Times'!$F$20=""),"",'Slot Times'!$F$20+Sequences!$C$33/1440)</f>
        <v>0.73958333333333326</v>
      </c>
      <c r="G257" s="34">
        <f>IF($F257="","",$F257+Sequences!$D$33/1440)</f>
        <v>0.74652777777777768</v>
      </c>
      <c r="H257" s="35" t="str">
        <f>IF(Sequences!$B$33="","",Sequences!$E$33)</f>
        <v>IU Auditorium — Stage</v>
      </c>
    </row>
    <row r="258" spans="1:8" x14ac:dyDescent="0.2">
      <c r="A258" s="35" t="str">
        <f>IF(Sequences!$B$34="","",Sequences!$F$30)</f>
        <v>Saturday</v>
      </c>
      <c r="B258" s="35" t="str">
        <f>IF(Sequences!$B$34="","",Sequences!$A$30)</f>
        <v>Show Backstage</v>
      </c>
      <c r="C258" s="20">
        <f>IF(Sequences!$B$34="","",'Slot Times'!$B$20)</f>
        <v>3</v>
      </c>
      <c r="D258" s="35" t="str">
        <f>IF(Sequences!$B$34="","",'Slot Times'!$G$20)</f>
        <v>(not drawn)</v>
      </c>
      <c r="E258" s="35" t="str">
        <f>IF(Sequences!$B$34="","",Sequences!$B$34)</f>
        <v>Post-Prop to Audience</v>
      </c>
      <c r="F258" s="34">
        <f>IF(OR(Sequences!$B$34="",'Slot Times'!$F$20=""),"",'Slot Times'!$F$20+Sequences!$C$34/1440)</f>
        <v>0.74652777777777768</v>
      </c>
      <c r="G258" s="34">
        <f>IF($F258="","",$F258+Sequences!$D$34/1440)</f>
        <v>0.7534722222222221</v>
      </c>
      <c r="H258" s="35" t="str">
        <f>IF(Sequences!$B$34="","",Sequences!$E$34)</f>
        <v>IU Auditorium — Post-Prop</v>
      </c>
    </row>
    <row r="259" spans="1:8" x14ac:dyDescent="0.2">
      <c r="A259" s="35" t="str">
        <f>IF(Sequences!$B$35="","",Sequences!$F$30)</f>
        <v/>
      </c>
      <c r="B259" s="35" t="str">
        <f>IF(Sequences!$B$35="","",Sequences!$A$30)</f>
        <v/>
      </c>
      <c r="C259" s="20" t="str">
        <f>IF(Sequences!$B$35="","",'Slot Times'!$B$20)</f>
        <v/>
      </c>
      <c r="D259" s="35" t="str">
        <f>IF(Sequences!$B$35="","",'Slot Times'!$G$20)</f>
        <v/>
      </c>
      <c r="E259" s="35" t="str">
        <f>IF(Sequences!$B$35="","",Sequences!$B$35)</f>
        <v/>
      </c>
      <c r="F259" s="34" t="str">
        <f>IF(OR(Sequences!$B$35="",'Slot Times'!$F$20=""),"",'Slot Times'!$F$20+Sequences!$C$35/1440)</f>
        <v/>
      </c>
      <c r="G259" s="34" t="str">
        <f>IF($F259="","",$F259+Sequences!$D$35/1440)</f>
        <v/>
      </c>
      <c r="H259" s="35" t="str">
        <f>IF(Sequences!$B$35="","",Sequences!$E$35)</f>
        <v/>
      </c>
    </row>
    <row r="260" spans="1:8" x14ac:dyDescent="0.2">
      <c r="A260" s="35" t="str">
        <f>IF(Sequences!$B$36="","",Sequences!$F$30)</f>
        <v/>
      </c>
      <c r="B260" s="35" t="str">
        <f>IF(Sequences!$B$36="","",Sequences!$A$30)</f>
        <v/>
      </c>
      <c r="C260" s="20" t="str">
        <f>IF(Sequences!$B$36="","",'Slot Times'!$B$20)</f>
        <v/>
      </c>
      <c r="D260" s="35" t="str">
        <f>IF(Sequences!$B$36="","",'Slot Times'!$G$20)</f>
        <v/>
      </c>
      <c r="E260" s="35" t="str">
        <f>IF(Sequences!$B$36="","",Sequences!$B$36)</f>
        <v/>
      </c>
      <c r="F260" s="34" t="str">
        <f>IF(OR(Sequences!$B$36="",'Slot Times'!$F$20=""),"",'Slot Times'!$F$20+Sequences!$C$36/1440)</f>
        <v/>
      </c>
      <c r="G260" s="34" t="str">
        <f>IF($F260="","",$F260+Sequences!$D$36/1440)</f>
        <v/>
      </c>
      <c r="H260" s="35" t="str">
        <f>IF(Sequences!$B$36="","",Sequences!$E$36)</f>
        <v/>
      </c>
    </row>
    <row r="261" spans="1:8" x14ac:dyDescent="0.2">
      <c r="A261" s="35" t="str">
        <f>IF(Sequences!$B$37="","",Sequences!$F$30)</f>
        <v/>
      </c>
      <c r="B261" s="35" t="str">
        <f>IF(Sequences!$B$37="","",Sequences!$A$30)</f>
        <v/>
      </c>
      <c r="C261" s="20" t="str">
        <f>IF(Sequences!$B$37="","",'Slot Times'!$B$20)</f>
        <v/>
      </c>
      <c r="D261" s="35" t="str">
        <f>IF(Sequences!$B$37="","",'Slot Times'!$G$20)</f>
        <v/>
      </c>
      <c r="E261" s="35" t="str">
        <f>IF(Sequences!$B$37="","",Sequences!$B$37)</f>
        <v/>
      </c>
      <c r="F261" s="34" t="str">
        <f>IF(OR(Sequences!$B$37="",'Slot Times'!$F$20=""),"",'Slot Times'!$F$20+Sequences!$C$37/1440)</f>
        <v/>
      </c>
      <c r="G261" s="34" t="str">
        <f>IF($F261="","",$F261+Sequences!$D$37/1440)</f>
        <v/>
      </c>
      <c r="H261" s="35" t="str">
        <f>IF(Sequences!$B$37="","",Sequences!$E$37)</f>
        <v/>
      </c>
    </row>
    <row r="262" spans="1:8" x14ac:dyDescent="0.2">
      <c r="A262" s="35" t="str">
        <f>IF(Sequences!$B$38="","",Sequences!$F$30)</f>
        <v/>
      </c>
      <c r="B262" s="35" t="str">
        <f>IF(Sequences!$B$38="","",Sequences!$A$30)</f>
        <v/>
      </c>
      <c r="C262" s="20" t="str">
        <f>IF(Sequences!$B$38="","",'Slot Times'!$B$20)</f>
        <v/>
      </c>
      <c r="D262" s="35" t="str">
        <f>IF(Sequences!$B$38="","",'Slot Times'!$G$20)</f>
        <v/>
      </c>
      <c r="E262" s="35" t="str">
        <f>IF(Sequences!$B$38="","",Sequences!$B$38)</f>
        <v/>
      </c>
      <c r="F262" s="34" t="str">
        <f>IF(OR(Sequences!$B$38="",'Slot Times'!$F$20=""),"",'Slot Times'!$F$20+Sequences!$C$38/1440)</f>
        <v/>
      </c>
      <c r="G262" s="34" t="str">
        <f>IF($F262="","",$F262+Sequences!$D$38/1440)</f>
        <v/>
      </c>
      <c r="H262" s="35" t="str">
        <f>IF(Sequences!$B$38="","",Sequences!$E$38)</f>
        <v/>
      </c>
    </row>
    <row r="263" spans="1:8" x14ac:dyDescent="0.2">
      <c r="A263" s="35" t="str">
        <f>IF(Sequences!$B$39="","",Sequences!$F$30)</f>
        <v/>
      </c>
      <c r="B263" s="35" t="str">
        <f>IF(Sequences!$B$39="","",Sequences!$A$30)</f>
        <v/>
      </c>
      <c r="C263" s="20" t="str">
        <f>IF(Sequences!$B$39="","",'Slot Times'!$B$20)</f>
        <v/>
      </c>
      <c r="D263" s="35" t="str">
        <f>IF(Sequences!$B$39="","",'Slot Times'!$G$20)</f>
        <v/>
      </c>
      <c r="E263" s="35" t="str">
        <f>IF(Sequences!$B$39="","",Sequences!$B$39)</f>
        <v/>
      </c>
      <c r="F263" s="34" t="str">
        <f>IF(OR(Sequences!$B$39="",'Slot Times'!$F$20=""),"",'Slot Times'!$F$20+Sequences!$C$39/1440)</f>
        <v/>
      </c>
      <c r="G263" s="34" t="str">
        <f>IF($F263="","",$F263+Sequences!$D$39/1440)</f>
        <v/>
      </c>
      <c r="H263" s="35" t="str">
        <f>IF(Sequences!$B$39="","",Sequences!$E$39)</f>
        <v/>
      </c>
    </row>
    <row r="264" spans="1:8" x14ac:dyDescent="0.2">
      <c r="A264" s="35" t="str">
        <f>IF(Sequences!$B$40="","",Sequences!$F$30)</f>
        <v/>
      </c>
      <c r="B264" s="35" t="str">
        <f>IF(Sequences!$B$40="","",Sequences!$A$30)</f>
        <v/>
      </c>
      <c r="C264" s="20" t="str">
        <f>IF(Sequences!$B$40="","",'Slot Times'!$B$20)</f>
        <v/>
      </c>
      <c r="D264" s="35" t="str">
        <f>IF(Sequences!$B$40="","",'Slot Times'!$G$20)</f>
        <v/>
      </c>
      <c r="E264" s="35" t="str">
        <f>IF(Sequences!$B$40="","",Sequences!$B$40)</f>
        <v/>
      </c>
      <c r="F264" s="34" t="str">
        <f>IF(OR(Sequences!$B$40="",'Slot Times'!$F$20=""),"",'Slot Times'!$F$20+Sequences!$C$40/1440)</f>
        <v/>
      </c>
      <c r="G264" s="34" t="str">
        <f>IF($F264="","",$F264+Sequences!$D$40/1440)</f>
        <v/>
      </c>
      <c r="H264" s="35" t="str">
        <f>IF(Sequences!$B$40="","",Sequences!$E$40)</f>
        <v/>
      </c>
    </row>
    <row r="265" spans="1:8" x14ac:dyDescent="0.2">
      <c r="A265" s="35" t="str">
        <f>IF(Sequences!$B$41="","",Sequences!$F$30)</f>
        <v/>
      </c>
      <c r="B265" s="35" t="str">
        <f>IF(Sequences!$B$41="","",Sequences!$A$30)</f>
        <v/>
      </c>
      <c r="C265" s="20" t="str">
        <f>IF(Sequences!$B$41="","",'Slot Times'!$B$20)</f>
        <v/>
      </c>
      <c r="D265" s="35" t="str">
        <f>IF(Sequences!$B$41="","",'Slot Times'!$G$20)</f>
        <v/>
      </c>
      <c r="E265" s="35" t="str">
        <f>IF(Sequences!$B$41="","",Sequences!$B$41)</f>
        <v/>
      </c>
      <c r="F265" s="34" t="str">
        <f>IF(OR(Sequences!$B$41="",'Slot Times'!$F$20=""),"",'Slot Times'!$F$20+Sequences!$C$41/1440)</f>
        <v/>
      </c>
      <c r="G265" s="34" t="str">
        <f>IF($F265="","",$F265+Sequences!$D$41/1440)</f>
        <v/>
      </c>
      <c r="H265" s="35" t="str">
        <f>IF(Sequences!$B$41="","",Sequences!$E$41)</f>
        <v/>
      </c>
    </row>
    <row r="266" spans="1:8" x14ac:dyDescent="0.2">
      <c r="A266" s="35" t="str">
        <f>IF(Sequences!$B$42="","",Sequences!$F$30)</f>
        <v/>
      </c>
      <c r="B266" s="35" t="str">
        <f>IF(Sequences!$B$42="","",Sequences!$A$30)</f>
        <v/>
      </c>
      <c r="C266" s="20" t="str">
        <f>IF(Sequences!$B$42="","",'Slot Times'!$B$20)</f>
        <v/>
      </c>
      <c r="D266" s="35" t="str">
        <f>IF(Sequences!$B$42="","",'Slot Times'!$G$20)</f>
        <v/>
      </c>
      <c r="E266" s="35" t="str">
        <f>IF(Sequences!$B$42="","",Sequences!$B$42)</f>
        <v/>
      </c>
      <c r="F266" s="34" t="str">
        <f>IF(OR(Sequences!$B$42="",'Slot Times'!$F$20=""),"",'Slot Times'!$F$20+Sequences!$C$42/1440)</f>
        <v/>
      </c>
      <c r="G266" s="34" t="str">
        <f>IF($F266="","",$F266+Sequences!$D$42/1440)</f>
        <v/>
      </c>
      <c r="H266" s="35" t="str">
        <f>IF(Sequences!$B$42="","",Sequences!$E$42)</f>
        <v/>
      </c>
    </row>
    <row r="267" spans="1:8" x14ac:dyDescent="0.2">
      <c r="A267" s="35" t="str">
        <f>IF(Sequences!$B$43="","",Sequences!$F$30)</f>
        <v/>
      </c>
      <c r="B267" s="35" t="str">
        <f>IF(Sequences!$B$43="","",Sequences!$A$30)</f>
        <v/>
      </c>
      <c r="C267" s="20" t="str">
        <f>IF(Sequences!$B$43="","",'Slot Times'!$B$20)</f>
        <v/>
      </c>
      <c r="D267" s="35" t="str">
        <f>IF(Sequences!$B$43="","",'Slot Times'!$G$20)</f>
        <v/>
      </c>
      <c r="E267" s="35" t="str">
        <f>IF(Sequences!$B$43="","",Sequences!$B$43)</f>
        <v/>
      </c>
      <c r="F267" s="34" t="str">
        <f>IF(OR(Sequences!$B$43="",'Slot Times'!$F$20=""),"",'Slot Times'!$F$20+Sequences!$C$43/1440)</f>
        <v/>
      </c>
      <c r="G267" s="34" t="str">
        <f>IF($F267="","",$F267+Sequences!$D$43/1440)</f>
        <v/>
      </c>
      <c r="H267" s="35" t="str">
        <f>IF(Sequences!$B$43="","",Sequences!$E$43)</f>
        <v/>
      </c>
    </row>
    <row r="268" spans="1:8" x14ac:dyDescent="0.2">
      <c r="A268" s="35" t="str">
        <f>IF(Sequences!$B$30="","",Sequences!$F$30)</f>
        <v>Saturday</v>
      </c>
      <c r="B268" s="35" t="str">
        <f>IF(Sequences!$B$30="","",Sequences!$A$30)</f>
        <v>Show Backstage</v>
      </c>
      <c r="C268" s="20">
        <f>IF(Sequences!$B$30="","",'Slot Times'!$B$21)</f>
        <v>4</v>
      </c>
      <c r="D268" s="35" t="str">
        <f>IF(Sequences!$B$30="","",'Slot Times'!$G$21)</f>
        <v>(not drawn)</v>
      </c>
      <c r="E268" s="35" t="str">
        <f>IF(Sequences!$B$30="","",Sequences!$B$30)</f>
        <v>Leave Audience Seats</v>
      </c>
      <c r="F268" s="34">
        <f>IF(OR(Sequences!$B$30="",'Slot Times'!$F$21=""),"",'Slot Times'!$F$21+Sequences!$C$30/1440)</f>
        <v>0.72916666666666652</v>
      </c>
      <c r="G268" s="34">
        <f>IF($F268="","",$F268+Sequences!$D$30/1440)</f>
        <v>0.73263888888888873</v>
      </c>
      <c r="H268" s="35" t="str">
        <f>IF(Sequences!$B$30="","",Sequences!$E$30)</f>
        <v>IU Auditorium — House</v>
      </c>
    </row>
    <row r="269" spans="1:8" x14ac:dyDescent="0.2">
      <c r="A269" s="35" t="str">
        <f>IF(Sequences!$B$31="","",Sequences!$F$30)</f>
        <v>Saturday</v>
      </c>
      <c r="B269" s="35" t="str">
        <f>IF(Sequences!$B$31="","",Sequences!$A$30)</f>
        <v>Show Backstage</v>
      </c>
      <c r="C269" s="20">
        <f>IF(Sequences!$B$31="","",'Slot Times'!$B$21)</f>
        <v>4</v>
      </c>
      <c r="D269" s="35" t="str">
        <f>IF(Sequences!$B$31="","",'Slot Times'!$G$21)</f>
        <v>(not drawn)</v>
      </c>
      <c r="E269" s="35" t="str">
        <f>IF(Sequences!$B$31="","",Sequences!$B$31)</f>
        <v>Dressing Room</v>
      </c>
      <c r="F269" s="34">
        <f>IF(OR(Sequences!$B$31="",'Slot Times'!$F$21=""),"",'Slot Times'!$F$21+Sequences!$C$31/1440)</f>
        <v>0.73263888888888884</v>
      </c>
      <c r="G269" s="34">
        <f>IF($F269="","",$F269+Sequences!$D$31/1440)</f>
        <v>0.73958333333333326</v>
      </c>
      <c r="H269" s="35" t="str">
        <f>IF(Sequences!$B$31="","",Sequences!$E$31)</f>
        <v>IU Auditorium — Dressing Room</v>
      </c>
    </row>
    <row r="270" spans="1:8" x14ac:dyDescent="0.2">
      <c r="A270" s="35" t="str">
        <f>IF(Sequences!$B$32="","",Sequences!$F$30)</f>
        <v>Saturday</v>
      </c>
      <c r="B270" s="35" t="str">
        <f>IF(Sequences!$B$32="","",Sequences!$A$30)</f>
        <v>Show Backstage</v>
      </c>
      <c r="C270" s="20">
        <f>IF(Sequences!$B$32="","",'Slot Times'!$B$21)</f>
        <v>4</v>
      </c>
      <c r="D270" s="35" t="str">
        <f>IF(Sequences!$B$32="","",'Slot Times'!$G$21)</f>
        <v>(not drawn)</v>
      </c>
      <c r="E270" s="35" t="str">
        <f>IF(Sequences!$B$32="","",Sequences!$B$32)</f>
        <v>Pre-Prop</v>
      </c>
      <c r="F270" s="34">
        <f>IF(OR(Sequences!$B$32="",'Slot Times'!$F$21=""),"",'Slot Times'!$F$21+Sequences!$C$32/1440)</f>
        <v>0.73958333333333326</v>
      </c>
      <c r="G270" s="34">
        <f>IF($F270="","",$F270+Sequences!$D$32/1440)</f>
        <v>0.74652777777777768</v>
      </c>
      <c r="H270" s="35" t="str">
        <f>IF(Sequences!$B$32="","",Sequences!$E$32)</f>
        <v>IU Auditorium — Pre-Prop</v>
      </c>
    </row>
    <row r="271" spans="1:8" x14ac:dyDescent="0.2">
      <c r="A271" s="35" t="str">
        <f>IF(Sequences!$B$33="","",Sequences!$F$30)</f>
        <v>Saturday</v>
      </c>
      <c r="B271" s="35" t="str">
        <f>IF(Sequences!$B$33="","",Sequences!$A$30)</f>
        <v>Show Backstage</v>
      </c>
      <c r="C271" s="20">
        <f>IF(Sequences!$B$33="","",'Slot Times'!$B$21)</f>
        <v>4</v>
      </c>
      <c r="D271" s="35" t="str">
        <f>IF(Sequences!$B$33="","",'Slot Times'!$G$21)</f>
        <v>(not drawn)</v>
      </c>
      <c r="E271" s="35" t="str">
        <f>IF(Sequences!$B$33="","",Sequences!$B$33)</f>
        <v>ON STAGE</v>
      </c>
      <c r="F271" s="34">
        <f>IF(OR(Sequences!$B$33="",'Slot Times'!$F$21=""),"",'Slot Times'!$F$21+Sequences!$C$33/1440)</f>
        <v>0.74652777777777768</v>
      </c>
      <c r="G271" s="34">
        <f>IF($F271="","",$F271+Sequences!$D$33/1440)</f>
        <v>0.7534722222222221</v>
      </c>
      <c r="H271" s="35" t="str">
        <f>IF(Sequences!$B$33="","",Sequences!$E$33)</f>
        <v>IU Auditorium — Stage</v>
      </c>
    </row>
    <row r="272" spans="1:8" x14ac:dyDescent="0.2">
      <c r="A272" s="35" t="str">
        <f>IF(Sequences!$B$34="","",Sequences!$F$30)</f>
        <v>Saturday</v>
      </c>
      <c r="B272" s="35" t="str">
        <f>IF(Sequences!$B$34="","",Sequences!$A$30)</f>
        <v>Show Backstage</v>
      </c>
      <c r="C272" s="20">
        <f>IF(Sequences!$B$34="","",'Slot Times'!$B$21)</f>
        <v>4</v>
      </c>
      <c r="D272" s="35" t="str">
        <f>IF(Sequences!$B$34="","",'Slot Times'!$G$21)</f>
        <v>(not drawn)</v>
      </c>
      <c r="E272" s="35" t="str">
        <f>IF(Sequences!$B$34="","",Sequences!$B$34)</f>
        <v>Post-Prop to Audience</v>
      </c>
      <c r="F272" s="34">
        <f>IF(OR(Sequences!$B$34="",'Slot Times'!$F$21=""),"",'Slot Times'!$F$21+Sequences!$C$34/1440)</f>
        <v>0.7534722222222221</v>
      </c>
      <c r="G272" s="34">
        <f>IF($F272="","",$F272+Sequences!$D$34/1440)</f>
        <v>0.76041666666666652</v>
      </c>
      <c r="H272" s="35" t="str">
        <f>IF(Sequences!$B$34="","",Sequences!$E$34)</f>
        <v>IU Auditorium — Post-Prop</v>
      </c>
    </row>
    <row r="273" spans="1:8" x14ac:dyDescent="0.2">
      <c r="A273" s="35" t="str">
        <f>IF(Sequences!$B$35="","",Sequences!$F$30)</f>
        <v/>
      </c>
      <c r="B273" s="35" t="str">
        <f>IF(Sequences!$B$35="","",Sequences!$A$30)</f>
        <v/>
      </c>
      <c r="C273" s="20" t="str">
        <f>IF(Sequences!$B$35="","",'Slot Times'!$B$21)</f>
        <v/>
      </c>
      <c r="D273" s="35" t="str">
        <f>IF(Sequences!$B$35="","",'Slot Times'!$G$21)</f>
        <v/>
      </c>
      <c r="E273" s="35" t="str">
        <f>IF(Sequences!$B$35="","",Sequences!$B$35)</f>
        <v/>
      </c>
      <c r="F273" s="34" t="str">
        <f>IF(OR(Sequences!$B$35="",'Slot Times'!$F$21=""),"",'Slot Times'!$F$21+Sequences!$C$35/1440)</f>
        <v/>
      </c>
      <c r="G273" s="34" t="str">
        <f>IF($F273="","",$F273+Sequences!$D$35/1440)</f>
        <v/>
      </c>
      <c r="H273" s="35" t="str">
        <f>IF(Sequences!$B$35="","",Sequences!$E$35)</f>
        <v/>
      </c>
    </row>
    <row r="274" spans="1:8" x14ac:dyDescent="0.2">
      <c r="A274" s="35" t="str">
        <f>IF(Sequences!$B$36="","",Sequences!$F$30)</f>
        <v/>
      </c>
      <c r="B274" s="35" t="str">
        <f>IF(Sequences!$B$36="","",Sequences!$A$30)</f>
        <v/>
      </c>
      <c r="C274" s="20" t="str">
        <f>IF(Sequences!$B$36="","",'Slot Times'!$B$21)</f>
        <v/>
      </c>
      <c r="D274" s="35" t="str">
        <f>IF(Sequences!$B$36="","",'Slot Times'!$G$21)</f>
        <v/>
      </c>
      <c r="E274" s="35" t="str">
        <f>IF(Sequences!$B$36="","",Sequences!$B$36)</f>
        <v/>
      </c>
      <c r="F274" s="34" t="str">
        <f>IF(OR(Sequences!$B$36="",'Slot Times'!$F$21=""),"",'Slot Times'!$F$21+Sequences!$C$36/1440)</f>
        <v/>
      </c>
      <c r="G274" s="34" t="str">
        <f>IF($F274="","",$F274+Sequences!$D$36/1440)</f>
        <v/>
      </c>
      <c r="H274" s="35" t="str">
        <f>IF(Sequences!$B$36="","",Sequences!$E$36)</f>
        <v/>
      </c>
    </row>
    <row r="275" spans="1:8" x14ac:dyDescent="0.2">
      <c r="A275" s="35" t="str">
        <f>IF(Sequences!$B$37="","",Sequences!$F$30)</f>
        <v/>
      </c>
      <c r="B275" s="35" t="str">
        <f>IF(Sequences!$B$37="","",Sequences!$A$30)</f>
        <v/>
      </c>
      <c r="C275" s="20" t="str">
        <f>IF(Sequences!$B$37="","",'Slot Times'!$B$21)</f>
        <v/>
      </c>
      <c r="D275" s="35" t="str">
        <f>IF(Sequences!$B$37="","",'Slot Times'!$G$21)</f>
        <v/>
      </c>
      <c r="E275" s="35" t="str">
        <f>IF(Sequences!$B$37="","",Sequences!$B$37)</f>
        <v/>
      </c>
      <c r="F275" s="34" t="str">
        <f>IF(OR(Sequences!$B$37="",'Slot Times'!$F$21=""),"",'Slot Times'!$F$21+Sequences!$C$37/1440)</f>
        <v/>
      </c>
      <c r="G275" s="34" t="str">
        <f>IF($F275="","",$F275+Sequences!$D$37/1440)</f>
        <v/>
      </c>
      <c r="H275" s="35" t="str">
        <f>IF(Sequences!$B$37="","",Sequences!$E$37)</f>
        <v/>
      </c>
    </row>
    <row r="276" spans="1:8" x14ac:dyDescent="0.2">
      <c r="A276" s="35" t="str">
        <f>IF(Sequences!$B$38="","",Sequences!$F$30)</f>
        <v/>
      </c>
      <c r="B276" s="35" t="str">
        <f>IF(Sequences!$B$38="","",Sequences!$A$30)</f>
        <v/>
      </c>
      <c r="C276" s="20" t="str">
        <f>IF(Sequences!$B$38="","",'Slot Times'!$B$21)</f>
        <v/>
      </c>
      <c r="D276" s="35" t="str">
        <f>IF(Sequences!$B$38="","",'Slot Times'!$G$21)</f>
        <v/>
      </c>
      <c r="E276" s="35" t="str">
        <f>IF(Sequences!$B$38="","",Sequences!$B$38)</f>
        <v/>
      </c>
      <c r="F276" s="34" t="str">
        <f>IF(OR(Sequences!$B$38="",'Slot Times'!$F$21=""),"",'Slot Times'!$F$21+Sequences!$C$38/1440)</f>
        <v/>
      </c>
      <c r="G276" s="34" t="str">
        <f>IF($F276="","",$F276+Sequences!$D$38/1440)</f>
        <v/>
      </c>
      <c r="H276" s="35" t="str">
        <f>IF(Sequences!$B$38="","",Sequences!$E$38)</f>
        <v/>
      </c>
    </row>
    <row r="277" spans="1:8" x14ac:dyDescent="0.2">
      <c r="A277" s="35" t="str">
        <f>IF(Sequences!$B$39="","",Sequences!$F$30)</f>
        <v/>
      </c>
      <c r="B277" s="35" t="str">
        <f>IF(Sequences!$B$39="","",Sequences!$A$30)</f>
        <v/>
      </c>
      <c r="C277" s="20" t="str">
        <f>IF(Sequences!$B$39="","",'Slot Times'!$B$21)</f>
        <v/>
      </c>
      <c r="D277" s="35" t="str">
        <f>IF(Sequences!$B$39="","",'Slot Times'!$G$21)</f>
        <v/>
      </c>
      <c r="E277" s="35" t="str">
        <f>IF(Sequences!$B$39="","",Sequences!$B$39)</f>
        <v/>
      </c>
      <c r="F277" s="34" t="str">
        <f>IF(OR(Sequences!$B$39="",'Slot Times'!$F$21=""),"",'Slot Times'!$F$21+Sequences!$C$39/1440)</f>
        <v/>
      </c>
      <c r="G277" s="34" t="str">
        <f>IF($F277="","",$F277+Sequences!$D$39/1440)</f>
        <v/>
      </c>
      <c r="H277" s="35" t="str">
        <f>IF(Sequences!$B$39="","",Sequences!$E$39)</f>
        <v/>
      </c>
    </row>
    <row r="278" spans="1:8" x14ac:dyDescent="0.2">
      <c r="A278" s="35" t="str">
        <f>IF(Sequences!$B$40="","",Sequences!$F$30)</f>
        <v/>
      </c>
      <c r="B278" s="35" t="str">
        <f>IF(Sequences!$B$40="","",Sequences!$A$30)</f>
        <v/>
      </c>
      <c r="C278" s="20" t="str">
        <f>IF(Sequences!$B$40="","",'Slot Times'!$B$21)</f>
        <v/>
      </c>
      <c r="D278" s="35" t="str">
        <f>IF(Sequences!$B$40="","",'Slot Times'!$G$21)</f>
        <v/>
      </c>
      <c r="E278" s="35" t="str">
        <f>IF(Sequences!$B$40="","",Sequences!$B$40)</f>
        <v/>
      </c>
      <c r="F278" s="34" t="str">
        <f>IF(OR(Sequences!$B$40="",'Slot Times'!$F$21=""),"",'Slot Times'!$F$21+Sequences!$C$40/1440)</f>
        <v/>
      </c>
      <c r="G278" s="34" t="str">
        <f>IF($F278="","",$F278+Sequences!$D$40/1440)</f>
        <v/>
      </c>
      <c r="H278" s="35" t="str">
        <f>IF(Sequences!$B$40="","",Sequences!$E$40)</f>
        <v/>
      </c>
    </row>
    <row r="279" spans="1:8" x14ac:dyDescent="0.2">
      <c r="A279" s="35" t="str">
        <f>IF(Sequences!$B$41="","",Sequences!$F$30)</f>
        <v/>
      </c>
      <c r="B279" s="35" t="str">
        <f>IF(Sequences!$B$41="","",Sequences!$A$30)</f>
        <v/>
      </c>
      <c r="C279" s="20" t="str">
        <f>IF(Sequences!$B$41="","",'Slot Times'!$B$21)</f>
        <v/>
      </c>
      <c r="D279" s="35" t="str">
        <f>IF(Sequences!$B$41="","",'Slot Times'!$G$21)</f>
        <v/>
      </c>
      <c r="E279" s="35" t="str">
        <f>IF(Sequences!$B$41="","",Sequences!$B$41)</f>
        <v/>
      </c>
      <c r="F279" s="34" t="str">
        <f>IF(OR(Sequences!$B$41="",'Slot Times'!$F$21=""),"",'Slot Times'!$F$21+Sequences!$C$41/1440)</f>
        <v/>
      </c>
      <c r="G279" s="34" t="str">
        <f>IF($F279="","",$F279+Sequences!$D$41/1440)</f>
        <v/>
      </c>
      <c r="H279" s="35" t="str">
        <f>IF(Sequences!$B$41="","",Sequences!$E$41)</f>
        <v/>
      </c>
    </row>
    <row r="280" spans="1:8" x14ac:dyDescent="0.2">
      <c r="A280" s="35" t="str">
        <f>IF(Sequences!$B$42="","",Sequences!$F$30)</f>
        <v/>
      </c>
      <c r="B280" s="35" t="str">
        <f>IF(Sequences!$B$42="","",Sequences!$A$30)</f>
        <v/>
      </c>
      <c r="C280" s="20" t="str">
        <f>IF(Sequences!$B$42="","",'Slot Times'!$B$21)</f>
        <v/>
      </c>
      <c r="D280" s="35" t="str">
        <f>IF(Sequences!$B$42="","",'Slot Times'!$G$21)</f>
        <v/>
      </c>
      <c r="E280" s="35" t="str">
        <f>IF(Sequences!$B$42="","",Sequences!$B$42)</f>
        <v/>
      </c>
      <c r="F280" s="34" t="str">
        <f>IF(OR(Sequences!$B$42="",'Slot Times'!$F$21=""),"",'Slot Times'!$F$21+Sequences!$C$42/1440)</f>
        <v/>
      </c>
      <c r="G280" s="34" t="str">
        <f>IF($F280="","",$F280+Sequences!$D$42/1440)</f>
        <v/>
      </c>
      <c r="H280" s="35" t="str">
        <f>IF(Sequences!$B$42="","",Sequences!$E$42)</f>
        <v/>
      </c>
    </row>
    <row r="281" spans="1:8" x14ac:dyDescent="0.2">
      <c r="A281" s="35" t="str">
        <f>IF(Sequences!$B$43="","",Sequences!$F$30)</f>
        <v/>
      </c>
      <c r="B281" s="35" t="str">
        <f>IF(Sequences!$B$43="","",Sequences!$A$30)</f>
        <v/>
      </c>
      <c r="C281" s="20" t="str">
        <f>IF(Sequences!$B$43="","",'Slot Times'!$B$21)</f>
        <v/>
      </c>
      <c r="D281" s="35" t="str">
        <f>IF(Sequences!$B$43="","",'Slot Times'!$G$21)</f>
        <v/>
      </c>
      <c r="E281" s="35" t="str">
        <f>IF(Sequences!$B$43="","",Sequences!$B$43)</f>
        <v/>
      </c>
      <c r="F281" s="34" t="str">
        <f>IF(OR(Sequences!$B$43="",'Slot Times'!$F$21=""),"",'Slot Times'!$F$21+Sequences!$C$43/1440)</f>
        <v/>
      </c>
      <c r="G281" s="34" t="str">
        <f>IF($F281="","",$F281+Sequences!$D$43/1440)</f>
        <v/>
      </c>
      <c r="H281" s="35" t="str">
        <f>IF(Sequences!$B$43="","",Sequences!$E$43)</f>
        <v/>
      </c>
    </row>
    <row r="282" spans="1:8" x14ac:dyDescent="0.2">
      <c r="A282" s="35" t="str">
        <f>IF(Sequences!$B$30="","",Sequences!$F$30)</f>
        <v>Saturday</v>
      </c>
      <c r="B282" s="35" t="str">
        <f>IF(Sequences!$B$30="","",Sequences!$A$30)</f>
        <v>Show Backstage</v>
      </c>
      <c r="C282" s="20">
        <f>IF(Sequences!$B$30="","",'Slot Times'!$B$22)</f>
        <v>5</v>
      </c>
      <c r="D282" s="35" t="str">
        <f>IF(Sequences!$B$30="","",'Slot Times'!$G$22)</f>
        <v>(not drawn)</v>
      </c>
      <c r="E282" s="35" t="str">
        <f>IF(Sequences!$B$30="","",Sequences!$B$30)</f>
        <v>Leave Audience Seats</v>
      </c>
      <c r="F282" s="34">
        <f>IF(OR(Sequences!$B$30="",'Slot Times'!$F$22=""),"",'Slot Times'!$F$22+Sequences!$C$30/1440)</f>
        <v>0.74999999999999989</v>
      </c>
      <c r="G282" s="34">
        <f>IF($F282="","",$F282+Sequences!$D$30/1440)</f>
        <v>0.7534722222222221</v>
      </c>
      <c r="H282" s="35" t="str">
        <f>IF(Sequences!$B$30="","",Sequences!$E$30)</f>
        <v>IU Auditorium — House</v>
      </c>
    </row>
    <row r="283" spans="1:8" x14ac:dyDescent="0.2">
      <c r="A283" s="35" t="str">
        <f>IF(Sequences!$B$31="","",Sequences!$F$30)</f>
        <v>Saturday</v>
      </c>
      <c r="B283" s="35" t="str">
        <f>IF(Sequences!$B$31="","",Sequences!$A$30)</f>
        <v>Show Backstage</v>
      </c>
      <c r="C283" s="20">
        <f>IF(Sequences!$B$31="","",'Slot Times'!$B$22)</f>
        <v>5</v>
      </c>
      <c r="D283" s="35" t="str">
        <f>IF(Sequences!$B$31="","",'Slot Times'!$G$22)</f>
        <v>(not drawn)</v>
      </c>
      <c r="E283" s="35" t="str">
        <f>IF(Sequences!$B$31="","",Sequences!$B$31)</f>
        <v>Dressing Room</v>
      </c>
      <c r="F283" s="34">
        <f>IF(OR(Sequences!$B$31="",'Slot Times'!$F$22=""),"",'Slot Times'!$F$22+Sequences!$C$31/1440)</f>
        <v>0.75347222222222221</v>
      </c>
      <c r="G283" s="34">
        <f>IF($F283="","",$F283+Sequences!$D$31/1440)</f>
        <v>0.76041666666666663</v>
      </c>
      <c r="H283" s="35" t="str">
        <f>IF(Sequences!$B$31="","",Sequences!$E$31)</f>
        <v>IU Auditorium — Dressing Room</v>
      </c>
    </row>
    <row r="284" spans="1:8" x14ac:dyDescent="0.2">
      <c r="A284" s="35" t="str">
        <f>IF(Sequences!$B$32="","",Sequences!$F$30)</f>
        <v>Saturday</v>
      </c>
      <c r="B284" s="35" t="str">
        <f>IF(Sequences!$B$32="","",Sequences!$A$30)</f>
        <v>Show Backstage</v>
      </c>
      <c r="C284" s="20">
        <f>IF(Sequences!$B$32="","",'Slot Times'!$B$22)</f>
        <v>5</v>
      </c>
      <c r="D284" s="35" t="str">
        <f>IF(Sequences!$B$32="","",'Slot Times'!$G$22)</f>
        <v>(not drawn)</v>
      </c>
      <c r="E284" s="35" t="str">
        <f>IF(Sequences!$B$32="","",Sequences!$B$32)</f>
        <v>Pre-Prop</v>
      </c>
      <c r="F284" s="34">
        <f>IF(OR(Sequences!$B$32="",'Slot Times'!$F$22=""),"",'Slot Times'!$F$22+Sequences!$C$32/1440)</f>
        <v>0.76041666666666663</v>
      </c>
      <c r="G284" s="34">
        <f>IF($F284="","",$F284+Sequences!$D$32/1440)</f>
        <v>0.76736111111111105</v>
      </c>
      <c r="H284" s="35" t="str">
        <f>IF(Sequences!$B$32="","",Sequences!$E$32)</f>
        <v>IU Auditorium — Pre-Prop</v>
      </c>
    </row>
    <row r="285" spans="1:8" x14ac:dyDescent="0.2">
      <c r="A285" s="35" t="str">
        <f>IF(Sequences!$B$33="","",Sequences!$F$30)</f>
        <v>Saturday</v>
      </c>
      <c r="B285" s="35" t="str">
        <f>IF(Sequences!$B$33="","",Sequences!$A$30)</f>
        <v>Show Backstage</v>
      </c>
      <c r="C285" s="20">
        <f>IF(Sequences!$B$33="","",'Slot Times'!$B$22)</f>
        <v>5</v>
      </c>
      <c r="D285" s="35" t="str">
        <f>IF(Sequences!$B$33="","",'Slot Times'!$G$22)</f>
        <v>(not drawn)</v>
      </c>
      <c r="E285" s="35" t="str">
        <f>IF(Sequences!$B$33="","",Sequences!$B$33)</f>
        <v>ON STAGE</v>
      </c>
      <c r="F285" s="34">
        <f>IF(OR(Sequences!$B$33="",'Slot Times'!$F$22=""),"",'Slot Times'!$F$22+Sequences!$C$33/1440)</f>
        <v>0.76736111111111105</v>
      </c>
      <c r="G285" s="34">
        <f>IF($F285="","",$F285+Sequences!$D$33/1440)</f>
        <v>0.77430555555555547</v>
      </c>
      <c r="H285" s="35" t="str">
        <f>IF(Sequences!$B$33="","",Sequences!$E$33)</f>
        <v>IU Auditorium — Stage</v>
      </c>
    </row>
    <row r="286" spans="1:8" x14ac:dyDescent="0.2">
      <c r="A286" s="35" t="str">
        <f>IF(Sequences!$B$34="","",Sequences!$F$30)</f>
        <v>Saturday</v>
      </c>
      <c r="B286" s="35" t="str">
        <f>IF(Sequences!$B$34="","",Sequences!$A$30)</f>
        <v>Show Backstage</v>
      </c>
      <c r="C286" s="20">
        <f>IF(Sequences!$B$34="","",'Slot Times'!$B$22)</f>
        <v>5</v>
      </c>
      <c r="D286" s="35" t="str">
        <f>IF(Sequences!$B$34="","",'Slot Times'!$G$22)</f>
        <v>(not drawn)</v>
      </c>
      <c r="E286" s="35" t="str">
        <f>IF(Sequences!$B$34="","",Sequences!$B$34)</f>
        <v>Post-Prop to Audience</v>
      </c>
      <c r="F286" s="34">
        <f>IF(OR(Sequences!$B$34="",'Slot Times'!$F$22=""),"",'Slot Times'!$F$22+Sequences!$C$34/1440)</f>
        <v>0.77430555555555547</v>
      </c>
      <c r="G286" s="34">
        <f>IF($F286="","",$F286+Sequences!$D$34/1440)</f>
        <v>0.78124999999999989</v>
      </c>
      <c r="H286" s="35" t="str">
        <f>IF(Sequences!$B$34="","",Sequences!$E$34)</f>
        <v>IU Auditorium — Post-Prop</v>
      </c>
    </row>
    <row r="287" spans="1:8" x14ac:dyDescent="0.2">
      <c r="A287" s="35" t="str">
        <f>IF(Sequences!$B$35="","",Sequences!$F$30)</f>
        <v/>
      </c>
      <c r="B287" s="35" t="str">
        <f>IF(Sequences!$B$35="","",Sequences!$A$30)</f>
        <v/>
      </c>
      <c r="C287" s="20" t="str">
        <f>IF(Sequences!$B$35="","",'Slot Times'!$B$22)</f>
        <v/>
      </c>
      <c r="D287" s="35" t="str">
        <f>IF(Sequences!$B$35="","",'Slot Times'!$G$22)</f>
        <v/>
      </c>
      <c r="E287" s="35" t="str">
        <f>IF(Sequences!$B$35="","",Sequences!$B$35)</f>
        <v/>
      </c>
      <c r="F287" s="34" t="str">
        <f>IF(OR(Sequences!$B$35="",'Slot Times'!$F$22=""),"",'Slot Times'!$F$22+Sequences!$C$35/1440)</f>
        <v/>
      </c>
      <c r="G287" s="34" t="str">
        <f>IF($F287="","",$F287+Sequences!$D$35/1440)</f>
        <v/>
      </c>
      <c r="H287" s="35" t="str">
        <f>IF(Sequences!$B$35="","",Sequences!$E$35)</f>
        <v/>
      </c>
    </row>
    <row r="288" spans="1:8" x14ac:dyDescent="0.2">
      <c r="A288" s="35" t="str">
        <f>IF(Sequences!$B$36="","",Sequences!$F$30)</f>
        <v/>
      </c>
      <c r="B288" s="35" t="str">
        <f>IF(Sequences!$B$36="","",Sequences!$A$30)</f>
        <v/>
      </c>
      <c r="C288" s="20" t="str">
        <f>IF(Sequences!$B$36="","",'Slot Times'!$B$22)</f>
        <v/>
      </c>
      <c r="D288" s="35" t="str">
        <f>IF(Sequences!$B$36="","",'Slot Times'!$G$22)</f>
        <v/>
      </c>
      <c r="E288" s="35" t="str">
        <f>IF(Sequences!$B$36="","",Sequences!$B$36)</f>
        <v/>
      </c>
      <c r="F288" s="34" t="str">
        <f>IF(OR(Sequences!$B$36="",'Slot Times'!$F$22=""),"",'Slot Times'!$F$22+Sequences!$C$36/1440)</f>
        <v/>
      </c>
      <c r="G288" s="34" t="str">
        <f>IF($F288="","",$F288+Sequences!$D$36/1440)</f>
        <v/>
      </c>
      <c r="H288" s="35" t="str">
        <f>IF(Sequences!$B$36="","",Sequences!$E$36)</f>
        <v/>
      </c>
    </row>
    <row r="289" spans="1:8" x14ac:dyDescent="0.2">
      <c r="A289" s="35" t="str">
        <f>IF(Sequences!$B$37="","",Sequences!$F$30)</f>
        <v/>
      </c>
      <c r="B289" s="35" t="str">
        <f>IF(Sequences!$B$37="","",Sequences!$A$30)</f>
        <v/>
      </c>
      <c r="C289" s="20" t="str">
        <f>IF(Sequences!$B$37="","",'Slot Times'!$B$22)</f>
        <v/>
      </c>
      <c r="D289" s="35" t="str">
        <f>IF(Sequences!$B$37="","",'Slot Times'!$G$22)</f>
        <v/>
      </c>
      <c r="E289" s="35" t="str">
        <f>IF(Sequences!$B$37="","",Sequences!$B$37)</f>
        <v/>
      </c>
      <c r="F289" s="34" t="str">
        <f>IF(OR(Sequences!$B$37="",'Slot Times'!$F$22=""),"",'Slot Times'!$F$22+Sequences!$C$37/1440)</f>
        <v/>
      </c>
      <c r="G289" s="34" t="str">
        <f>IF($F289="","",$F289+Sequences!$D$37/1440)</f>
        <v/>
      </c>
      <c r="H289" s="35" t="str">
        <f>IF(Sequences!$B$37="","",Sequences!$E$37)</f>
        <v/>
      </c>
    </row>
    <row r="290" spans="1:8" x14ac:dyDescent="0.2">
      <c r="A290" s="35" t="str">
        <f>IF(Sequences!$B$38="","",Sequences!$F$30)</f>
        <v/>
      </c>
      <c r="B290" s="35" t="str">
        <f>IF(Sequences!$B$38="","",Sequences!$A$30)</f>
        <v/>
      </c>
      <c r="C290" s="20" t="str">
        <f>IF(Sequences!$B$38="","",'Slot Times'!$B$22)</f>
        <v/>
      </c>
      <c r="D290" s="35" t="str">
        <f>IF(Sequences!$B$38="","",'Slot Times'!$G$22)</f>
        <v/>
      </c>
      <c r="E290" s="35" t="str">
        <f>IF(Sequences!$B$38="","",Sequences!$B$38)</f>
        <v/>
      </c>
      <c r="F290" s="34" t="str">
        <f>IF(OR(Sequences!$B$38="",'Slot Times'!$F$22=""),"",'Slot Times'!$F$22+Sequences!$C$38/1440)</f>
        <v/>
      </c>
      <c r="G290" s="34" t="str">
        <f>IF($F290="","",$F290+Sequences!$D$38/1440)</f>
        <v/>
      </c>
      <c r="H290" s="35" t="str">
        <f>IF(Sequences!$B$38="","",Sequences!$E$38)</f>
        <v/>
      </c>
    </row>
    <row r="291" spans="1:8" x14ac:dyDescent="0.2">
      <c r="A291" s="35" t="str">
        <f>IF(Sequences!$B$39="","",Sequences!$F$30)</f>
        <v/>
      </c>
      <c r="B291" s="35" t="str">
        <f>IF(Sequences!$B$39="","",Sequences!$A$30)</f>
        <v/>
      </c>
      <c r="C291" s="20" t="str">
        <f>IF(Sequences!$B$39="","",'Slot Times'!$B$22)</f>
        <v/>
      </c>
      <c r="D291" s="35" t="str">
        <f>IF(Sequences!$B$39="","",'Slot Times'!$G$22)</f>
        <v/>
      </c>
      <c r="E291" s="35" t="str">
        <f>IF(Sequences!$B$39="","",Sequences!$B$39)</f>
        <v/>
      </c>
      <c r="F291" s="34" t="str">
        <f>IF(OR(Sequences!$B$39="",'Slot Times'!$F$22=""),"",'Slot Times'!$F$22+Sequences!$C$39/1440)</f>
        <v/>
      </c>
      <c r="G291" s="34" t="str">
        <f>IF($F291="","",$F291+Sequences!$D$39/1440)</f>
        <v/>
      </c>
      <c r="H291" s="35" t="str">
        <f>IF(Sequences!$B$39="","",Sequences!$E$39)</f>
        <v/>
      </c>
    </row>
    <row r="292" spans="1:8" x14ac:dyDescent="0.2">
      <c r="A292" s="35" t="str">
        <f>IF(Sequences!$B$40="","",Sequences!$F$30)</f>
        <v/>
      </c>
      <c r="B292" s="35" t="str">
        <f>IF(Sequences!$B$40="","",Sequences!$A$30)</f>
        <v/>
      </c>
      <c r="C292" s="20" t="str">
        <f>IF(Sequences!$B$40="","",'Slot Times'!$B$22)</f>
        <v/>
      </c>
      <c r="D292" s="35" t="str">
        <f>IF(Sequences!$B$40="","",'Slot Times'!$G$22)</f>
        <v/>
      </c>
      <c r="E292" s="35" t="str">
        <f>IF(Sequences!$B$40="","",Sequences!$B$40)</f>
        <v/>
      </c>
      <c r="F292" s="34" t="str">
        <f>IF(OR(Sequences!$B$40="",'Slot Times'!$F$22=""),"",'Slot Times'!$F$22+Sequences!$C$40/1440)</f>
        <v/>
      </c>
      <c r="G292" s="34" t="str">
        <f>IF($F292="","",$F292+Sequences!$D$40/1440)</f>
        <v/>
      </c>
      <c r="H292" s="35" t="str">
        <f>IF(Sequences!$B$40="","",Sequences!$E$40)</f>
        <v/>
      </c>
    </row>
    <row r="293" spans="1:8" x14ac:dyDescent="0.2">
      <c r="A293" s="35" t="str">
        <f>IF(Sequences!$B$41="","",Sequences!$F$30)</f>
        <v/>
      </c>
      <c r="B293" s="35" t="str">
        <f>IF(Sequences!$B$41="","",Sequences!$A$30)</f>
        <v/>
      </c>
      <c r="C293" s="20" t="str">
        <f>IF(Sequences!$B$41="","",'Slot Times'!$B$22)</f>
        <v/>
      </c>
      <c r="D293" s="35" t="str">
        <f>IF(Sequences!$B$41="","",'Slot Times'!$G$22)</f>
        <v/>
      </c>
      <c r="E293" s="35" t="str">
        <f>IF(Sequences!$B$41="","",Sequences!$B$41)</f>
        <v/>
      </c>
      <c r="F293" s="34" t="str">
        <f>IF(OR(Sequences!$B$41="",'Slot Times'!$F$22=""),"",'Slot Times'!$F$22+Sequences!$C$41/1440)</f>
        <v/>
      </c>
      <c r="G293" s="34" t="str">
        <f>IF($F293="","",$F293+Sequences!$D$41/1440)</f>
        <v/>
      </c>
      <c r="H293" s="35" t="str">
        <f>IF(Sequences!$B$41="","",Sequences!$E$41)</f>
        <v/>
      </c>
    </row>
    <row r="294" spans="1:8" x14ac:dyDescent="0.2">
      <c r="A294" s="35" t="str">
        <f>IF(Sequences!$B$42="","",Sequences!$F$30)</f>
        <v/>
      </c>
      <c r="B294" s="35" t="str">
        <f>IF(Sequences!$B$42="","",Sequences!$A$30)</f>
        <v/>
      </c>
      <c r="C294" s="20" t="str">
        <f>IF(Sequences!$B$42="","",'Slot Times'!$B$22)</f>
        <v/>
      </c>
      <c r="D294" s="35" t="str">
        <f>IF(Sequences!$B$42="","",'Slot Times'!$G$22)</f>
        <v/>
      </c>
      <c r="E294" s="35" t="str">
        <f>IF(Sequences!$B$42="","",Sequences!$B$42)</f>
        <v/>
      </c>
      <c r="F294" s="34" t="str">
        <f>IF(OR(Sequences!$B$42="",'Slot Times'!$F$22=""),"",'Slot Times'!$F$22+Sequences!$C$42/1440)</f>
        <v/>
      </c>
      <c r="G294" s="34" t="str">
        <f>IF($F294="","",$F294+Sequences!$D$42/1440)</f>
        <v/>
      </c>
      <c r="H294" s="35" t="str">
        <f>IF(Sequences!$B$42="","",Sequences!$E$42)</f>
        <v/>
      </c>
    </row>
    <row r="295" spans="1:8" x14ac:dyDescent="0.2">
      <c r="A295" s="35" t="str">
        <f>IF(Sequences!$B$43="","",Sequences!$F$30)</f>
        <v/>
      </c>
      <c r="B295" s="35" t="str">
        <f>IF(Sequences!$B$43="","",Sequences!$A$30)</f>
        <v/>
      </c>
      <c r="C295" s="20" t="str">
        <f>IF(Sequences!$B$43="","",'Slot Times'!$B$22)</f>
        <v/>
      </c>
      <c r="D295" s="35" t="str">
        <f>IF(Sequences!$B$43="","",'Slot Times'!$G$22)</f>
        <v/>
      </c>
      <c r="E295" s="35" t="str">
        <f>IF(Sequences!$B$43="","",Sequences!$B$43)</f>
        <v/>
      </c>
      <c r="F295" s="34" t="str">
        <f>IF(OR(Sequences!$B$43="",'Slot Times'!$F$22=""),"",'Slot Times'!$F$22+Sequences!$C$43/1440)</f>
        <v/>
      </c>
      <c r="G295" s="34" t="str">
        <f>IF($F295="","",$F295+Sequences!$D$43/1440)</f>
        <v/>
      </c>
      <c r="H295" s="35" t="str">
        <f>IF(Sequences!$B$43="","",Sequences!$E$43)</f>
        <v/>
      </c>
    </row>
    <row r="296" spans="1:8" x14ac:dyDescent="0.2">
      <c r="A296" s="35" t="str">
        <f>IF(Sequences!$B$30="","",Sequences!$F$30)</f>
        <v>Saturday</v>
      </c>
      <c r="B296" s="35" t="str">
        <f>IF(Sequences!$B$30="","",Sequences!$A$30)</f>
        <v>Show Backstage</v>
      </c>
      <c r="C296" s="20">
        <f>IF(Sequences!$B$30="","",'Slot Times'!$B$23)</f>
        <v>6</v>
      </c>
      <c r="D296" s="35" t="str">
        <f>IF(Sequences!$B$30="","",'Slot Times'!$G$23)</f>
        <v>(not drawn)</v>
      </c>
      <c r="E296" s="35" t="str">
        <f>IF(Sequences!$B$30="","",Sequences!$B$30)</f>
        <v>Leave Audience Seats</v>
      </c>
      <c r="F296" s="34">
        <f>IF(OR(Sequences!$B$30="",'Slot Times'!$F$23=""),"",'Slot Times'!$F$23+Sequences!$C$30/1440)</f>
        <v>0.75694444444444431</v>
      </c>
      <c r="G296" s="34">
        <f>IF($F296="","",$F296+Sequences!$D$30/1440)</f>
        <v>0.76041666666666652</v>
      </c>
      <c r="H296" s="35" t="str">
        <f>IF(Sequences!$B$30="","",Sequences!$E$30)</f>
        <v>IU Auditorium — House</v>
      </c>
    </row>
    <row r="297" spans="1:8" x14ac:dyDescent="0.2">
      <c r="A297" s="35" t="str">
        <f>IF(Sequences!$B$31="","",Sequences!$F$30)</f>
        <v>Saturday</v>
      </c>
      <c r="B297" s="35" t="str">
        <f>IF(Sequences!$B$31="","",Sequences!$A$30)</f>
        <v>Show Backstage</v>
      </c>
      <c r="C297" s="20">
        <f>IF(Sequences!$B$31="","",'Slot Times'!$B$23)</f>
        <v>6</v>
      </c>
      <c r="D297" s="35" t="str">
        <f>IF(Sequences!$B$31="","",'Slot Times'!$G$23)</f>
        <v>(not drawn)</v>
      </c>
      <c r="E297" s="35" t="str">
        <f>IF(Sequences!$B$31="","",Sequences!$B$31)</f>
        <v>Dressing Room</v>
      </c>
      <c r="F297" s="34">
        <f>IF(OR(Sequences!$B$31="",'Slot Times'!$F$23=""),"",'Slot Times'!$F$23+Sequences!$C$31/1440)</f>
        <v>0.76041666666666663</v>
      </c>
      <c r="G297" s="34">
        <f>IF($F297="","",$F297+Sequences!$D$31/1440)</f>
        <v>0.76736111111111105</v>
      </c>
      <c r="H297" s="35" t="str">
        <f>IF(Sequences!$B$31="","",Sequences!$E$31)</f>
        <v>IU Auditorium — Dressing Room</v>
      </c>
    </row>
    <row r="298" spans="1:8" x14ac:dyDescent="0.2">
      <c r="A298" s="35" t="str">
        <f>IF(Sequences!$B$32="","",Sequences!$F$30)</f>
        <v>Saturday</v>
      </c>
      <c r="B298" s="35" t="str">
        <f>IF(Sequences!$B$32="","",Sequences!$A$30)</f>
        <v>Show Backstage</v>
      </c>
      <c r="C298" s="20">
        <f>IF(Sequences!$B$32="","",'Slot Times'!$B$23)</f>
        <v>6</v>
      </c>
      <c r="D298" s="35" t="str">
        <f>IF(Sequences!$B$32="","",'Slot Times'!$G$23)</f>
        <v>(not drawn)</v>
      </c>
      <c r="E298" s="35" t="str">
        <f>IF(Sequences!$B$32="","",Sequences!$B$32)</f>
        <v>Pre-Prop</v>
      </c>
      <c r="F298" s="34">
        <f>IF(OR(Sequences!$B$32="",'Slot Times'!$F$23=""),"",'Slot Times'!$F$23+Sequences!$C$32/1440)</f>
        <v>0.76736111111111105</v>
      </c>
      <c r="G298" s="34">
        <f>IF($F298="","",$F298+Sequences!$D$32/1440)</f>
        <v>0.77430555555555547</v>
      </c>
      <c r="H298" s="35" t="str">
        <f>IF(Sequences!$B$32="","",Sequences!$E$32)</f>
        <v>IU Auditorium — Pre-Prop</v>
      </c>
    </row>
    <row r="299" spans="1:8" x14ac:dyDescent="0.2">
      <c r="A299" s="35" t="str">
        <f>IF(Sequences!$B$33="","",Sequences!$F$30)</f>
        <v>Saturday</v>
      </c>
      <c r="B299" s="35" t="str">
        <f>IF(Sequences!$B$33="","",Sequences!$A$30)</f>
        <v>Show Backstage</v>
      </c>
      <c r="C299" s="20">
        <f>IF(Sequences!$B$33="","",'Slot Times'!$B$23)</f>
        <v>6</v>
      </c>
      <c r="D299" s="35" t="str">
        <f>IF(Sequences!$B$33="","",'Slot Times'!$G$23)</f>
        <v>(not drawn)</v>
      </c>
      <c r="E299" s="35" t="str">
        <f>IF(Sequences!$B$33="","",Sequences!$B$33)</f>
        <v>ON STAGE</v>
      </c>
      <c r="F299" s="34">
        <f>IF(OR(Sequences!$B$33="",'Slot Times'!$F$23=""),"",'Slot Times'!$F$23+Sequences!$C$33/1440)</f>
        <v>0.77430555555555547</v>
      </c>
      <c r="G299" s="34">
        <f>IF($F299="","",$F299+Sequences!$D$33/1440)</f>
        <v>0.78124999999999989</v>
      </c>
      <c r="H299" s="35" t="str">
        <f>IF(Sequences!$B$33="","",Sequences!$E$33)</f>
        <v>IU Auditorium — Stage</v>
      </c>
    </row>
    <row r="300" spans="1:8" x14ac:dyDescent="0.2">
      <c r="A300" s="35" t="str">
        <f>IF(Sequences!$B$34="","",Sequences!$F$30)</f>
        <v>Saturday</v>
      </c>
      <c r="B300" s="35" t="str">
        <f>IF(Sequences!$B$34="","",Sequences!$A$30)</f>
        <v>Show Backstage</v>
      </c>
      <c r="C300" s="20">
        <f>IF(Sequences!$B$34="","",'Slot Times'!$B$23)</f>
        <v>6</v>
      </c>
      <c r="D300" s="35" t="str">
        <f>IF(Sequences!$B$34="","",'Slot Times'!$G$23)</f>
        <v>(not drawn)</v>
      </c>
      <c r="E300" s="35" t="str">
        <f>IF(Sequences!$B$34="","",Sequences!$B$34)</f>
        <v>Post-Prop to Audience</v>
      </c>
      <c r="F300" s="34">
        <f>IF(OR(Sequences!$B$34="",'Slot Times'!$F$23=""),"",'Slot Times'!$F$23+Sequences!$C$34/1440)</f>
        <v>0.78124999999999989</v>
      </c>
      <c r="G300" s="34">
        <f>IF($F300="","",$F300+Sequences!$D$34/1440)</f>
        <v>0.78819444444444431</v>
      </c>
      <c r="H300" s="35" t="str">
        <f>IF(Sequences!$B$34="","",Sequences!$E$34)</f>
        <v>IU Auditorium — Post-Prop</v>
      </c>
    </row>
    <row r="301" spans="1:8" x14ac:dyDescent="0.2">
      <c r="A301" s="35" t="str">
        <f>IF(Sequences!$B$35="","",Sequences!$F$30)</f>
        <v/>
      </c>
      <c r="B301" s="35" t="str">
        <f>IF(Sequences!$B$35="","",Sequences!$A$30)</f>
        <v/>
      </c>
      <c r="C301" s="20" t="str">
        <f>IF(Sequences!$B$35="","",'Slot Times'!$B$23)</f>
        <v/>
      </c>
      <c r="D301" s="35" t="str">
        <f>IF(Sequences!$B$35="","",'Slot Times'!$G$23)</f>
        <v/>
      </c>
      <c r="E301" s="35" t="str">
        <f>IF(Sequences!$B$35="","",Sequences!$B$35)</f>
        <v/>
      </c>
      <c r="F301" s="34" t="str">
        <f>IF(OR(Sequences!$B$35="",'Slot Times'!$F$23=""),"",'Slot Times'!$F$23+Sequences!$C$35/1440)</f>
        <v/>
      </c>
      <c r="G301" s="34" t="str">
        <f>IF($F301="","",$F301+Sequences!$D$35/1440)</f>
        <v/>
      </c>
      <c r="H301" s="35" t="str">
        <f>IF(Sequences!$B$35="","",Sequences!$E$35)</f>
        <v/>
      </c>
    </row>
    <row r="302" spans="1:8" x14ac:dyDescent="0.2">
      <c r="A302" s="35" t="str">
        <f>IF(Sequences!$B$36="","",Sequences!$F$30)</f>
        <v/>
      </c>
      <c r="B302" s="35" t="str">
        <f>IF(Sequences!$B$36="","",Sequences!$A$30)</f>
        <v/>
      </c>
      <c r="C302" s="20" t="str">
        <f>IF(Sequences!$B$36="","",'Slot Times'!$B$23)</f>
        <v/>
      </c>
      <c r="D302" s="35" t="str">
        <f>IF(Sequences!$B$36="","",'Slot Times'!$G$23)</f>
        <v/>
      </c>
      <c r="E302" s="35" t="str">
        <f>IF(Sequences!$B$36="","",Sequences!$B$36)</f>
        <v/>
      </c>
      <c r="F302" s="34" t="str">
        <f>IF(OR(Sequences!$B$36="",'Slot Times'!$F$23=""),"",'Slot Times'!$F$23+Sequences!$C$36/1440)</f>
        <v/>
      </c>
      <c r="G302" s="34" t="str">
        <f>IF($F302="","",$F302+Sequences!$D$36/1440)</f>
        <v/>
      </c>
      <c r="H302" s="35" t="str">
        <f>IF(Sequences!$B$36="","",Sequences!$E$36)</f>
        <v/>
      </c>
    </row>
    <row r="303" spans="1:8" x14ac:dyDescent="0.2">
      <c r="A303" s="35" t="str">
        <f>IF(Sequences!$B$37="","",Sequences!$F$30)</f>
        <v/>
      </c>
      <c r="B303" s="35" t="str">
        <f>IF(Sequences!$B$37="","",Sequences!$A$30)</f>
        <v/>
      </c>
      <c r="C303" s="20" t="str">
        <f>IF(Sequences!$B$37="","",'Slot Times'!$B$23)</f>
        <v/>
      </c>
      <c r="D303" s="35" t="str">
        <f>IF(Sequences!$B$37="","",'Slot Times'!$G$23)</f>
        <v/>
      </c>
      <c r="E303" s="35" t="str">
        <f>IF(Sequences!$B$37="","",Sequences!$B$37)</f>
        <v/>
      </c>
      <c r="F303" s="34" t="str">
        <f>IF(OR(Sequences!$B$37="",'Slot Times'!$F$23=""),"",'Slot Times'!$F$23+Sequences!$C$37/1440)</f>
        <v/>
      </c>
      <c r="G303" s="34" t="str">
        <f>IF($F303="","",$F303+Sequences!$D$37/1440)</f>
        <v/>
      </c>
      <c r="H303" s="35" t="str">
        <f>IF(Sequences!$B$37="","",Sequences!$E$37)</f>
        <v/>
      </c>
    </row>
    <row r="304" spans="1:8" x14ac:dyDescent="0.2">
      <c r="A304" s="35" t="str">
        <f>IF(Sequences!$B$38="","",Sequences!$F$30)</f>
        <v/>
      </c>
      <c r="B304" s="35" t="str">
        <f>IF(Sequences!$B$38="","",Sequences!$A$30)</f>
        <v/>
      </c>
      <c r="C304" s="20" t="str">
        <f>IF(Sequences!$B$38="","",'Slot Times'!$B$23)</f>
        <v/>
      </c>
      <c r="D304" s="35" t="str">
        <f>IF(Sequences!$B$38="","",'Slot Times'!$G$23)</f>
        <v/>
      </c>
      <c r="E304" s="35" t="str">
        <f>IF(Sequences!$B$38="","",Sequences!$B$38)</f>
        <v/>
      </c>
      <c r="F304" s="34" t="str">
        <f>IF(OR(Sequences!$B$38="",'Slot Times'!$F$23=""),"",'Slot Times'!$F$23+Sequences!$C$38/1440)</f>
        <v/>
      </c>
      <c r="G304" s="34" t="str">
        <f>IF($F304="","",$F304+Sequences!$D$38/1440)</f>
        <v/>
      </c>
      <c r="H304" s="35" t="str">
        <f>IF(Sequences!$B$38="","",Sequences!$E$38)</f>
        <v/>
      </c>
    </row>
    <row r="305" spans="1:8" x14ac:dyDescent="0.2">
      <c r="A305" s="35" t="str">
        <f>IF(Sequences!$B$39="","",Sequences!$F$30)</f>
        <v/>
      </c>
      <c r="B305" s="35" t="str">
        <f>IF(Sequences!$B$39="","",Sequences!$A$30)</f>
        <v/>
      </c>
      <c r="C305" s="20" t="str">
        <f>IF(Sequences!$B$39="","",'Slot Times'!$B$23)</f>
        <v/>
      </c>
      <c r="D305" s="35" t="str">
        <f>IF(Sequences!$B$39="","",'Slot Times'!$G$23)</f>
        <v/>
      </c>
      <c r="E305" s="35" t="str">
        <f>IF(Sequences!$B$39="","",Sequences!$B$39)</f>
        <v/>
      </c>
      <c r="F305" s="34" t="str">
        <f>IF(OR(Sequences!$B$39="",'Slot Times'!$F$23=""),"",'Slot Times'!$F$23+Sequences!$C$39/1440)</f>
        <v/>
      </c>
      <c r="G305" s="34" t="str">
        <f>IF($F305="","",$F305+Sequences!$D$39/1440)</f>
        <v/>
      </c>
      <c r="H305" s="35" t="str">
        <f>IF(Sequences!$B$39="","",Sequences!$E$39)</f>
        <v/>
      </c>
    </row>
    <row r="306" spans="1:8" x14ac:dyDescent="0.2">
      <c r="A306" s="35" t="str">
        <f>IF(Sequences!$B$40="","",Sequences!$F$30)</f>
        <v/>
      </c>
      <c r="B306" s="35" t="str">
        <f>IF(Sequences!$B$40="","",Sequences!$A$30)</f>
        <v/>
      </c>
      <c r="C306" s="20" t="str">
        <f>IF(Sequences!$B$40="","",'Slot Times'!$B$23)</f>
        <v/>
      </c>
      <c r="D306" s="35" t="str">
        <f>IF(Sequences!$B$40="","",'Slot Times'!$G$23)</f>
        <v/>
      </c>
      <c r="E306" s="35" t="str">
        <f>IF(Sequences!$B$40="","",Sequences!$B$40)</f>
        <v/>
      </c>
      <c r="F306" s="34" t="str">
        <f>IF(OR(Sequences!$B$40="",'Slot Times'!$F$23=""),"",'Slot Times'!$F$23+Sequences!$C$40/1440)</f>
        <v/>
      </c>
      <c r="G306" s="34" t="str">
        <f>IF($F306="","",$F306+Sequences!$D$40/1440)</f>
        <v/>
      </c>
      <c r="H306" s="35" t="str">
        <f>IF(Sequences!$B$40="","",Sequences!$E$40)</f>
        <v/>
      </c>
    </row>
    <row r="307" spans="1:8" x14ac:dyDescent="0.2">
      <c r="A307" s="35" t="str">
        <f>IF(Sequences!$B$41="","",Sequences!$F$30)</f>
        <v/>
      </c>
      <c r="B307" s="35" t="str">
        <f>IF(Sequences!$B$41="","",Sequences!$A$30)</f>
        <v/>
      </c>
      <c r="C307" s="20" t="str">
        <f>IF(Sequences!$B$41="","",'Slot Times'!$B$23)</f>
        <v/>
      </c>
      <c r="D307" s="35" t="str">
        <f>IF(Sequences!$B$41="","",'Slot Times'!$G$23)</f>
        <v/>
      </c>
      <c r="E307" s="35" t="str">
        <f>IF(Sequences!$B$41="","",Sequences!$B$41)</f>
        <v/>
      </c>
      <c r="F307" s="34" t="str">
        <f>IF(OR(Sequences!$B$41="",'Slot Times'!$F$23=""),"",'Slot Times'!$F$23+Sequences!$C$41/1440)</f>
        <v/>
      </c>
      <c r="G307" s="34" t="str">
        <f>IF($F307="","",$F307+Sequences!$D$41/1440)</f>
        <v/>
      </c>
      <c r="H307" s="35" t="str">
        <f>IF(Sequences!$B$41="","",Sequences!$E$41)</f>
        <v/>
      </c>
    </row>
    <row r="308" spans="1:8" x14ac:dyDescent="0.2">
      <c r="A308" s="35" t="str">
        <f>IF(Sequences!$B$42="","",Sequences!$F$30)</f>
        <v/>
      </c>
      <c r="B308" s="35" t="str">
        <f>IF(Sequences!$B$42="","",Sequences!$A$30)</f>
        <v/>
      </c>
      <c r="C308" s="20" t="str">
        <f>IF(Sequences!$B$42="","",'Slot Times'!$B$23)</f>
        <v/>
      </c>
      <c r="D308" s="35" t="str">
        <f>IF(Sequences!$B$42="","",'Slot Times'!$G$23)</f>
        <v/>
      </c>
      <c r="E308" s="35" t="str">
        <f>IF(Sequences!$B$42="","",Sequences!$B$42)</f>
        <v/>
      </c>
      <c r="F308" s="34" t="str">
        <f>IF(OR(Sequences!$B$42="",'Slot Times'!$F$23=""),"",'Slot Times'!$F$23+Sequences!$C$42/1440)</f>
        <v/>
      </c>
      <c r="G308" s="34" t="str">
        <f>IF($F308="","",$F308+Sequences!$D$42/1440)</f>
        <v/>
      </c>
      <c r="H308" s="35" t="str">
        <f>IF(Sequences!$B$42="","",Sequences!$E$42)</f>
        <v/>
      </c>
    </row>
    <row r="309" spans="1:8" x14ac:dyDescent="0.2">
      <c r="A309" s="35" t="str">
        <f>IF(Sequences!$B$43="","",Sequences!$F$30)</f>
        <v/>
      </c>
      <c r="B309" s="35" t="str">
        <f>IF(Sequences!$B$43="","",Sequences!$A$30)</f>
        <v/>
      </c>
      <c r="C309" s="20" t="str">
        <f>IF(Sequences!$B$43="","",'Slot Times'!$B$23)</f>
        <v/>
      </c>
      <c r="D309" s="35" t="str">
        <f>IF(Sequences!$B$43="","",'Slot Times'!$G$23)</f>
        <v/>
      </c>
      <c r="E309" s="35" t="str">
        <f>IF(Sequences!$B$43="","",Sequences!$B$43)</f>
        <v/>
      </c>
      <c r="F309" s="34" t="str">
        <f>IF(OR(Sequences!$B$43="",'Slot Times'!$F$23=""),"",'Slot Times'!$F$23+Sequences!$C$43/1440)</f>
        <v/>
      </c>
      <c r="G309" s="34" t="str">
        <f>IF($F309="","",$F309+Sequences!$D$43/1440)</f>
        <v/>
      </c>
      <c r="H309" s="35" t="str">
        <f>IF(Sequences!$B$43="","",Sequences!$E$43)</f>
        <v/>
      </c>
    </row>
    <row r="310" spans="1:8" x14ac:dyDescent="0.2">
      <c r="A310" s="35" t="str">
        <f>IF(Sequences!$B$30="","",Sequences!$F$30)</f>
        <v>Saturday</v>
      </c>
      <c r="B310" s="35" t="str">
        <f>IF(Sequences!$B$30="","",Sequences!$A$30)</f>
        <v>Show Backstage</v>
      </c>
      <c r="C310" s="20">
        <f>IF(Sequences!$B$30="","",'Slot Times'!$B$24)</f>
        <v>7</v>
      </c>
      <c r="D310" s="35" t="str">
        <f>IF(Sequences!$B$30="","",'Slot Times'!$G$24)</f>
        <v>(not drawn)</v>
      </c>
      <c r="E310" s="35" t="str">
        <f>IF(Sequences!$B$30="","",Sequences!$B$30)</f>
        <v>Leave Audience Seats</v>
      </c>
      <c r="F310" s="34">
        <f>IF(OR(Sequences!$B$30="",'Slot Times'!$F$24=""),"",'Slot Times'!$F$24+Sequences!$C$30/1440)</f>
        <v>0.76388888888888873</v>
      </c>
      <c r="G310" s="34">
        <f>IF($F310="","",$F310+Sequences!$D$30/1440)</f>
        <v>0.76736111111111094</v>
      </c>
      <c r="H310" s="35" t="str">
        <f>IF(Sequences!$B$30="","",Sequences!$E$30)</f>
        <v>IU Auditorium — House</v>
      </c>
    </row>
    <row r="311" spans="1:8" x14ac:dyDescent="0.2">
      <c r="A311" s="35" t="str">
        <f>IF(Sequences!$B$31="","",Sequences!$F$30)</f>
        <v>Saturday</v>
      </c>
      <c r="B311" s="35" t="str">
        <f>IF(Sequences!$B$31="","",Sequences!$A$30)</f>
        <v>Show Backstage</v>
      </c>
      <c r="C311" s="20">
        <f>IF(Sequences!$B$31="","",'Slot Times'!$B$24)</f>
        <v>7</v>
      </c>
      <c r="D311" s="35" t="str">
        <f>IF(Sequences!$B$31="","",'Slot Times'!$G$24)</f>
        <v>(not drawn)</v>
      </c>
      <c r="E311" s="35" t="str">
        <f>IF(Sequences!$B$31="","",Sequences!$B$31)</f>
        <v>Dressing Room</v>
      </c>
      <c r="F311" s="34">
        <f>IF(OR(Sequences!$B$31="",'Slot Times'!$F$24=""),"",'Slot Times'!$F$24+Sequences!$C$31/1440)</f>
        <v>0.76736111111111105</v>
      </c>
      <c r="G311" s="34">
        <f>IF($F311="","",$F311+Sequences!$D$31/1440)</f>
        <v>0.77430555555555547</v>
      </c>
      <c r="H311" s="35" t="str">
        <f>IF(Sequences!$B$31="","",Sequences!$E$31)</f>
        <v>IU Auditorium — Dressing Room</v>
      </c>
    </row>
    <row r="312" spans="1:8" x14ac:dyDescent="0.2">
      <c r="A312" s="35" t="str">
        <f>IF(Sequences!$B$32="","",Sequences!$F$30)</f>
        <v>Saturday</v>
      </c>
      <c r="B312" s="35" t="str">
        <f>IF(Sequences!$B$32="","",Sequences!$A$30)</f>
        <v>Show Backstage</v>
      </c>
      <c r="C312" s="20">
        <f>IF(Sequences!$B$32="","",'Slot Times'!$B$24)</f>
        <v>7</v>
      </c>
      <c r="D312" s="35" t="str">
        <f>IF(Sequences!$B$32="","",'Slot Times'!$G$24)</f>
        <v>(not drawn)</v>
      </c>
      <c r="E312" s="35" t="str">
        <f>IF(Sequences!$B$32="","",Sequences!$B$32)</f>
        <v>Pre-Prop</v>
      </c>
      <c r="F312" s="34">
        <f>IF(OR(Sequences!$B$32="",'Slot Times'!$F$24=""),"",'Slot Times'!$F$24+Sequences!$C$32/1440)</f>
        <v>0.77430555555555547</v>
      </c>
      <c r="G312" s="34">
        <f>IF($F312="","",$F312+Sequences!$D$32/1440)</f>
        <v>0.78124999999999989</v>
      </c>
      <c r="H312" s="35" t="str">
        <f>IF(Sequences!$B$32="","",Sequences!$E$32)</f>
        <v>IU Auditorium — Pre-Prop</v>
      </c>
    </row>
    <row r="313" spans="1:8" x14ac:dyDescent="0.2">
      <c r="A313" s="35" t="str">
        <f>IF(Sequences!$B$33="","",Sequences!$F$30)</f>
        <v>Saturday</v>
      </c>
      <c r="B313" s="35" t="str">
        <f>IF(Sequences!$B$33="","",Sequences!$A$30)</f>
        <v>Show Backstage</v>
      </c>
      <c r="C313" s="20">
        <f>IF(Sequences!$B$33="","",'Slot Times'!$B$24)</f>
        <v>7</v>
      </c>
      <c r="D313" s="35" t="str">
        <f>IF(Sequences!$B$33="","",'Slot Times'!$G$24)</f>
        <v>(not drawn)</v>
      </c>
      <c r="E313" s="35" t="str">
        <f>IF(Sequences!$B$33="","",Sequences!$B$33)</f>
        <v>ON STAGE</v>
      </c>
      <c r="F313" s="34">
        <f>IF(OR(Sequences!$B$33="",'Slot Times'!$F$24=""),"",'Slot Times'!$F$24+Sequences!$C$33/1440)</f>
        <v>0.78124999999999989</v>
      </c>
      <c r="G313" s="34">
        <f>IF($F313="","",$F313+Sequences!$D$33/1440)</f>
        <v>0.78819444444444431</v>
      </c>
      <c r="H313" s="35" t="str">
        <f>IF(Sequences!$B$33="","",Sequences!$E$33)</f>
        <v>IU Auditorium — Stage</v>
      </c>
    </row>
    <row r="314" spans="1:8" x14ac:dyDescent="0.2">
      <c r="A314" s="35" t="str">
        <f>IF(Sequences!$B$34="","",Sequences!$F$30)</f>
        <v>Saturday</v>
      </c>
      <c r="B314" s="35" t="str">
        <f>IF(Sequences!$B$34="","",Sequences!$A$30)</f>
        <v>Show Backstage</v>
      </c>
      <c r="C314" s="20">
        <f>IF(Sequences!$B$34="","",'Slot Times'!$B$24)</f>
        <v>7</v>
      </c>
      <c r="D314" s="35" t="str">
        <f>IF(Sequences!$B$34="","",'Slot Times'!$G$24)</f>
        <v>(not drawn)</v>
      </c>
      <c r="E314" s="35" t="str">
        <f>IF(Sequences!$B$34="","",Sequences!$B$34)</f>
        <v>Post-Prop to Audience</v>
      </c>
      <c r="F314" s="34">
        <f>IF(OR(Sequences!$B$34="",'Slot Times'!$F$24=""),"",'Slot Times'!$F$24+Sequences!$C$34/1440)</f>
        <v>0.78819444444444431</v>
      </c>
      <c r="G314" s="34">
        <f>IF($F314="","",$F314+Sequences!$D$34/1440)</f>
        <v>0.79513888888888873</v>
      </c>
      <c r="H314" s="35" t="str">
        <f>IF(Sequences!$B$34="","",Sequences!$E$34)</f>
        <v>IU Auditorium — Post-Prop</v>
      </c>
    </row>
    <row r="315" spans="1:8" x14ac:dyDescent="0.2">
      <c r="A315" s="35" t="str">
        <f>IF(Sequences!$B$35="","",Sequences!$F$30)</f>
        <v/>
      </c>
      <c r="B315" s="35" t="str">
        <f>IF(Sequences!$B$35="","",Sequences!$A$30)</f>
        <v/>
      </c>
      <c r="C315" s="20" t="str">
        <f>IF(Sequences!$B$35="","",'Slot Times'!$B$24)</f>
        <v/>
      </c>
      <c r="D315" s="35" t="str">
        <f>IF(Sequences!$B$35="","",'Slot Times'!$G$24)</f>
        <v/>
      </c>
      <c r="E315" s="35" t="str">
        <f>IF(Sequences!$B$35="","",Sequences!$B$35)</f>
        <v/>
      </c>
      <c r="F315" s="34" t="str">
        <f>IF(OR(Sequences!$B$35="",'Slot Times'!$F$24=""),"",'Slot Times'!$F$24+Sequences!$C$35/1440)</f>
        <v/>
      </c>
      <c r="G315" s="34" t="str">
        <f>IF($F315="","",$F315+Sequences!$D$35/1440)</f>
        <v/>
      </c>
      <c r="H315" s="35" t="str">
        <f>IF(Sequences!$B$35="","",Sequences!$E$35)</f>
        <v/>
      </c>
    </row>
    <row r="316" spans="1:8" x14ac:dyDescent="0.2">
      <c r="A316" s="35" t="str">
        <f>IF(Sequences!$B$36="","",Sequences!$F$30)</f>
        <v/>
      </c>
      <c r="B316" s="35" t="str">
        <f>IF(Sequences!$B$36="","",Sequences!$A$30)</f>
        <v/>
      </c>
      <c r="C316" s="20" t="str">
        <f>IF(Sequences!$B$36="","",'Slot Times'!$B$24)</f>
        <v/>
      </c>
      <c r="D316" s="35" t="str">
        <f>IF(Sequences!$B$36="","",'Slot Times'!$G$24)</f>
        <v/>
      </c>
      <c r="E316" s="35" t="str">
        <f>IF(Sequences!$B$36="","",Sequences!$B$36)</f>
        <v/>
      </c>
      <c r="F316" s="34" t="str">
        <f>IF(OR(Sequences!$B$36="",'Slot Times'!$F$24=""),"",'Slot Times'!$F$24+Sequences!$C$36/1440)</f>
        <v/>
      </c>
      <c r="G316" s="34" t="str">
        <f>IF($F316="","",$F316+Sequences!$D$36/1440)</f>
        <v/>
      </c>
      <c r="H316" s="35" t="str">
        <f>IF(Sequences!$B$36="","",Sequences!$E$36)</f>
        <v/>
      </c>
    </row>
    <row r="317" spans="1:8" x14ac:dyDescent="0.2">
      <c r="A317" s="35" t="str">
        <f>IF(Sequences!$B$37="","",Sequences!$F$30)</f>
        <v/>
      </c>
      <c r="B317" s="35" t="str">
        <f>IF(Sequences!$B$37="","",Sequences!$A$30)</f>
        <v/>
      </c>
      <c r="C317" s="20" t="str">
        <f>IF(Sequences!$B$37="","",'Slot Times'!$B$24)</f>
        <v/>
      </c>
      <c r="D317" s="35" t="str">
        <f>IF(Sequences!$B$37="","",'Slot Times'!$G$24)</f>
        <v/>
      </c>
      <c r="E317" s="35" t="str">
        <f>IF(Sequences!$B$37="","",Sequences!$B$37)</f>
        <v/>
      </c>
      <c r="F317" s="34" t="str">
        <f>IF(OR(Sequences!$B$37="",'Slot Times'!$F$24=""),"",'Slot Times'!$F$24+Sequences!$C$37/1440)</f>
        <v/>
      </c>
      <c r="G317" s="34" t="str">
        <f>IF($F317="","",$F317+Sequences!$D$37/1440)</f>
        <v/>
      </c>
      <c r="H317" s="35" t="str">
        <f>IF(Sequences!$B$37="","",Sequences!$E$37)</f>
        <v/>
      </c>
    </row>
    <row r="318" spans="1:8" x14ac:dyDescent="0.2">
      <c r="A318" s="35" t="str">
        <f>IF(Sequences!$B$38="","",Sequences!$F$30)</f>
        <v/>
      </c>
      <c r="B318" s="35" t="str">
        <f>IF(Sequences!$B$38="","",Sequences!$A$30)</f>
        <v/>
      </c>
      <c r="C318" s="20" t="str">
        <f>IF(Sequences!$B$38="","",'Slot Times'!$B$24)</f>
        <v/>
      </c>
      <c r="D318" s="35" t="str">
        <f>IF(Sequences!$B$38="","",'Slot Times'!$G$24)</f>
        <v/>
      </c>
      <c r="E318" s="35" t="str">
        <f>IF(Sequences!$B$38="","",Sequences!$B$38)</f>
        <v/>
      </c>
      <c r="F318" s="34" t="str">
        <f>IF(OR(Sequences!$B$38="",'Slot Times'!$F$24=""),"",'Slot Times'!$F$24+Sequences!$C$38/1440)</f>
        <v/>
      </c>
      <c r="G318" s="34" t="str">
        <f>IF($F318="","",$F318+Sequences!$D$38/1440)</f>
        <v/>
      </c>
      <c r="H318" s="35" t="str">
        <f>IF(Sequences!$B$38="","",Sequences!$E$38)</f>
        <v/>
      </c>
    </row>
    <row r="319" spans="1:8" x14ac:dyDescent="0.2">
      <c r="A319" s="35" t="str">
        <f>IF(Sequences!$B$39="","",Sequences!$F$30)</f>
        <v/>
      </c>
      <c r="B319" s="35" t="str">
        <f>IF(Sequences!$B$39="","",Sequences!$A$30)</f>
        <v/>
      </c>
      <c r="C319" s="20" t="str">
        <f>IF(Sequences!$B$39="","",'Slot Times'!$B$24)</f>
        <v/>
      </c>
      <c r="D319" s="35" t="str">
        <f>IF(Sequences!$B$39="","",'Slot Times'!$G$24)</f>
        <v/>
      </c>
      <c r="E319" s="35" t="str">
        <f>IF(Sequences!$B$39="","",Sequences!$B$39)</f>
        <v/>
      </c>
      <c r="F319" s="34" t="str">
        <f>IF(OR(Sequences!$B$39="",'Slot Times'!$F$24=""),"",'Slot Times'!$F$24+Sequences!$C$39/1440)</f>
        <v/>
      </c>
      <c r="G319" s="34" t="str">
        <f>IF($F319="","",$F319+Sequences!$D$39/1440)</f>
        <v/>
      </c>
      <c r="H319" s="35" t="str">
        <f>IF(Sequences!$B$39="","",Sequences!$E$39)</f>
        <v/>
      </c>
    </row>
    <row r="320" spans="1:8" x14ac:dyDescent="0.2">
      <c r="A320" s="35" t="str">
        <f>IF(Sequences!$B$40="","",Sequences!$F$30)</f>
        <v/>
      </c>
      <c r="B320" s="35" t="str">
        <f>IF(Sequences!$B$40="","",Sequences!$A$30)</f>
        <v/>
      </c>
      <c r="C320" s="20" t="str">
        <f>IF(Sequences!$B$40="","",'Slot Times'!$B$24)</f>
        <v/>
      </c>
      <c r="D320" s="35" t="str">
        <f>IF(Sequences!$B$40="","",'Slot Times'!$G$24)</f>
        <v/>
      </c>
      <c r="E320" s="35" t="str">
        <f>IF(Sequences!$B$40="","",Sequences!$B$40)</f>
        <v/>
      </c>
      <c r="F320" s="34" t="str">
        <f>IF(OR(Sequences!$B$40="",'Slot Times'!$F$24=""),"",'Slot Times'!$F$24+Sequences!$C$40/1440)</f>
        <v/>
      </c>
      <c r="G320" s="34" t="str">
        <f>IF($F320="","",$F320+Sequences!$D$40/1440)</f>
        <v/>
      </c>
      <c r="H320" s="35" t="str">
        <f>IF(Sequences!$B$40="","",Sequences!$E$40)</f>
        <v/>
      </c>
    </row>
    <row r="321" spans="1:8" x14ac:dyDescent="0.2">
      <c r="A321" s="35" t="str">
        <f>IF(Sequences!$B$41="","",Sequences!$F$30)</f>
        <v/>
      </c>
      <c r="B321" s="35" t="str">
        <f>IF(Sequences!$B$41="","",Sequences!$A$30)</f>
        <v/>
      </c>
      <c r="C321" s="20" t="str">
        <f>IF(Sequences!$B$41="","",'Slot Times'!$B$24)</f>
        <v/>
      </c>
      <c r="D321" s="35" t="str">
        <f>IF(Sequences!$B$41="","",'Slot Times'!$G$24)</f>
        <v/>
      </c>
      <c r="E321" s="35" t="str">
        <f>IF(Sequences!$B$41="","",Sequences!$B$41)</f>
        <v/>
      </c>
      <c r="F321" s="34" t="str">
        <f>IF(OR(Sequences!$B$41="",'Slot Times'!$F$24=""),"",'Slot Times'!$F$24+Sequences!$C$41/1440)</f>
        <v/>
      </c>
      <c r="G321" s="34" t="str">
        <f>IF($F321="","",$F321+Sequences!$D$41/1440)</f>
        <v/>
      </c>
      <c r="H321" s="35" t="str">
        <f>IF(Sequences!$B$41="","",Sequences!$E$41)</f>
        <v/>
      </c>
    </row>
    <row r="322" spans="1:8" x14ac:dyDescent="0.2">
      <c r="A322" s="35" t="str">
        <f>IF(Sequences!$B$42="","",Sequences!$F$30)</f>
        <v/>
      </c>
      <c r="B322" s="35" t="str">
        <f>IF(Sequences!$B$42="","",Sequences!$A$30)</f>
        <v/>
      </c>
      <c r="C322" s="20" t="str">
        <f>IF(Sequences!$B$42="","",'Slot Times'!$B$24)</f>
        <v/>
      </c>
      <c r="D322" s="35" t="str">
        <f>IF(Sequences!$B$42="","",'Slot Times'!$G$24)</f>
        <v/>
      </c>
      <c r="E322" s="35" t="str">
        <f>IF(Sequences!$B$42="","",Sequences!$B$42)</f>
        <v/>
      </c>
      <c r="F322" s="34" t="str">
        <f>IF(OR(Sequences!$B$42="",'Slot Times'!$F$24=""),"",'Slot Times'!$F$24+Sequences!$C$42/1440)</f>
        <v/>
      </c>
      <c r="G322" s="34" t="str">
        <f>IF($F322="","",$F322+Sequences!$D$42/1440)</f>
        <v/>
      </c>
      <c r="H322" s="35" t="str">
        <f>IF(Sequences!$B$42="","",Sequences!$E$42)</f>
        <v/>
      </c>
    </row>
    <row r="323" spans="1:8" x14ac:dyDescent="0.2">
      <c r="A323" s="35" t="str">
        <f>IF(Sequences!$B$43="","",Sequences!$F$30)</f>
        <v/>
      </c>
      <c r="B323" s="35" t="str">
        <f>IF(Sequences!$B$43="","",Sequences!$A$30)</f>
        <v/>
      </c>
      <c r="C323" s="20" t="str">
        <f>IF(Sequences!$B$43="","",'Slot Times'!$B$24)</f>
        <v/>
      </c>
      <c r="D323" s="35" t="str">
        <f>IF(Sequences!$B$43="","",'Slot Times'!$G$24)</f>
        <v/>
      </c>
      <c r="E323" s="35" t="str">
        <f>IF(Sequences!$B$43="","",Sequences!$B$43)</f>
        <v/>
      </c>
      <c r="F323" s="34" t="str">
        <f>IF(OR(Sequences!$B$43="",'Slot Times'!$F$24=""),"",'Slot Times'!$F$24+Sequences!$C$43/1440)</f>
        <v/>
      </c>
      <c r="G323" s="34" t="str">
        <f>IF($F323="","",$F323+Sequences!$D$43/1440)</f>
        <v/>
      </c>
      <c r="H323" s="35" t="str">
        <f>IF(Sequences!$B$43="","",Sequences!$E$43)</f>
        <v/>
      </c>
    </row>
    <row r="324" spans="1:8" x14ac:dyDescent="0.2">
      <c r="A324" s="35" t="str">
        <f>IF(Sequences!$B$30="","",Sequences!$F$30)</f>
        <v>Saturday</v>
      </c>
      <c r="B324" s="35" t="str">
        <f>IF(Sequences!$B$30="","",Sequences!$A$30)</f>
        <v>Show Backstage</v>
      </c>
      <c r="C324" s="20">
        <f>IF(Sequences!$B$30="","",'Slot Times'!$B$25)</f>
        <v>8</v>
      </c>
      <c r="D324" s="35" t="str">
        <f>IF(Sequences!$B$30="","",'Slot Times'!$G$25)</f>
        <v>(not drawn)</v>
      </c>
      <c r="E324" s="35" t="str">
        <f>IF(Sequences!$B$30="","",Sequences!$B$30)</f>
        <v>Leave Audience Seats</v>
      </c>
      <c r="F324" s="34">
        <f>IF(OR(Sequences!$B$30="",'Slot Times'!$F$25=""),"",'Slot Times'!$F$25+Sequences!$C$30/1440)</f>
        <v>0.77083333333333315</v>
      </c>
      <c r="G324" s="34">
        <f>IF($F324="","",$F324+Sequences!$D$30/1440)</f>
        <v>0.77430555555555536</v>
      </c>
      <c r="H324" s="35" t="str">
        <f>IF(Sequences!$B$30="","",Sequences!$E$30)</f>
        <v>IU Auditorium — House</v>
      </c>
    </row>
    <row r="325" spans="1:8" x14ac:dyDescent="0.2">
      <c r="A325" s="35" t="str">
        <f>IF(Sequences!$B$31="","",Sequences!$F$30)</f>
        <v>Saturday</v>
      </c>
      <c r="B325" s="35" t="str">
        <f>IF(Sequences!$B$31="","",Sequences!$A$30)</f>
        <v>Show Backstage</v>
      </c>
      <c r="C325" s="20">
        <f>IF(Sequences!$B$31="","",'Slot Times'!$B$25)</f>
        <v>8</v>
      </c>
      <c r="D325" s="35" t="str">
        <f>IF(Sequences!$B$31="","",'Slot Times'!$G$25)</f>
        <v>(not drawn)</v>
      </c>
      <c r="E325" s="35" t="str">
        <f>IF(Sequences!$B$31="","",Sequences!$B$31)</f>
        <v>Dressing Room</v>
      </c>
      <c r="F325" s="34">
        <f>IF(OR(Sequences!$B$31="",'Slot Times'!$F$25=""),"",'Slot Times'!$F$25+Sequences!$C$31/1440)</f>
        <v>0.77430555555555547</v>
      </c>
      <c r="G325" s="34">
        <f>IF($F325="","",$F325+Sequences!$D$31/1440)</f>
        <v>0.78124999999999989</v>
      </c>
      <c r="H325" s="35" t="str">
        <f>IF(Sequences!$B$31="","",Sequences!$E$31)</f>
        <v>IU Auditorium — Dressing Room</v>
      </c>
    </row>
    <row r="326" spans="1:8" x14ac:dyDescent="0.2">
      <c r="A326" s="35" t="str">
        <f>IF(Sequences!$B$32="","",Sequences!$F$30)</f>
        <v>Saturday</v>
      </c>
      <c r="B326" s="35" t="str">
        <f>IF(Sequences!$B$32="","",Sequences!$A$30)</f>
        <v>Show Backstage</v>
      </c>
      <c r="C326" s="20">
        <f>IF(Sequences!$B$32="","",'Slot Times'!$B$25)</f>
        <v>8</v>
      </c>
      <c r="D326" s="35" t="str">
        <f>IF(Sequences!$B$32="","",'Slot Times'!$G$25)</f>
        <v>(not drawn)</v>
      </c>
      <c r="E326" s="35" t="str">
        <f>IF(Sequences!$B$32="","",Sequences!$B$32)</f>
        <v>Pre-Prop</v>
      </c>
      <c r="F326" s="34">
        <f>IF(OR(Sequences!$B$32="",'Slot Times'!$F$25=""),"",'Slot Times'!$F$25+Sequences!$C$32/1440)</f>
        <v>0.78124999999999989</v>
      </c>
      <c r="G326" s="34">
        <f>IF($F326="","",$F326+Sequences!$D$32/1440)</f>
        <v>0.78819444444444431</v>
      </c>
      <c r="H326" s="35" t="str">
        <f>IF(Sequences!$B$32="","",Sequences!$E$32)</f>
        <v>IU Auditorium — Pre-Prop</v>
      </c>
    </row>
    <row r="327" spans="1:8" x14ac:dyDescent="0.2">
      <c r="A327" s="35" t="str">
        <f>IF(Sequences!$B$33="","",Sequences!$F$30)</f>
        <v>Saturday</v>
      </c>
      <c r="B327" s="35" t="str">
        <f>IF(Sequences!$B$33="","",Sequences!$A$30)</f>
        <v>Show Backstage</v>
      </c>
      <c r="C327" s="20">
        <f>IF(Sequences!$B$33="","",'Slot Times'!$B$25)</f>
        <v>8</v>
      </c>
      <c r="D327" s="35" t="str">
        <f>IF(Sequences!$B$33="","",'Slot Times'!$G$25)</f>
        <v>(not drawn)</v>
      </c>
      <c r="E327" s="35" t="str">
        <f>IF(Sequences!$B$33="","",Sequences!$B$33)</f>
        <v>ON STAGE</v>
      </c>
      <c r="F327" s="34">
        <f>IF(OR(Sequences!$B$33="",'Slot Times'!$F$25=""),"",'Slot Times'!$F$25+Sequences!$C$33/1440)</f>
        <v>0.78819444444444431</v>
      </c>
      <c r="G327" s="34">
        <f>IF($F327="","",$F327+Sequences!$D$33/1440)</f>
        <v>0.79513888888888873</v>
      </c>
      <c r="H327" s="35" t="str">
        <f>IF(Sequences!$B$33="","",Sequences!$E$33)</f>
        <v>IU Auditorium — Stage</v>
      </c>
    </row>
    <row r="328" spans="1:8" x14ac:dyDescent="0.2">
      <c r="A328" s="35" t="str">
        <f>IF(Sequences!$B$34="","",Sequences!$F$30)</f>
        <v>Saturday</v>
      </c>
      <c r="B328" s="35" t="str">
        <f>IF(Sequences!$B$34="","",Sequences!$A$30)</f>
        <v>Show Backstage</v>
      </c>
      <c r="C328" s="20">
        <f>IF(Sequences!$B$34="","",'Slot Times'!$B$25)</f>
        <v>8</v>
      </c>
      <c r="D328" s="35" t="str">
        <f>IF(Sequences!$B$34="","",'Slot Times'!$G$25)</f>
        <v>(not drawn)</v>
      </c>
      <c r="E328" s="35" t="str">
        <f>IF(Sequences!$B$34="","",Sequences!$B$34)</f>
        <v>Post-Prop to Audience</v>
      </c>
      <c r="F328" s="34">
        <f>IF(OR(Sequences!$B$34="",'Slot Times'!$F$25=""),"",'Slot Times'!$F$25+Sequences!$C$34/1440)</f>
        <v>0.79513888888888873</v>
      </c>
      <c r="G328" s="34">
        <f>IF($F328="","",$F328+Sequences!$D$34/1440)</f>
        <v>0.80208333333333315</v>
      </c>
      <c r="H328" s="35" t="str">
        <f>IF(Sequences!$B$34="","",Sequences!$E$34)</f>
        <v>IU Auditorium — Post-Prop</v>
      </c>
    </row>
    <row r="329" spans="1:8" x14ac:dyDescent="0.2">
      <c r="A329" s="35" t="str">
        <f>IF(Sequences!$B$35="","",Sequences!$F$30)</f>
        <v/>
      </c>
      <c r="B329" s="35" t="str">
        <f>IF(Sequences!$B$35="","",Sequences!$A$30)</f>
        <v/>
      </c>
      <c r="C329" s="20" t="str">
        <f>IF(Sequences!$B$35="","",'Slot Times'!$B$25)</f>
        <v/>
      </c>
      <c r="D329" s="35" t="str">
        <f>IF(Sequences!$B$35="","",'Slot Times'!$G$25)</f>
        <v/>
      </c>
      <c r="E329" s="35" t="str">
        <f>IF(Sequences!$B$35="","",Sequences!$B$35)</f>
        <v/>
      </c>
      <c r="F329" s="34" t="str">
        <f>IF(OR(Sequences!$B$35="",'Slot Times'!$F$25=""),"",'Slot Times'!$F$25+Sequences!$C$35/1440)</f>
        <v/>
      </c>
      <c r="G329" s="34" t="str">
        <f>IF($F329="","",$F329+Sequences!$D$35/1440)</f>
        <v/>
      </c>
      <c r="H329" s="35" t="str">
        <f>IF(Sequences!$B$35="","",Sequences!$E$35)</f>
        <v/>
      </c>
    </row>
    <row r="330" spans="1:8" x14ac:dyDescent="0.2">
      <c r="A330" s="35" t="str">
        <f>IF(Sequences!$B$36="","",Sequences!$F$30)</f>
        <v/>
      </c>
      <c r="B330" s="35" t="str">
        <f>IF(Sequences!$B$36="","",Sequences!$A$30)</f>
        <v/>
      </c>
      <c r="C330" s="20" t="str">
        <f>IF(Sequences!$B$36="","",'Slot Times'!$B$25)</f>
        <v/>
      </c>
      <c r="D330" s="35" t="str">
        <f>IF(Sequences!$B$36="","",'Slot Times'!$G$25)</f>
        <v/>
      </c>
      <c r="E330" s="35" t="str">
        <f>IF(Sequences!$B$36="","",Sequences!$B$36)</f>
        <v/>
      </c>
      <c r="F330" s="34" t="str">
        <f>IF(OR(Sequences!$B$36="",'Slot Times'!$F$25=""),"",'Slot Times'!$F$25+Sequences!$C$36/1440)</f>
        <v/>
      </c>
      <c r="G330" s="34" t="str">
        <f>IF($F330="","",$F330+Sequences!$D$36/1440)</f>
        <v/>
      </c>
      <c r="H330" s="35" t="str">
        <f>IF(Sequences!$B$36="","",Sequences!$E$36)</f>
        <v/>
      </c>
    </row>
    <row r="331" spans="1:8" x14ac:dyDescent="0.2">
      <c r="A331" s="35" t="str">
        <f>IF(Sequences!$B$37="","",Sequences!$F$30)</f>
        <v/>
      </c>
      <c r="B331" s="35" t="str">
        <f>IF(Sequences!$B$37="","",Sequences!$A$30)</f>
        <v/>
      </c>
      <c r="C331" s="20" t="str">
        <f>IF(Sequences!$B$37="","",'Slot Times'!$B$25)</f>
        <v/>
      </c>
      <c r="D331" s="35" t="str">
        <f>IF(Sequences!$B$37="","",'Slot Times'!$G$25)</f>
        <v/>
      </c>
      <c r="E331" s="35" t="str">
        <f>IF(Sequences!$B$37="","",Sequences!$B$37)</f>
        <v/>
      </c>
      <c r="F331" s="34" t="str">
        <f>IF(OR(Sequences!$B$37="",'Slot Times'!$F$25=""),"",'Slot Times'!$F$25+Sequences!$C$37/1440)</f>
        <v/>
      </c>
      <c r="G331" s="34" t="str">
        <f>IF($F331="","",$F331+Sequences!$D$37/1440)</f>
        <v/>
      </c>
      <c r="H331" s="35" t="str">
        <f>IF(Sequences!$B$37="","",Sequences!$E$37)</f>
        <v/>
      </c>
    </row>
    <row r="332" spans="1:8" x14ac:dyDescent="0.2">
      <c r="A332" s="35" t="str">
        <f>IF(Sequences!$B$38="","",Sequences!$F$30)</f>
        <v/>
      </c>
      <c r="B332" s="35" t="str">
        <f>IF(Sequences!$B$38="","",Sequences!$A$30)</f>
        <v/>
      </c>
      <c r="C332" s="20" t="str">
        <f>IF(Sequences!$B$38="","",'Slot Times'!$B$25)</f>
        <v/>
      </c>
      <c r="D332" s="35" t="str">
        <f>IF(Sequences!$B$38="","",'Slot Times'!$G$25)</f>
        <v/>
      </c>
      <c r="E332" s="35" t="str">
        <f>IF(Sequences!$B$38="","",Sequences!$B$38)</f>
        <v/>
      </c>
      <c r="F332" s="34" t="str">
        <f>IF(OR(Sequences!$B$38="",'Slot Times'!$F$25=""),"",'Slot Times'!$F$25+Sequences!$C$38/1440)</f>
        <v/>
      </c>
      <c r="G332" s="34" t="str">
        <f>IF($F332="","",$F332+Sequences!$D$38/1440)</f>
        <v/>
      </c>
      <c r="H332" s="35" t="str">
        <f>IF(Sequences!$B$38="","",Sequences!$E$38)</f>
        <v/>
      </c>
    </row>
    <row r="333" spans="1:8" x14ac:dyDescent="0.2">
      <c r="A333" s="35" t="str">
        <f>IF(Sequences!$B$39="","",Sequences!$F$30)</f>
        <v/>
      </c>
      <c r="B333" s="35" t="str">
        <f>IF(Sequences!$B$39="","",Sequences!$A$30)</f>
        <v/>
      </c>
      <c r="C333" s="20" t="str">
        <f>IF(Sequences!$B$39="","",'Slot Times'!$B$25)</f>
        <v/>
      </c>
      <c r="D333" s="35" t="str">
        <f>IF(Sequences!$B$39="","",'Slot Times'!$G$25)</f>
        <v/>
      </c>
      <c r="E333" s="35" t="str">
        <f>IF(Sequences!$B$39="","",Sequences!$B$39)</f>
        <v/>
      </c>
      <c r="F333" s="34" t="str">
        <f>IF(OR(Sequences!$B$39="",'Slot Times'!$F$25=""),"",'Slot Times'!$F$25+Sequences!$C$39/1440)</f>
        <v/>
      </c>
      <c r="G333" s="34" t="str">
        <f>IF($F333="","",$F333+Sequences!$D$39/1440)</f>
        <v/>
      </c>
      <c r="H333" s="35" t="str">
        <f>IF(Sequences!$B$39="","",Sequences!$E$39)</f>
        <v/>
      </c>
    </row>
    <row r="334" spans="1:8" x14ac:dyDescent="0.2">
      <c r="A334" s="35" t="str">
        <f>IF(Sequences!$B$40="","",Sequences!$F$30)</f>
        <v/>
      </c>
      <c r="B334" s="35" t="str">
        <f>IF(Sequences!$B$40="","",Sequences!$A$30)</f>
        <v/>
      </c>
      <c r="C334" s="20" t="str">
        <f>IF(Sequences!$B$40="","",'Slot Times'!$B$25)</f>
        <v/>
      </c>
      <c r="D334" s="35" t="str">
        <f>IF(Sequences!$B$40="","",'Slot Times'!$G$25)</f>
        <v/>
      </c>
      <c r="E334" s="35" t="str">
        <f>IF(Sequences!$B$40="","",Sequences!$B$40)</f>
        <v/>
      </c>
      <c r="F334" s="34" t="str">
        <f>IF(OR(Sequences!$B$40="",'Slot Times'!$F$25=""),"",'Slot Times'!$F$25+Sequences!$C$40/1440)</f>
        <v/>
      </c>
      <c r="G334" s="34" t="str">
        <f>IF($F334="","",$F334+Sequences!$D$40/1440)</f>
        <v/>
      </c>
      <c r="H334" s="35" t="str">
        <f>IF(Sequences!$B$40="","",Sequences!$E$40)</f>
        <v/>
      </c>
    </row>
    <row r="335" spans="1:8" x14ac:dyDescent="0.2">
      <c r="A335" s="35" t="str">
        <f>IF(Sequences!$B$41="","",Sequences!$F$30)</f>
        <v/>
      </c>
      <c r="B335" s="35" t="str">
        <f>IF(Sequences!$B$41="","",Sequences!$A$30)</f>
        <v/>
      </c>
      <c r="C335" s="20" t="str">
        <f>IF(Sequences!$B$41="","",'Slot Times'!$B$25)</f>
        <v/>
      </c>
      <c r="D335" s="35" t="str">
        <f>IF(Sequences!$B$41="","",'Slot Times'!$G$25)</f>
        <v/>
      </c>
      <c r="E335" s="35" t="str">
        <f>IF(Sequences!$B$41="","",Sequences!$B$41)</f>
        <v/>
      </c>
      <c r="F335" s="34" t="str">
        <f>IF(OR(Sequences!$B$41="",'Slot Times'!$F$25=""),"",'Slot Times'!$F$25+Sequences!$C$41/1440)</f>
        <v/>
      </c>
      <c r="G335" s="34" t="str">
        <f>IF($F335="","",$F335+Sequences!$D$41/1440)</f>
        <v/>
      </c>
      <c r="H335" s="35" t="str">
        <f>IF(Sequences!$B$41="","",Sequences!$E$41)</f>
        <v/>
      </c>
    </row>
    <row r="336" spans="1:8" x14ac:dyDescent="0.2">
      <c r="A336" s="35" t="str">
        <f>IF(Sequences!$B$42="","",Sequences!$F$30)</f>
        <v/>
      </c>
      <c r="B336" s="35" t="str">
        <f>IF(Sequences!$B$42="","",Sequences!$A$30)</f>
        <v/>
      </c>
      <c r="C336" s="20" t="str">
        <f>IF(Sequences!$B$42="","",'Slot Times'!$B$25)</f>
        <v/>
      </c>
      <c r="D336" s="35" t="str">
        <f>IF(Sequences!$B$42="","",'Slot Times'!$G$25)</f>
        <v/>
      </c>
      <c r="E336" s="35" t="str">
        <f>IF(Sequences!$B$42="","",Sequences!$B$42)</f>
        <v/>
      </c>
      <c r="F336" s="34" t="str">
        <f>IF(OR(Sequences!$B$42="",'Slot Times'!$F$25=""),"",'Slot Times'!$F$25+Sequences!$C$42/1440)</f>
        <v/>
      </c>
      <c r="G336" s="34" t="str">
        <f>IF($F336="","",$F336+Sequences!$D$42/1440)</f>
        <v/>
      </c>
      <c r="H336" s="35" t="str">
        <f>IF(Sequences!$B$42="","",Sequences!$E$42)</f>
        <v/>
      </c>
    </row>
    <row r="337" spans="1:8" x14ac:dyDescent="0.2">
      <c r="A337" s="35" t="str">
        <f>IF(Sequences!$B$43="","",Sequences!$F$30)</f>
        <v/>
      </c>
      <c r="B337" s="35" t="str">
        <f>IF(Sequences!$B$43="","",Sequences!$A$30)</f>
        <v/>
      </c>
      <c r="C337" s="20" t="str">
        <f>IF(Sequences!$B$43="","",'Slot Times'!$B$25)</f>
        <v/>
      </c>
      <c r="D337" s="35" t="str">
        <f>IF(Sequences!$B$43="","",'Slot Times'!$G$25)</f>
        <v/>
      </c>
      <c r="E337" s="35" t="str">
        <f>IF(Sequences!$B$43="","",Sequences!$B$43)</f>
        <v/>
      </c>
      <c r="F337" s="34" t="str">
        <f>IF(OR(Sequences!$B$43="",'Slot Times'!$F$25=""),"",'Slot Times'!$F$25+Sequences!$C$43/1440)</f>
        <v/>
      </c>
      <c r="G337" s="34" t="str">
        <f>IF($F337="","",$F337+Sequences!$D$43/1440)</f>
        <v/>
      </c>
      <c r="H337" s="35" t="str">
        <f>IF(Sequences!$B$43="","",Sequences!$E$43)</f>
        <v/>
      </c>
    </row>
    <row r="339" spans="1:8" x14ac:dyDescent="0.2">
      <c r="A339" s="36" t="s">
        <v>363</v>
      </c>
    </row>
    <row r="340" spans="1:8" x14ac:dyDescent="0.2">
      <c r="A340" s="17" t="s">
        <v>364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
  <sheetViews>
    <sheetView tabSelected="1" workbookViewId="0"/>
  </sheetViews>
  <sheetFormatPr baseColWidth="10" defaultColWidth="8.83203125" defaultRowHeight="15" x14ac:dyDescent="0.2"/>
  <cols>
    <col min="1" max="1" width="26" customWidth="1"/>
    <col min="2" max="4" width="12" customWidth="1"/>
    <col min="5" max="5" width="18" customWidth="1"/>
    <col min="6" max="6" width="14" customWidth="1"/>
    <col min="8" max="8" width="17" customWidth="1"/>
  </cols>
  <sheetData>
    <row r="1" spans="1:8" x14ac:dyDescent="0.2">
      <c r="A1" s="12" t="s">
        <v>365</v>
      </c>
      <c r="B1" s="12" t="s">
        <v>190</v>
      </c>
      <c r="C1" s="12" t="s">
        <v>366</v>
      </c>
      <c r="D1" s="12" t="s">
        <v>367</v>
      </c>
      <c r="E1" s="12" t="s">
        <v>368</v>
      </c>
      <c r="F1" s="12" t="s">
        <v>369</v>
      </c>
      <c r="H1" s="37" t="s">
        <v>370</v>
      </c>
    </row>
    <row r="2" spans="1:8" x14ac:dyDescent="0.2">
      <c r="A2" s="35" t="s">
        <v>311</v>
      </c>
      <c r="B2" s="14" t="s">
        <v>371</v>
      </c>
      <c r="C2" s="34">
        <f>MIN('Team Blocks'!$F$2:$F$113)</f>
        <v>0.30208333333333331</v>
      </c>
      <c r="D2" s="34">
        <f>MAX('Team Blocks'!$G$2:$G$113)</f>
        <v>0.54861111111111105</v>
      </c>
      <c r="E2" s="38"/>
      <c r="F2" s="16"/>
      <c r="H2" s="39">
        <v>20</v>
      </c>
    </row>
    <row r="3" spans="1:8" x14ac:dyDescent="0.2">
      <c r="A3" s="35" t="s">
        <v>331</v>
      </c>
      <c r="B3" s="14" t="s">
        <v>371</v>
      </c>
      <c r="C3" s="34">
        <f>MIN('Team Blocks'!$F$114:$F$225)</f>
        <v>0.625</v>
      </c>
      <c r="D3" s="34">
        <f>MAX('Team Blocks'!$G$114:$G$225)</f>
        <v>0.6597222222222221</v>
      </c>
      <c r="E3" s="38">
        <f>IF(OR($C3="",$D2=""),"",($C3-$D2)*1440)</f>
        <v>110.00000000000009</v>
      </c>
      <c r="F3" s="31" t="str">
        <f>IF($E3="","",IF($E3&lt;0,"OVERLAP",IF($E3&lt;$H$2,"TIGHT","OK")))</f>
        <v>OK</v>
      </c>
    </row>
    <row r="4" spans="1:8" x14ac:dyDescent="0.2">
      <c r="A4" s="40" t="s">
        <v>372</v>
      </c>
      <c r="B4" s="41" t="s">
        <v>373</v>
      </c>
      <c r="C4" s="32">
        <v>0.66666666666666663</v>
      </c>
      <c r="D4" s="42" t="s">
        <v>374</v>
      </c>
      <c r="E4" s="38">
        <f>IF(OR($C4="",$D3=""),"",($C4-$D3)*1440)</f>
        <v>10.000000000000124</v>
      </c>
      <c r="F4" s="31" t="str">
        <f>IF($E4="","",IF($E4&lt;0,"OVERLAP",IF($E4&lt;$H$2,"TIGHT","OK")))</f>
        <v>TIGHT</v>
      </c>
    </row>
    <row r="5" spans="1:8" x14ac:dyDescent="0.2">
      <c r="A5" s="40" t="s">
        <v>375</v>
      </c>
      <c r="B5" s="41" t="s">
        <v>373</v>
      </c>
      <c r="C5" s="32">
        <v>0.70833333333333337</v>
      </c>
      <c r="D5" s="42" t="s">
        <v>374</v>
      </c>
      <c r="E5" s="38">
        <f>($C5-$C4)*1440</f>
        <v>60.000000000000107</v>
      </c>
      <c r="F5" s="31" t="str">
        <f>IF($E5="","",IF($E5&lt;0,"OVERLAP",IF($E5&lt;$H$2,"TIGHT","OK")))</f>
        <v>OK</v>
      </c>
    </row>
    <row r="6" spans="1:8" x14ac:dyDescent="0.2">
      <c r="A6" s="35" t="s">
        <v>337</v>
      </c>
      <c r="B6" s="14" t="s">
        <v>371</v>
      </c>
      <c r="C6" s="34">
        <f>MIN('Team Blocks'!$F$226:$F$337)</f>
        <v>0.70833333333333326</v>
      </c>
      <c r="D6" s="34">
        <f>MAX('Team Blocks'!$G$226:$G$337)</f>
        <v>0.80208333333333315</v>
      </c>
      <c r="E6" s="38"/>
      <c r="F6" s="43" t="s">
        <v>376</v>
      </c>
    </row>
    <row r="9" spans="1:8" x14ac:dyDescent="0.2">
      <c r="A9" s="17" t="s">
        <v>377</v>
      </c>
    </row>
    <row r="10" spans="1:8" x14ac:dyDescent="0.2">
      <c r="A10" s="17" t="s">
        <v>378</v>
      </c>
    </row>
    <row r="11" spans="1:8" x14ac:dyDescent="0.2">
      <c r="A11" s="17" t="s">
        <v>379</v>
      </c>
    </row>
    <row r="12" spans="1:8" x14ac:dyDescent="0.2">
      <c r="A12" s="17" t="s">
        <v>380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82"/>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4" customWidth="1"/>
    <col min="3" max="3" width="34" customWidth="1"/>
    <col min="4" max="4" width="10" customWidth="1"/>
    <col min="5" max="5" width="18" customWidth="1"/>
    <col min="6" max="6" width="13" customWidth="1"/>
    <col min="7" max="7" width="18" customWidth="1"/>
    <col min="8" max="8" width="12" customWidth="1"/>
    <col min="9" max="10" width="22" customWidth="1"/>
    <col min="11" max="11" width="16" customWidth="1"/>
  </cols>
  <sheetData>
    <row r="1" spans="1:11" x14ac:dyDescent="0.2">
      <c r="A1" s="12" t="s">
        <v>381</v>
      </c>
      <c r="B1" s="12" t="s">
        <v>382</v>
      </c>
      <c r="C1" s="12" t="s">
        <v>383</v>
      </c>
      <c r="D1" s="12" t="s">
        <v>384</v>
      </c>
      <c r="E1" s="12" t="s">
        <v>385</v>
      </c>
      <c r="F1" s="12" t="s">
        <v>386</v>
      </c>
      <c r="G1" s="12" t="s">
        <v>387</v>
      </c>
      <c r="H1" s="12" t="s">
        <v>388</v>
      </c>
      <c r="I1" s="12" t="s">
        <v>389</v>
      </c>
      <c r="J1" s="12" t="s">
        <v>390</v>
      </c>
      <c r="K1" s="12" t="s">
        <v>391</v>
      </c>
    </row>
    <row r="2" spans="1:11" x14ac:dyDescent="0.2">
      <c r="A2" s="13" t="s">
        <v>392</v>
      </c>
      <c r="B2" s="44">
        <v>46241</v>
      </c>
      <c r="C2" s="13" t="s">
        <v>393</v>
      </c>
      <c r="D2" s="13">
        <v>13</v>
      </c>
      <c r="E2" s="13" t="s">
        <v>394</v>
      </c>
      <c r="F2" s="45">
        <v>0.36180555555555549</v>
      </c>
      <c r="G2" s="45">
        <v>0.38194444444444442</v>
      </c>
      <c r="H2" s="45">
        <v>0.4236111111111111</v>
      </c>
      <c r="I2" s="13" t="s">
        <v>395</v>
      </c>
      <c r="J2" s="13" t="s">
        <v>396</v>
      </c>
      <c r="K2" s="13" t="s">
        <v>202</v>
      </c>
    </row>
    <row r="3" spans="1:11" x14ac:dyDescent="0.2">
      <c r="A3" s="13" t="s">
        <v>392</v>
      </c>
      <c r="B3" s="44">
        <v>46241</v>
      </c>
      <c r="C3" s="13" t="s">
        <v>397</v>
      </c>
      <c r="D3" s="13">
        <v>1</v>
      </c>
      <c r="E3" s="13" t="s">
        <v>398</v>
      </c>
      <c r="F3" s="45">
        <v>0.39513888888888887</v>
      </c>
      <c r="G3" s="45">
        <v>0.40972222222222221</v>
      </c>
      <c r="H3" s="45">
        <v>0.4513888888888889</v>
      </c>
      <c r="I3" s="13" t="s">
        <v>193</v>
      </c>
      <c r="J3" s="13" t="s">
        <v>399</v>
      </c>
      <c r="K3" s="13" t="s">
        <v>195</v>
      </c>
    </row>
    <row r="4" spans="1:11" x14ac:dyDescent="0.2">
      <c r="A4" s="15"/>
      <c r="B4" s="16"/>
      <c r="C4" s="16"/>
      <c r="D4" s="16"/>
      <c r="E4" s="16"/>
      <c r="F4" s="16"/>
      <c r="G4" s="16"/>
      <c r="H4" s="16"/>
      <c r="I4" s="16"/>
      <c r="J4" s="16"/>
      <c r="K4" s="16"/>
    </row>
    <row r="5" spans="1:11" x14ac:dyDescent="0.2">
      <c r="A5" s="16"/>
      <c r="B5" s="16"/>
      <c r="C5" s="16"/>
      <c r="D5" s="16"/>
      <c r="E5" s="16"/>
      <c r="F5" s="16"/>
      <c r="G5" s="16"/>
      <c r="H5" s="16"/>
      <c r="I5" s="16"/>
      <c r="J5" s="16"/>
      <c r="K5" s="16"/>
    </row>
    <row r="6" spans="1:11" x14ac:dyDescent="0.2">
      <c r="A6" s="16"/>
      <c r="B6" s="16"/>
      <c r="C6" s="16"/>
      <c r="D6" s="16"/>
      <c r="E6" s="16"/>
      <c r="F6" s="16"/>
      <c r="G6" s="16"/>
      <c r="H6" s="16"/>
      <c r="I6" s="16"/>
      <c r="J6" s="16"/>
      <c r="K6" s="16"/>
    </row>
    <row r="7" spans="1:11" x14ac:dyDescent="0.2">
      <c r="A7" s="16"/>
      <c r="B7" s="16"/>
      <c r="C7" s="16"/>
      <c r="D7" s="16"/>
      <c r="E7" s="16"/>
      <c r="F7" s="16"/>
      <c r="G7" s="16"/>
      <c r="H7" s="16"/>
      <c r="I7" s="16"/>
      <c r="J7" s="16"/>
      <c r="K7" s="16"/>
    </row>
    <row r="8" spans="1:11" x14ac:dyDescent="0.2">
      <c r="A8" s="16"/>
      <c r="B8" s="16"/>
      <c r="C8" s="16"/>
      <c r="D8" s="16"/>
      <c r="E8" s="16"/>
      <c r="F8" s="16"/>
      <c r="G8" s="16"/>
      <c r="H8" s="16"/>
      <c r="I8" s="16"/>
      <c r="J8" s="16"/>
      <c r="K8" s="16"/>
    </row>
    <row r="9" spans="1:11" x14ac:dyDescent="0.2">
      <c r="A9" s="16"/>
      <c r="B9" s="16"/>
      <c r="C9" s="16"/>
      <c r="D9" s="16"/>
      <c r="E9" s="16"/>
      <c r="F9" s="16"/>
      <c r="G9" s="16"/>
      <c r="H9" s="16"/>
      <c r="I9" s="16"/>
      <c r="J9" s="16"/>
      <c r="K9" s="16"/>
    </row>
    <row r="10" spans="1:11" x14ac:dyDescent="0.2">
      <c r="A10" s="16"/>
      <c r="B10" s="16"/>
      <c r="C10" s="16"/>
      <c r="D10" s="16"/>
      <c r="E10" s="16"/>
      <c r="F10" s="16"/>
      <c r="G10" s="16"/>
      <c r="H10" s="16"/>
      <c r="I10" s="16"/>
      <c r="J10" s="16"/>
      <c r="K10" s="16"/>
    </row>
    <row r="11" spans="1:11" x14ac:dyDescent="0.2">
      <c r="A11" s="16"/>
      <c r="B11" s="16"/>
      <c r="C11" s="16"/>
      <c r="D11" s="16"/>
      <c r="E11" s="16"/>
      <c r="F11" s="16"/>
      <c r="G11" s="16"/>
      <c r="H11" s="16"/>
      <c r="I11" s="16"/>
      <c r="J11" s="16"/>
      <c r="K11" s="16"/>
    </row>
    <row r="12" spans="1:11" x14ac:dyDescent="0.2">
      <c r="A12" s="16"/>
      <c r="B12" s="16"/>
      <c r="C12" s="16"/>
      <c r="D12" s="16"/>
      <c r="E12" s="16"/>
      <c r="F12" s="16"/>
      <c r="G12" s="16"/>
      <c r="H12" s="16"/>
      <c r="I12" s="16"/>
      <c r="J12" s="16"/>
      <c r="K12" s="16"/>
    </row>
    <row r="13" spans="1:11" x14ac:dyDescent="0.2">
      <c r="A13" s="16"/>
      <c r="B13" s="16"/>
      <c r="C13" s="16"/>
      <c r="D13" s="16"/>
      <c r="E13" s="16"/>
      <c r="F13" s="16"/>
      <c r="G13" s="16"/>
      <c r="H13" s="16"/>
      <c r="I13" s="16"/>
      <c r="J13" s="16"/>
      <c r="K13" s="16"/>
    </row>
    <row r="14" spans="1:11" x14ac:dyDescent="0.2">
      <c r="A14" s="16"/>
      <c r="B14" s="16"/>
      <c r="C14" s="16"/>
      <c r="D14" s="16"/>
      <c r="E14" s="16"/>
      <c r="F14" s="16"/>
      <c r="G14" s="16"/>
      <c r="H14" s="16"/>
      <c r="I14" s="16"/>
      <c r="J14" s="16"/>
      <c r="K14" s="16"/>
    </row>
    <row r="15" spans="1:11" x14ac:dyDescent="0.2">
      <c r="A15" s="16"/>
      <c r="B15" s="16"/>
      <c r="C15" s="16"/>
      <c r="D15" s="16"/>
      <c r="E15" s="16"/>
      <c r="F15" s="16"/>
      <c r="G15" s="16"/>
      <c r="H15" s="16"/>
      <c r="I15" s="16"/>
      <c r="J15" s="16"/>
      <c r="K15" s="16"/>
    </row>
    <row r="16" spans="1:11" x14ac:dyDescent="0.2">
      <c r="A16" s="16"/>
      <c r="B16" s="16"/>
      <c r="C16" s="16"/>
      <c r="D16" s="16"/>
      <c r="E16" s="16"/>
      <c r="F16" s="16"/>
      <c r="G16" s="16"/>
      <c r="H16" s="16"/>
      <c r="I16" s="16"/>
      <c r="J16" s="16"/>
      <c r="K16" s="16"/>
    </row>
    <row r="17" spans="1:11" x14ac:dyDescent="0.2">
      <c r="A17" s="16"/>
      <c r="B17" s="16"/>
      <c r="C17" s="16"/>
      <c r="D17" s="16"/>
      <c r="E17" s="16"/>
      <c r="F17" s="16"/>
      <c r="G17" s="16"/>
      <c r="H17" s="16"/>
      <c r="I17" s="16"/>
      <c r="J17" s="16"/>
      <c r="K17" s="16"/>
    </row>
    <row r="18" spans="1:11" x14ac:dyDescent="0.2">
      <c r="A18" s="16"/>
      <c r="B18" s="16"/>
      <c r="C18" s="16"/>
      <c r="D18" s="16"/>
      <c r="E18" s="16"/>
      <c r="F18" s="16"/>
      <c r="G18" s="16"/>
      <c r="H18" s="16"/>
      <c r="I18" s="16"/>
      <c r="J18" s="16"/>
      <c r="K18" s="16"/>
    </row>
    <row r="19" spans="1:11" x14ac:dyDescent="0.2">
      <c r="A19" s="16"/>
      <c r="B19" s="16"/>
      <c r="C19" s="16"/>
      <c r="D19" s="16"/>
      <c r="E19" s="16"/>
      <c r="F19" s="16"/>
      <c r="G19" s="16"/>
      <c r="H19" s="16"/>
      <c r="I19" s="16"/>
      <c r="J19" s="16"/>
      <c r="K19" s="16"/>
    </row>
    <row r="20" spans="1:11" x14ac:dyDescent="0.2">
      <c r="A20" s="16"/>
      <c r="B20" s="16"/>
      <c r="C20" s="16"/>
      <c r="D20" s="16"/>
      <c r="E20" s="16"/>
      <c r="F20" s="16"/>
      <c r="G20" s="16"/>
      <c r="H20" s="16"/>
      <c r="I20" s="16"/>
      <c r="J20" s="16"/>
      <c r="K20" s="16"/>
    </row>
    <row r="21" spans="1:11" x14ac:dyDescent="0.2">
      <c r="A21" s="16"/>
      <c r="B21" s="16"/>
      <c r="C21" s="16"/>
      <c r="D21" s="16"/>
      <c r="E21" s="16"/>
      <c r="F21" s="16"/>
      <c r="G21" s="16"/>
      <c r="H21" s="16"/>
      <c r="I21" s="16"/>
      <c r="J21" s="16"/>
      <c r="K21" s="16"/>
    </row>
    <row r="22" spans="1:11" x14ac:dyDescent="0.2">
      <c r="A22" s="16"/>
      <c r="B22" s="16"/>
      <c r="C22" s="16"/>
      <c r="D22" s="16"/>
      <c r="E22" s="16"/>
      <c r="F22" s="16"/>
      <c r="G22" s="16"/>
      <c r="H22" s="16"/>
      <c r="I22" s="16"/>
      <c r="J22" s="16"/>
      <c r="K22" s="16"/>
    </row>
    <row r="23" spans="1:11" x14ac:dyDescent="0.2">
      <c r="A23" s="16"/>
      <c r="B23" s="16"/>
      <c r="C23" s="16"/>
      <c r="D23" s="16"/>
      <c r="E23" s="16"/>
      <c r="F23" s="16"/>
      <c r="G23" s="16"/>
      <c r="H23" s="16"/>
      <c r="I23" s="16"/>
      <c r="J23" s="16"/>
      <c r="K23" s="16"/>
    </row>
    <row r="24" spans="1:11" x14ac:dyDescent="0.2">
      <c r="A24" s="16"/>
      <c r="B24" s="16"/>
      <c r="C24" s="16"/>
      <c r="D24" s="16"/>
      <c r="E24" s="16"/>
      <c r="F24" s="16"/>
      <c r="G24" s="16"/>
      <c r="H24" s="16"/>
      <c r="I24" s="16"/>
      <c r="J24" s="16"/>
      <c r="K24" s="16"/>
    </row>
    <row r="25" spans="1:11" x14ac:dyDescent="0.2">
      <c r="A25" s="16"/>
      <c r="B25" s="16"/>
      <c r="C25" s="16"/>
      <c r="D25" s="16"/>
      <c r="E25" s="16"/>
      <c r="F25" s="16"/>
      <c r="G25" s="16"/>
      <c r="H25" s="16"/>
      <c r="I25" s="16"/>
      <c r="J25" s="16"/>
      <c r="K25" s="16"/>
    </row>
    <row r="26" spans="1:11" x14ac:dyDescent="0.2">
      <c r="A26" s="16"/>
      <c r="B26" s="16"/>
      <c r="C26" s="16"/>
      <c r="D26" s="16"/>
      <c r="E26" s="16"/>
      <c r="F26" s="16"/>
      <c r="G26" s="16"/>
      <c r="H26" s="16"/>
      <c r="I26" s="16"/>
      <c r="J26" s="16"/>
      <c r="K26" s="16"/>
    </row>
    <row r="27" spans="1:11" x14ac:dyDescent="0.2">
      <c r="A27" s="16"/>
      <c r="B27" s="16"/>
      <c r="C27" s="16"/>
      <c r="D27" s="16"/>
      <c r="E27" s="16"/>
      <c r="F27" s="16"/>
      <c r="G27" s="16"/>
      <c r="H27" s="16"/>
      <c r="I27" s="16"/>
      <c r="J27" s="16"/>
      <c r="K27" s="16"/>
    </row>
    <row r="28" spans="1:11" x14ac:dyDescent="0.2">
      <c r="A28" s="16"/>
      <c r="B28" s="16"/>
      <c r="C28" s="16"/>
      <c r="D28" s="16"/>
      <c r="E28" s="16"/>
      <c r="F28" s="16"/>
      <c r="G28" s="16"/>
      <c r="H28" s="16"/>
      <c r="I28" s="16"/>
      <c r="J28" s="16"/>
      <c r="K28" s="16"/>
    </row>
    <row r="29" spans="1:11" x14ac:dyDescent="0.2">
      <c r="A29" s="16"/>
      <c r="B29" s="16"/>
      <c r="C29" s="16"/>
      <c r="D29" s="16"/>
      <c r="E29" s="16"/>
      <c r="F29" s="16"/>
      <c r="G29" s="16"/>
      <c r="H29" s="16"/>
      <c r="I29" s="16"/>
      <c r="J29" s="16"/>
      <c r="K29" s="16"/>
    </row>
    <row r="30" spans="1:11" x14ac:dyDescent="0.2">
      <c r="A30" s="16"/>
      <c r="B30" s="16"/>
      <c r="C30" s="16"/>
      <c r="D30" s="16"/>
      <c r="E30" s="16"/>
      <c r="F30" s="16"/>
      <c r="G30" s="16"/>
      <c r="H30" s="16"/>
      <c r="I30" s="16"/>
      <c r="J30" s="16"/>
      <c r="K30" s="16"/>
    </row>
    <row r="31" spans="1:11" x14ac:dyDescent="0.2">
      <c r="A31" s="16"/>
      <c r="B31" s="16"/>
      <c r="C31" s="16"/>
      <c r="D31" s="16"/>
      <c r="E31" s="16"/>
      <c r="F31" s="16"/>
      <c r="G31" s="16"/>
      <c r="H31" s="16"/>
      <c r="I31" s="16"/>
      <c r="J31" s="16"/>
      <c r="K31" s="16"/>
    </row>
    <row r="32" spans="1:11" x14ac:dyDescent="0.2">
      <c r="A32" s="16"/>
      <c r="B32" s="16"/>
      <c r="C32" s="16"/>
      <c r="D32" s="16"/>
      <c r="E32" s="16"/>
      <c r="F32" s="16"/>
      <c r="G32" s="16"/>
      <c r="H32" s="16"/>
      <c r="I32" s="16"/>
      <c r="J32" s="16"/>
      <c r="K32" s="16"/>
    </row>
    <row r="33" spans="1:11" x14ac:dyDescent="0.2">
      <c r="A33" s="16"/>
      <c r="B33" s="16"/>
      <c r="C33" s="16"/>
      <c r="D33" s="16"/>
      <c r="E33" s="16"/>
      <c r="F33" s="16"/>
      <c r="G33" s="16"/>
      <c r="H33" s="16"/>
      <c r="I33" s="16"/>
      <c r="J33" s="16"/>
      <c r="K33" s="16"/>
    </row>
    <row r="34" spans="1:11" x14ac:dyDescent="0.2">
      <c r="A34" s="16"/>
      <c r="B34" s="16"/>
      <c r="C34" s="16"/>
      <c r="D34" s="16"/>
      <c r="E34" s="16"/>
      <c r="F34" s="16"/>
      <c r="G34" s="16"/>
      <c r="H34" s="16"/>
      <c r="I34" s="16"/>
      <c r="J34" s="16"/>
      <c r="K34" s="16"/>
    </row>
    <row r="35" spans="1:11" x14ac:dyDescent="0.2">
      <c r="A35" s="16"/>
      <c r="B35" s="16"/>
      <c r="C35" s="16"/>
      <c r="D35" s="16"/>
      <c r="E35" s="16"/>
      <c r="F35" s="16"/>
      <c r="G35" s="16"/>
      <c r="H35" s="16"/>
      <c r="I35" s="16"/>
      <c r="J35" s="16"/>
      <c r="K35" s="16"/>
    </row>
    <row r="36" spans="1:11" x14ac:dyDescent="0.2">
      <c r="A36" s="16"/>
      <c r="B36" s="16"/>
      <c r="C36" s="16"/>
      <c r="D36" s="16"/>
      <c r="E36" s="16"/>
      <c r="F36" s="16"/>
      <c r="G36" s="16"/>
      <c r="H36" s="16"/>
      <c r="I36" s="16"/>
      <c r="J36" s="16"/>
      <c r="K36" s="16"/>
    </row>
    <row r="37" spans="1:11" x14ac:dyDescent="0.2">
      <c r="A37" s="16"/>
      <c r="B37" s="16"/>
      <c r="C37" s="16"/>
      <c r="D37" s="16"/>
      <c r="E37" s="16"/>
      <c r="F37" s="16"/>
      <c r="G37" s="16"/>
      <c r="H37" s="16"/>
      <c r="I37" s="16"/>
      <c r="J37" s="16"/>
      <c r="K37" s="16"/>
    </row>
    <row r="38" spans="1:11" x14ac:dyDescent="0.2">
      <c r="A38" s="16"/>
      <c r="B38" s="16"/>
      <c r="C38" s="16"/>
      <c r="D38" s="16"/>
      <c r="E38" s="16"/>
      <c r="F38" s="16"/>
      <c r="G38" s="16"/>
      <c r="H38" s="16"/>
      <c r="I38" s="16"/>
      <c r="J38" s="16"/>
      <c r="K38" s="16"/>
    </row>
    <row r="39" spans="1:11" x14ac:dyDescent="0.2">
      <c r="A39" s="16"/>
      <c r="B39" s="16"/>
      <c r="C39" s="16"/>
      <c r="D39" s="16"/>
      <c r="E39" s="16"/>
      <c r="F39" s="16"/>
      <c r="G39" s="16"/>
      <c r="H39" s="16"/>
      <c r="I39" s="16"/>
      <c r="J39" s="16"/>
      <c r="K39" s="16"/>
    </row>
    <row r="40" spans="1:11" x14ac:dyDescent="0.2">
      <c r="A40" s="16"/>
      <c r="B40" s="16"/>
      <c r="C40" s="16"/>
      <c r="D40" s="16"/>
      <c r="E40" s="16"/>
      <c r="F40" s="16"/>
      <c r="G40" s="16"/>
      <c r="H40" s="16"/>
      <c r="I40" s="16"/>
      <c r="J40" s="16"/>
      <c r="K40" s="16"/>
    </row>
    <row r="41" spans="1:11" x14ac:dyDescent="0.2">
      <c r="A41" s="16"/>
      <c r="B41" s="16"/>
      <c r="C41" s="16"/>
      <c r="D41" s="16"/>
      <c r="E41" s="16"/>
      <c r="F41" s="16"/>
      <c r="G41" s="16"/>
      <c r="H41" s="16"/>
      <c r="I41" s="16"/>
      <c r="J41" s="16"/>
      <c r="K41" s="16"/>
    </row>
    <row r="42" spans="1:11" x14ac:dyDescent="0.2">
      <c r="A42" s="16"/>
      <c r="B42" s="16"/>
      <c r="C42" s="16"/>
      <c r="D42" s="16"/>
      <c r="E42" s="16"/>
      <c r="F42" s="16"/>
      <c r="G42" s="16"/>
      <c r="H42" s="16"/>
      <c r="I42" s="16"/>
      <c r="J42" s="16"/>
      <c r="K42" s="16"/>
    </row>
    <row r="43" spans="1:11" x14ac:dyDescent="0.2">
      <c r="A43" s="16"/>
      <c r="B43" s="16"/>
      <c r="C43" s="16"/>
      <c r="D43" s="16"/>
      <c r="E43" s="16"/>
      <c r="F43" s="16"/>
      <c r="G43" s="16"/>
      <c r="H43" s="16"/>
      <c r="I43" s="16"/>
      <c r="J43" s="16"/>
      <c r="K43" s="16"/>
    </row>
    <row r="44" spans="1:11" x14ac:dyDescent="0.2">
      <c r="A44" s="16"/>
      <c r="B44" s="16"/>
      <c r="C44" s="16"/>
      <c r="D44" s="16"/>
      <c r="E44" s="16"/>
      <c r="F44" s="16"/>
      <c r="G44" s="16"/>
      <c r="H44" s="16"/>
      <c r="I44" s="16"/>
      <c r="J44" s="16"/>
      <c r="K44" s="16"/>
    </row>
    <row r="45" spans="1:11" x14ac:dyDescent="0.2">
      <c r="A45" s="16"/>
      <c r="B45" s="16"/>
      <c r="C45" s="16"/>
      <c r="D45" s="16"/>
      <c r="E45" s="16"/>
      <c r="F45" s="16"/>
      <c r="G45" s="16"/>
      <c r="H45" s="16"/>
      <c r="I45" s="16"/>
      <c r="J45" s="16"/>
      <c r="K45" s="16"/>
    </row>
    <row r="46" spans="1:11" x14ac:dyDescent="0.2">
      <c r="A46" s="16"/>
      <c r="B46" s="16"/>
      <c r="C46" s="16"/>
      <c r="D46" s="16"/>
      <c r="E46" s="16"/>
      <c r="F46" s="16"/>
      <c r="G46" s="16"/>
      <c r="H46" s="16"/>
      <c r="I46" s="16"/>
      <c r="J46" s="16"/>
      <c r="K46" s="16"/>
    </row>
    <row r="47" spans="1:11" x14ac:dyDescent="0.2">
      <c r="A47" s="16"/>
      <c r="B47" s="16"/>
      <c r="C47" s="16"/>
      <c r="D47" s="16"/>
      <c r="E47" s="16"/>
      <c r="F47" s="16"/>
      <c r="G47" s="16"/>
      <c r="H47" s="16"/>
      <c r="I47" s="16"/>
      <c r="J47" s="16"/>
      <c r="K47" s="16"/>
    </row>
    <row r="48" spans="1:11" x14ac:dyDescent="0.2">
      <c r="A48" s="16"/>
      <c r="B48" s="16"/>
      <c r="C48" s="16"/>
      <c r="D48" s="16"/>
      <c r="E48" s="16"/>
      <c r="F48" s="16"/>
      <c r="G48" s="16"/>
      <c r="H48" s="16"/>
      <c r="I48" s="16"/>
      <c r="J48" s="16"/>
      <c r="K48" s="16"/>
    </row>
    <row r="49" spans="1:11" x14ac:dyDescent="0.2">
      <c r="A49" s="16"/>
      <c r="B49" s="16"/>
      <c r="C49" s="16"/>
      <c r="D49" s="16"/>
      <c r="E49" s="16"/>
      <c r="F49" s="16"/>
      <c r="G49" s="16"/>
      <c r="H49" s="16"/>
      <c r="I49" s="16"/>
      <c r="J49" s="16"/>
      <c r="K49" s="16"/>
    </row>
    <row r="50" spans="1:11" x14ac:dyDescent="0.2">
      <c r="A50" s="16"/>
      <c r="B50" s="16"/>
      <c r="C50" s="16"/>
      <c r="D50" s="16"/>
      <c r="E50" s="16"/>
      <c r="F50" s="16"/>
      <c r="G50" s="16"/>
      <c r="H50" s="16"/>
      <c r="I50" s="16"/>
      <c r="J50" s="16"/>
      <c r="K50" s="16"/>
    </row>
    <row r="51" spans="1:11" x14ac:dyDescent="0.2">
      <c r="A51" s="16"/>
      <c r="B51" s="16"/>
      <c r="C51" s="16"/>
      <c r="D51" s="16"/>
      <c r="E51" s="16"/>
      <c r="F51" s="16"/>
      <c r="G51" s="16"/>
      <c r="H51" s="16"/>
      <c r="I51" s="16"/>
      <c r="J51" s="16"/>
      <c r="K51" s="16"/>
    </row>
    <row r="52" spans="1:11" x14ac:dyDescent="0.2">
      <c r="A52" s="16"/>
      <c r="B52" s="16"/>
      <c r="C52" s="16"/>
      <c r="D52" s="16"/>
      <c r="E52" s="16"/>
      <c r="F52" s="16"/>
      <c r="G52" s="16"/>
      <c r="H52" s="16"/>
      <c r="I52" s="16"/>
      <c r="J52" s="16"/>
      <c r="K52" s="16"/>
    </row>
    <row r="53" spans="1:11" x14ac:dyDescent="0.2">
      <c r="A53" s="16"/>
      <c r="B53" s="16"/>
      <c r="C53" s="16"/>
      <c r="D53" s="16"/>
      <c r="E53" s="16"/>
      <c r="F53" s="16"/>
      <c r="G53" s="16"/>
      <c r="H53" s="16"/>
      <c r="I53" s="16"/>
      <c r="J53" s="16"/>
      <c r="K53" s="16"/>
    </row>
    <row r="54" spans="1:11" x14ac:dyDescent="0.2">
      <c r="A54" s="16"/>
      <c r="B54" s="16"/>
      <c r="C54" s="16"/>
      <c r="D54" s="16"/>
      <c r="E54" s="16"/>
      <c r="F54" s="16"/>
      <c r="G54" s="16"/>
      <c r="H54" s="16"/>
      <c r="I54" s="16"/>
      <c r="J54" s="16"/>
      <c r="K54" s="16"/>
    </row>
    <row r="55" spans="1:11" x14ac:dyDescent="0.2">
      <c r="A55" s="16"/>
      <c r="B55" s="16"/>
      <c r="C55" s="16"/>
      <c r="D55" s="16"/>
      <c r="E55" s="16"/>
      <c r="F55" s="16"/>
      <c r="G55" s="16"/>
      <c r="H55" s="16"/>
      <c r="I55" s="16"/>
      <c r="J55" s="16"/>
      <c r="K55" s="16"/>
    </row>
    <row r="56" spans="1:11" x14ac:dyDescent="0.2">
      <c r="A56" s="16"/>
      <c r="B56" s="16"/>
      <c r="C56" s="16"/>
      <c r="D56" s="16"/>
      <c r="E56" s="16"/>
      <c r="F56" s="16"/>
      <c r="G56" s="16"/>
      <c r="H56" s="16"/>
      <c r="I56" s="16"/>
      <c r="J56" s="16"/>
      <c r="K56" s="16"/>
    </row>
    <row r="57" spans="1:11" x14ac:dyDescent="0.2">
      <c r="A57" s="16"/>
      <c r="B57" s="16"/>
      <c r="C57" s="16"/>
      <c r="D57" s="16"/>
      <c r="E57" s="16"/>
      <c r="F57" s="16"/>
      <c r="G57" s="16"/>
      <c r="H57" s="16"/>
      <c r="I57" s="16"/>
      <c r="J57" s="16"/>
      <c r="K57" s="16"/>
    </row>
    <row r="58" spans="1:11" x14ac:dyDescent="0.2">
      <c r="A58" s="16"/>
      <c r="B58" s="16"/>
      <c r="C58" s="16"/>
      <c r="D58" s="16"/>
      <c r="E58" s="16"/>
      <c r="F58" s="16"/>
      <c r="G58" s="16"/>
      <c r="H58" s="16"/>
      <c r="I58" s="16"/>
      <c r="J58" s="16"/>
      <c r="K58" s="16"/>
    </row>
    <row r="59" spans="1:11" x14ac:dyDescent="0.2">
      <c r="A59" s="16"/>
      <c r="B59" s="16"/>
      <c r="C59" s="16"/>
      <c r="D59" s="16"/>
      <c r="E59" s="16"/>
      <c r="F59" s="16"/>
      <c r="G59" s="16"/>
      <c r="H59" s="16"/>
      <c r="I59" s="16"/>
      <c r="J59" s="16"/>
      <c r="K59" s="16"/>
    </row>
    <row r="60" spans="1:11" x14ac:dyDescent="0.2">
      <c r="A60" s="16"/>
      <c r="B60" s="16"/>
      <c r="C60" s="16"/>
      <c r="D60" s="16"/>
      <c r="E60" s="16"/>
      <c r="F60" s="16"/>
      <c r="G60" s="16"/>
      <c r="H60" s="16"/>
      <c r="I60" s="16"/>
      <c r="J60" s="16"/>
      <c r="K60" s="16"/>
    </row>
    <row r="61" spans="1:11" x14ac:dyDescent="0.2">
      <c r="A61" s="16"/>
      <c r="B61" s="16"/>
      <c r="C61" s="16"/>
      <c r="D61" s="16"/>
      <c r="E61" s="16"/>
      <c r="F61" s="16"/>
      <c r="G61" s="16"/>
      <c r="H61" s="16"/>
      <c r="I61" s="16"/>
      <c r="J61" s="16"/>
      <c r="K61" s="16"/>
    </row>
    <row r="62" spans="1:11" x14ac:dyDescent="0.2">
      <c r="A62" s="16"/>
      <c r="B62" s="16"/>
      <c r="C62" s="16"/>
      <c r="D62" s="16"/>
      <c r="E62" s="16"/>
      <c r="F62" s="16"/>
      <c r="G62" s="16"/>
      <c r="H62" s="16"/>
      <c r="I62" s="16"/>
      <c r="J62" s="16"/>
      <c r="K62" s="16"/>
    </row>
    <row r="63" spans="1:11" x14ac:dyDescent="0.2">
      <c r="A63" s="16"/>
      <c r="B63" s="16"/>
      <c r="C63" s="16"/>
      <c r="D63" s="16"/>
      <c r="E63" s="16"/>
      <c r="F63" s="16"/>
      <c r="G63" s="16"/>
      <c r="H63" s="16"/>
      <c r="I63" s="16"/>
      <c r="J63" s="16"/>
      <c r="K63" s="16"/>
    </row>
    <row r="64" spans="1:11" x14ac:dyDescent="0.2">
      <c r="A64" s="16"/>
      <c r="B64" s="16"/>
      <c r="C64" s="16"/>
      <c r="D64" s="16"/>
      <c r="E64" s="16"/>
      <c r="F64" s="16"/>
      <c r="G64" s="16"/>
      <c r="H64" s="16"/>
      <c r="I64" s="16"/>
      <c r="J64" s="16"/>
      <c r="K64" s="16"/>
    </row>
    <row r="65" spans="1:11" x14ac:dyDescent="0.2">
      <c r="A65" s="16"/>
      <c r="B65" s="16"/>
      <c r="C65" s="16"/>
      <c r="D65" s="16"/>
      <c r="E65" s="16"/>
      <c r="F65" s="16"/>
      <c r="G65" s="16"/>
      <c r="H65" s="16"/>
      <c r="I65" s="16"/>
      <c r="J65" s="16"/>
      <c r="K65" s="16"/>
    </row>
    <row r="66" spans="1:11" x14ac:dyDescent="0.2">
      <c r="A66" s="16"/>
      <c r="B66" s="16"/>
      <c r="C66" s="16"/>
      <c r="D66" s="16"/>
      <c r="E66" s="16"/>
      <c r="F66" s="16"/>
      <c r="G66" s="16"/>
      <c r="H66" s="16"/>
      <c r="I66" s="16"/>
      <c r="J66" s="16"/>
      <c r="K66" s="16"/>
    </row>
    <row r="67" spans="1:11" x14ac:dyDescent="0.2">
      <c r="A67" s="16"/>
      <c r="B67" s="16"/>
      <c r="C67" s="16"/>
      <c r="D67" s="16"/>
      <c r="E67" s="16"/>
      <c r="F67" s="16"/>
      <c r="G67" s="16"/>
      <c r="H67" s="16"/>
      <c r="I67" s="16"/>
      <c r="J67" s="16"/>
      <c r="K67" s="16"/>
    </row>
    <row r="68" spans="1:11" x14ac:dyDescent="0.2">
      <c r="A68" s="16"/>
      <c r="B68" s="16"/>
      <c r="C68" s="16"/>
      <c r="D68" s="16"/>
      <c r="E68" s="16"/>
      <c r="F68" s="16"/>
      <c r="G68" s="16"/>
      <c r="H68" s="16"/>
      <c r="I68" s="16"/>
      <c r="J68" s="16"/>
      <c r="K68" s="16"/>
    </row>
    <row r="69" spans="1:11" x14ac:dyDescent="0.2">
      <c r="A69" s="16"/>
      <c r="B69" s="16"/>
      <c r="C69" s="16"/>
      <c r="D69" s="16"/>
      <c r="E69" s="16"/>
      <c r="F69" s="16"/>
      <c r="G69" s="16"/>
      <c r="H69" s="16"/>
      <c r="I69" s="16"/>
      <c r="J69" s="16"/>
      <c r="K69" s="16"/>
    </row>
    <row r="70" spans="1:11" x14ac:dyDescent="0.2">
      <c r="A70" s="16"/>
      <c r="B70" s="16"/>
      <c r="C70" s="16"/>
      <c r="D70" s="16"/>
      <c r="E70" s="16"/>
      <c r="F70" s="16"/>
      <c r="G70" s="16"/>
      <c r="H70" s="16"/>
      <c r="I70" s="16"/>
      <c r="J70" s="16"/>
      <c r="K70" s="16"/>
    </row>
    <row r="71" spans="1:11" x14ac:dyDescent="0.2">
      <c r="A71" s="16"/>
      <c r="B71" s="16"/>
      <c r="C71" s="16"/>
      <c r="D71" s="16"/>
      <c r="E71" s="16"/>
      <c r="F71" s="16"/>
      <c r="G71" s="16"/>
      <c r="H71" s="16"/>
      <c r="I71" s="16"/>
      <c r="J71" s="16"/>
      <c r="K71" s="16"/>
    </row>
    <row r="72" spans="1:11" x14ac:dyDescent="0.2">
      <c r="A72" s="16"/>
      <c r="B72" s="16"/>
      <c r="C72" s="16"/>
      <c r="D72" s="16"/>
      <c r="E72" s="16"/>
      <c r="F72" s="16"/>
      <c r="G72" s="16"/>
      <c r="H72" s="16"/>
      <c r="I72" s="16"/>
      <c r="J72" s="16"/>
      <c r="K72" s="16"/>
    </row>
    <row r="73" spans="1:11" x14ac:dyDescent="0.2">
      <c r="A73" s="16"/>
      <c r="B73" s="16"/>
      <c r="C73" s="16"/>
      <c r="D73" s="16"/>
      <c r="E73" s="16"/>
      <c r="F73" s="16"/>
      <c r="G73" s="16"/>
      <c r="H73" s="16"/>
      <c r="I73" s="16"/>
      <c r="J73" s="16"/>
      <c r="K73" s="16"/>
    </row>
    <row r="74" spans="1:11" x14ac:dyDescent="0.2">
      <c r="A74" s="16"/>
      <c r="B74" s="16"/>
      <c r="C74" s="16"/>
      <c r="D74" s="16"/>
      <c r="E74" s="16"/>
      <c r="F74" s="16"/>
      <c r="G74" s="16"/>
      <c r="H74" s="16"/>
      <c r="I74" s="16"/>
      <c r="J74" s="16"/>
      <c r="K74" s="16"/>
    </row>
    <row r="75" spans="1:11" x14ac:dyDescent="0.2">
      <c r="A75" s="16"/>
      <c r="B75" s="16"/>
      <c r="C75" s="16"/>
      <c r="D75" s="16"/>
      <c r="E75" s="16"/>
      <c r="F75" s="16"/>
      <c r="G75" s="16"/>
      <c r="H75" s="16"/>
      <c r="I75" s="16"/>
      <c r="J75" s="16"/>
      <c r="K75" s="16"/>
    </row>
    <row r="76" spans="1:11" x14ac:dyDescent="0.2">
      <c r="A76" s="16"/>
      <c r="B76" s="16"/>
      <c r="C76" s="16"/>
      <c r="D76" s="16"/>
      <c r="E76" s="16"/>
      <c r="F76" s="16"/>
      <c r="G76" s="16"/>
      <c r="H76" s="16"/>
      <c r="I76" s="16"/>
      <c r="J76" s="16"/>
      <c r="K76" s="16"/>
    </row>
    <row r="77" spans="1:11" x14ac:dyDescent="0.2">
      <c r="A77" s="16"/>
      <c r="B77" s="16"/>
      <c r="C77" s="16"/>
      <c r="D77" s="16"/>
      <c r="E77" s="16"/>
      <c r="F77" s="16"/>
      <c r="G77" s="16"/>
      <c r="H77" s="16"/>
      <c r="I77" s="16"/>
      <c r="J77" s="16"/>
      <c r="K77" s="16"/>
    </row>
    <row r="78" spans="1:11" x14ac:dyDescent="0.2">
      <c r="A78" s="16"/>
      <c r="B78" s="16"/>
      <c r="C78" s="16"/>
      <c r="D78" s="16"/>
      <c r="E78" s="16"/>
      <c r="F78" s="16"/>
      <c r="G78" s="16"/>
      <c r="H78" s="16"/>
      <c r="I78" s="16"/>
      <c r="J78" s="16"/>
      <c r="K78" s="16"/>
    </row>
    <row r="79" spans="1:11" x14ac:dyDescent="0.2">
      <c r="A79" s="16"/>
      <c r="B79" s="16"/>
      <c r="C79" s="16"/>
      <c r="D79" s="16"/>
      <c r="E79" s="16"/>
      <c r="F79" s="16"/>
      <c r="G79" s="16"/>
      <c r="H79" s="16"/>
      <c r="I79" s="16"/>
      <c r="J79" s="16"/>
      <c r="K79" s="16"/>
    </row>
    <row r="82" spans="1:1" x14ac:dyDescent="0.2">
      <c r="A82" s="17" t="s">
        <v>400</v>
      </c>
    </row>
  </sheetData>
  <dataValidations count="1">
    <dataValidation type="list" allowBlank="1" sqref="A2:A79" xr:uid="{00000000-0002-0000-0C00-000000000000}">
      <formula1>"Arrival,Departure"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People</vt:lpstr>
      <vt:lpstr>Teams</vt:lpstr>
      <vt:lpstr>Roster</vt:lpstr>
      <vt:lpstr>Thursday</vt:lpstr>
      <vt:lpstr>Friday</vt:lpstr>
      <vt:lpstr>Saturday</vt:lpstr>
      <vt:lpstr>Sunday</vt:lpstr>
      <vt:lpstr>Sequences</vt:lpstr>
      <vt:lpstr>Slot Times</vt:lpstr>
      <vt:lpstr>Team Blocks</vt:lpstr>
      <vt:lpstr>Timeline</vt:lpstr>
      <vt:lpstr>Airport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Sinha, Rishabh</cp:lastModifiedBy>
  <dcterms:created xsi:type="dcterms:W3CDTF">2026-08-05T06:37:55Z</dcterms:created>
  <dcterms:modified xsi:type="dcterms:W3CDTF">2026-08-05T07:22:00Z</dcterms:modified>
</cp:coreProperties>
</file>