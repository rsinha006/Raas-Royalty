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rishabhsinha/Projects/Royalty/"/>
    </mc:Choice>
  </mc:AlternateContent>
  <xr:revisionPtr revIDLastSave="0" documentId="8_{ED7391EF-147B-F449-8728-C6B3A1DD462D}" xr6:coauthVersionLast="47" xr6:coauthVersionMax="47" xr10:uidLastSave="{00000000-0000-0000-0000-000000000000}"/>
  <bookViews>
    <workbookView xWindow="0" yWindow="740" windowWidth="29400" windowHeight="18380" xr2:uid="{00000000-000D-0000-FFFF-FFFF00000000}"/>
  </bookViews>
  <sheets>
    <sheet name="Instructions" sheetId="1" r:id="rId1"/>
    <sheet name="People" sheetId="2" r:id="rId2"/>
    <sheet name="Teams" sheetId="3" r:id="rId3"/>
    <sheet name="Roster" sheetId="4" r:id="rId4"/>
    <sheet name="Thursday" sheetId="5" r:id="rId5"/>
    <sheet name="Friday" sheetId="6" r:id="rId6"/>
    <sheet name="Saturday" sheetId="7" r:id="rId7"/>
    <sheet name="Sunday" sheetId="8" r:id="rId8"/>
    <sheet name="Airport"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1" i="8" l="1"/>
  <c r="C130" i="8"/>
  <c r="C129" i="8"/>
  <c r="C128" i="8"/>
  <c r="C127" i="8"/>
  <c r="C85" i="8"/>
  <c r="C84" i="8"/>
  <c r="C83" i="8"/>
  <c r="C82" i="8"/>
  <c r="C81" i="8"/>
  <c r="C77" i="8"/>
  <c r="C76" i="8"/>
  <c r="C75" i="8"/>
  <c r="C74" i="8"/>
  <c r="C73" i="8"/>
  <c r="C72" i="8"/>
  <c r="C71" i="8"/>
  <c r="C70" i="8"/>
  <c r="C68" i="8"/>
  <c r="C67" i="8"/>
  <c r="C66" i="8"/>
  <c r="C65" i="8"/>
  <c r="C64" i="8"/>
  <c r="C63" i="8"/>
  <c r="C62" i="8"/>
  <c r="C61" i="8"/>
  <c r="C60" i="8"/>
  <c r="C59" i="8"/>
  <c r="C58" i="8"/>
  <c r="C57" i="8"/>
  <c r="C56" i="8"/>
  <c r="C55" i="8"/>
  <c r="C54" i="8"/>
  <c r="C53" i="8"/>
  <c r="C52" i="8"/>
  <c r="C51" i="8"/>
  <c r="C50" i="8"/>
  <c r="C49" i="8"/>
  <c r="C48" i="8"/>
  <c r="C47" i="8"/>
  <c r="C46" i="8"/>
  <c r="C45" i="8"/>
  <c r="C44" i="8"/>
  <c r="C43" i="8"/>
  <c r="C42" i="8"/>
  <c r="C41" i="8"/>
  <c r="C40" i="8"/>
  <c r="C39" i="8"/>
  <c r="C38" i="8"/>
  <c r="C37" i="8"/>
  <c r="C36" i="8"/>
  <c r="C35" i="8"/>
  <c r="C34" i="8"/>
  <c r="C33" i="8"/>
  <c r="C32" i="8"/>
  <c r="C31" i="8"/>
  <c r="C30" i="8"/>
  <c r="C29" i="8"/>
  <c r="C28" i="8"/>
  <c r="C27" i="8"/>
  <c r="C26" i="8"/>
  <c r="C25" i="8"/>
  <c r="C24" i="8"/>
  <c r="C23" i="8"/>
  <c r="C22" i="8"/>
  <c r="C21" i="8"/>
  <c r="C20" i="8"/>
  <c r="C19" i="8"/>
  <c r="C18" i="8"/>
  <c r="C17" i="8"/>
  <c r="C16" i="8"/>
  <c r="C15" i="8"/>
  <c r="C14" i="8"/>
  <c r="C13" i="8"/>
  <c r="C12" i="8"/>
  <c r="C11" i="8"/>
  <c r="C10" i="8"/>
  <c r="C9" i="8"/>
  <c r="C8" i="8"/>
  <c r="C7" i="8"/>
  <c r="C6" i="8"/>
  <c r="C5" i="8"/>
  <c r="C4" i="8"/>
  <c r="D1" i="8"/>
  <c r="C131" i="7"/>
  <c r="C130" i="7"/>
  <c r="C129" i="7"/>
  <c r="C128" i="7"/>
  <c r="C127" i="7"/>
  <c r="B126" i="7"/>
  <c r="C126" i="7" s="1"/>
  <c r="B125" i="7"/>
  <c r="C125" i="7" s="1"/>
  <c r="B124" i="7"/>
  <c r="C124" i="7" s="1"/>
  <c r="C123" i="7"/>
  <c r="B123" i="7"/>
  <c r="B122" i="7"/>
  <c r="C122" i="7" s="1"/>
  <c r="A122" i="7"/>
  <c r="C121" i="7"/>
  <c r="B121" i="7"/>
  <c r="C120" i="7"/>
  <c r="B120" i="7"/>
  <c r="C119" i="7"/>
  <c r="B119" i="7"/>
  <c r="C118" i="7"/>
  <c r="B118" i="7"/>
  <c r="C117" i="7"/>
  <c r="B117" i="7"/>
  <c r="A117" i="7"/>
  <c r="C116" i="7"/>
  <c r="B116" i="7"/>
  <c r="B115" i="7"/>
  <c r="C115" i="7" s="1"/>
  <c r="B114" i="7"/>
  <c r="C114" i="7" s="1"/>
  <c r="B113" i="7"/>
  <c r="C113" i="7" s="1"/>
  <c r="C112" i="7"/>
  <c r="B112" i="7"/>
  <c r="A112" i="7"/>
  <c r="C111" i="7"/>
  <c r="B111" i="7"/>
  <c r="C110" i="7"/>
  <c r="B110" i="7"/>
  <c r="C109" i="7"/>
  <c r="B109" i="7"/>
  <c r="B108" i="7"/>
  <c r="C108" i="7" s="1"/>
  <c r="C107" i="7"/>
  <c r="B107" i="7"/>
  <c r="A107" i="7"/>
  <c r="B106" i="7"/>
  <c r="C106" i="7" s="1"/>
  <c r="C105" i="7"/>
  <c r="B105" i="7"/>
  <c r="B104" i="7"/>
  <c r="C104" i="7" s="1"/>
  <c r="B103" i="7"/>
  <c r="C103" i="7" s="1"/>
  <c r="B102" i="7"/>
  <c r="C102" i="7" s="1"/>
  <c r="A102" i="7"/>
  <c r="B101" i="7"/>
  <c r="C101" i="7" s="1"/>
  <c r="C100" i="7"/>
  <c r="B100" i="7"/>
  <c r="C99" i="7"/>
  <c r="B99" i="7"/>
  <c r="C98" i="7"/>
  <c r="B98" i="7"/>
  <c r="B97" i="7"/>
  <c r="C97" i="7" s="1"/>
  <c r="A97" i="7"/>
  <c r="B96" i="7"/>
  <c r="C96" i="7" s="1"/>
  <c r="B95" i="7"/>
  <c r="C95" i="7" s="1"/>
  <c r="C94" i="7"/>
  <c r="B94" i="7"/>
  <c r="B93" i="7"/>
  <c r="C93" i="7" s="1"/>
  <c r="B92" i="7"/>
  <c r="C92" i="7" s="1"/>
  <c r="A92" i="7"/>
  <c r="C91" i="7"/>
  <c r="B91" i="7"/>
  <c r="B90" i="7"/>
  <c r="C90" i="7" s="1"/>
  <c r="C89" i="7"/>
  <c r="B89" i="7"/>
  <c r="C88" i="7"/>
  <c r="B88" i="7"/>
  <c r="C87" i="7"/>
  <c r="B87" i="7"/>
  <c r="A87" i="7"/>
  <c r="C85" i="7"/>
  <c r="C84" i="7"/>
  <c r="C83" i="7"/>
  <c r="C82" i="7"/>
  <c r="C81" i="7"/>
  <c r="C77" i="7"/>
  <c r="A77" i="7" s="1"/>
  <c r="C76" i="7"/>
  <c r="A76" i="7" s="1"/>
  <c r="C75" i="7"/>
  <c r="A75" i="7" s="1"/>
  <c r="C74" i="7"/>
  <c r="A74" i="7" s="1"/>
  <c r="C73" i="7"/>
  <c r="A73" i="7" s="1"/>
  <c r="C72" i="7"/>
  <c r="A72" i="7" s="1"/>
  <c r="C71" i="7"/>
  <c r="A71" i="7" s="1"/>
  <c r="C70" i="7"/>
  <c r="A70" i="7" s="1"/>
  <c r="C68" i="7"/>
  <c r="C67" i="7"/>
  <c r="C66" i="7"/>
  <c r="C65" i="7"/>
  <c r="C64" i="7"/>
  <c r="C63" i="7"/>
  <c r="C62" i="7"/>
  <c r="C61" i="7"/>
  <c r="C60" i="7"/>
  <c r="C59" i="7"/>
  <c r="C58" i="7"/>
  <c r="C57" i="7"/>
  <c r="C56" i="7"/>
  <c r="C55" i="7"/>
  <c r="C54" i="7"/>
  <c r="C53" i="7"/>
  <c r="C52" i="7"/>
  <c r="C51" i="7"/>
  <c r="C50" i="7"/>
  <c r="C49" i="7"/>
  <c r="C48" i="7"/>
  <c r="C47" i="7"/>
  <c r="C46" i="7"/>
  <c r="C45" i="7"/>
  <c r="C44" i="7"/>
  <c r="C43" i="7"/>
  <c r="C42" i="7"/>
  <c r="C41" i="7"/>
  <c r="C40" i="7"/>
  <c r="C39" i="7"/>
  <c r="C38" i="7"/>
  <c r="C37" i="7"/>
  <c r="C36" i="7"/>
  <c r="C35" i="7"/>
  <c r="C34" i="7"/>
  <c r="C33" i="7"/>
  <c r="C32" i="7"/>
  <c r="C31" i="7"/>
  <c r="C30" i="7"/>
  <c r="C29" i="7"/>
  <c r="C28" i="7"/>
  <c r="C27" i="7"/>
  <c r="C26" i="7"/>
  <c r="C25" i="7"/>
  <c r="C24" i="7"/>
  <c r="C23" i="7"/>
  <c r="C22" i="7"/>
  <c r="C21" i="7"/>
  <c r="C20" i="7"/>
  <c r="C19" i="7"/>
  <c r="C18" i="7"/>
  <c r="C17" i="7"/>
  <c r="C16" i="7"/>
  <c r="C15" i="7"/>
  <c r="C14" i="7"/>
  <c r="C13" i="7"/>
  <c r="C12" i="7"/>
  <c r="C11" i="7"/>
  <c r="C10" i="7"/>
  <c r="C9" i="7"/>
  <c r="C8" i="7"/>
  <c r="C7" i="7"/>
  <c r="C6" i="7"/>
  <c r="C5" i="7"/>
  <c r="C4" i="7"/>
  <c r="CH1" i="7"/>
  <c r="D1" i="7"/>
  <c r="C131" i="6"/>
  <c r="C130" i="6"/>
  <c r="C129" i="6"/>
  <c r="C128" i="6"/>
  <c r="C127" i="6"/>
  <c r="C85" i="6"/>
  <c r="C84" i="6"/>
  <c r="C83" i="6"/>
  <c r="C82" i="6"/>
  <c r="C81" i="6"/>
  <c r="C77" i="6"/>
  <c r="C76" i="6"/>
  <c r="C75" i="6"/>
  <c r="C74" i="6"/>
  <c r="C73" i="6"/>
  <c r="C72" i="6"/>
  <c r="C71" i="6"/>
  <c r="C70"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C4" i="6"/>
  <c r="CB1" i="6"/>
  <c r="D1" i="6"/>
  <c r="C131" i="5"/>
  <c r="C130" i="5"/>
  <c r="C129" i="5"/>
  <c r="C128" i="5"/>
  <c r="C127" i="5"/>
  <c r="C85" i="5"/>
  <c r="C84" i="5"/>
  <c r="C83" i="5"/>
  <c r="C82" i="5"/>
  <c r="C81" i="5"/>
  <c r="C77" i="5"/>
  <c r="C76" i="5"/>
  <c r="C75" i="5"/>
  <c r="C74" i="5"/>
  <c r="C73" i="5"/>
  <c r="C72" i="5"/>
  <c r="C71" i="5"/>
  <c r="C70"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AZ1" i="5"/>
  <c r="D1" i="5"/>
  <c r="E9" i="3"/>
  <c r="E8" i="3"/>
  <c r="E7" i="3"/>
  <c r="E6" i="3"/>
  <c r="E5" i="3"/>
  <c r="E4" i="3"/>
  <c r="E3" i="3"/>
  <c r="E2" i="3"/>
  <c r="H199" i="2"/>
  <c r="H198" i="2"/>
  <c r="H197" i="2"/>
  <c r="H196" i="2"/>
  <c r="H195" i="2"/>
  <c r="H194" i="2"/>
  <c r="H193" i="2"/>
  <c r="H192" i="2"/>
  <c r="H191" i="2"/>
  <c r="H190" i="2"/>
  <c r="H189" i="2"/>
  <c r="H188" i="2"/>
  <c r="H187" i="2"/>
  <c r="H186" i="2"/>
  <c r="H185" i="2"/>
  <c r="H184" i="2"/>
  <c r="H183" i="2"/>
  <c r="H182" i="2"/>
  <c r="H181" i="2"/>
  <c r="H180" i="2"/>
  <c r="H179" i="2"/>
  <c r="H178" i="2"/>
  <c r="H177" i="2"/>
  <c r="H176" i="2"/>
  <c r="H175" i="2"/>
  <c r="H174" i="2"/>
  <c r="H173" i="2"/>
  <c r="H172" i="2"/>
  <c r="H171" i="2"/>
  <c r="H170" i="2"/>
  <c r="H169" i="2"/>
  <c r="H168" i="2"/>
  <c r="H167" i="2"/>
  <c r="H166" i="2"/>
  <c r="H165" i="2"/>
  <c r="H164" i="2"/>
  <c r="H163" i="2"/>
  <c r="H162" i="2"/>
  <c r="H161" i="2"/>
  <c r="H160" i="2"/>
  <c r="H159" i="2"/>
  <c r="H158" i="2"/>
  <c r="H157" i="2"/>
  <c r="H156" i="2"/>
  <c r="H155" i="2"/>
  <c r="H154" i="2"/>
  <c r="H153" i="2"/>
  <c r="H152" i="2"/>
  <c r="H151" i="2"/>
  <c r="H150" i="2"/>
  <c r="H149" i="2"/>
  <c r="H148" i="2"/>
  <c r="H147" i="2"/>
  <c r="H146" i="2"/>
  <c r="H145" i="2"/>
  <c r="H144" i="2"/>
  <c r="H143" i="2"/>
  <c r="H142" i="2"/>
  <c r="H141" i="2"/>
  <c r="H140" i="2"/>
  <c r="H139" i="2"/>
  <c r="H138" i="2"/>
  <c r="H137" i="2"/>
  <c r="H136" i="2"/>
  <c r="H135" i="2"/>
  <c r="H134" i="2"/>
  <c r="H133" i="2"/>
  <c r="H132" i="2"/>
  <c r="H131" i="2"/>
  <c r="H130" i="2"/>
  <c r="H129" i="2"/>
  <c r="H128" i="2"/>
  <c r="H127" i="2"/>
  <c r="H126" i="2"/>
  <c r="H125" i="2"/>
  <c r="H124" i="2"/>
  <c r="H123" i="2"/>
  <c r="H122" i="2"/>
  <c r="H121" i="2"/>
  <c r="H120" i="2"/>
  <c r="H119" i="2"/>
  <c r="H118" i="2"/>
  <c r="H117" i="2"/>
  <c r="H116" i="2"/>
  <c r="H115" i="2"/>
  <c r="H114" i="2"/>
  <c r="H113" i="2"/>
  <c r="H112" i="2"/>
  <c r="H111" i="2"/>
  <c r="H110" i="2"/>
  <c r="H109" i="2"/>
  <c r="H108" i="2"/>
  <c r="H107" i="2"/>
  <c r="H106" i="2"/>
  <c r="H105" i="2"/>
  <c r="H104" i="2"/>
  <c r="H103" i="2"/>
  <c r="H102" i="2"/>
  <c r="H101"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4" i="2"/>
  <c r="H3" i="2"/>
  <c r="B123" i="5" s="1"/>
  <c r="C123" i="5" s="1"/>
  <c r="H2" i="2"/>
  <c r="B125" i="8" s="1"/>
  <c r="C125" i="8" s="1"/>
  <c r="B90" i="6" l="1"/>
  <c r="C90" i="6" s="1"/>
  <c r="B94" i="6"/>
  <c r="C94" i="6" s="1"/>
  <c r="B98" i="6"/>
  <c r="C98" i="6" s="1"/>
  <c r="B102" i="6"/>
  <c r="C102" i="6" s="1"/>
  <c r="B106" i="6"/>
  <c r="C106" i="6" s="1"/>
  <c r="B110" i="6"/>
  <c r="C110" i="6" s="1"/>
  <c r="B114" i="6"/>
  <c r="C114" i="6" s="1"/>
  <c r="B118" i="6"/>
  <c r="C118" i="6" s="1"/>
  <c r="B122" i="6"/>
  <c r="C122" i="6" s="1"/>
  <c r="B126" i="6"/>
  <c r="C126" i="6" s="1"/>
  <c r="B89" i="5"/>
  <c r="C89" i="5" s="1"/>
  <c r="B93" i="5"/>
  <c r="C93" i="5" s="1"/>
  <c r="B97" i="5"/>
  <c r="C97" i="5" s="1"/>
  <c r="B101" i="5"/>
  <c r="C101" i="5" s="1"/>
  <c r="B105" i="5"/>
  <c r="C105" i="5" s="1"/>
  <c r="B109" i="5"/>
  <c r="C109" i="5" s="1"/>
  <c r="B113" i="5"/>
  <c r="C113" i="5" s="1"/>
  <c r="B117" i="5"/>
  <c r="C117" i="5" s="1"/>
  <c r="B121" i="5"/>
  <c r="C121" i="5" s="1"/>
  <c r="B125" i="5"/>
  <c r="C125" i="5" s="1"/>
  <c r="B90" i="8"/>
  <c r="C90" i="8" s="1"/>
  <c r="B94" i="8"/>
  <c r="C94" i="8" s="1"/>
  <c r="B98" i="8"/>
  <c r="C98" i="8" s="1"/>
  <c r="B102" i="8"/>
  <c r="C102" i="8" s="1"/>
  <c r="B106" i="8"/>
  <c r="C106" i="8" s="1"/>
  <c r="B110" i="8"/>
  <c r="C110" i="8" s="1"/>
  <c r="B114" i="8"/>
  <c r="C114" i="8" s="1"/>
  <c r="B118" i="8"/>
  <c r="C118" i="8" s="1"/>
  <c r="B122" i="8"/>
  <c r="C122" i="8" s="1"/>
  <c r="B126" i="8"/>
  <c r="C126" i="8" s="1"/>
  <c r="B87" i="6"/>
  <c r="C87" i="6" s="1"/>
  <c r="B91" i="6"/>
  <c r="C91" i="6" s="1"/>
  <c r="B95" i="6"/>
  <c r="C95" i="6" s="1"/>
  <c r="B99" i="6"/>
  <c r="C99" i="6" s="1"/>
  <c r="B103" i="6"/>
  <c r="C103" i="6" s="1"/>
  <c r="B107" i="6"/>
  <c r="C107" i="6" s="1"/>
  <c r="B111" i="6"/>
  <c r="C111" i="6" s="1"/>
  <c r="B115" i="6"/>
  <c r="C115" i="6" s="1"/>
  <c r="B119" i="6"/>
  <c r="C119" i="6" s="1"/>
  <c r="B123" i="6"/>
  <c r="C123" i="6" s="1"/>
  <c r="B98" i="5"/>
  <c r="C98" i="5" s="1"/>
  <c r="B87" i="8"/>
  <c r="C87" i="8" s="1"/>
  <c r="B91" i="8"/>
  <c r="C91" i="8" s="1"/>
  <c r="B95" i="8"/>
  <c r="C95" i="8" s="1"/>
  <c r="B99" i="8"/>
  <c r="C99" i="8" s="1"/>
  <c r="B103" i="8"/>
  <c r="C103" i="8" s="1"/>
  <c r="B107" i="8"/>
  <c r="C107" i="8" s="1"/>
  <c r="B111" i="8"/>
  <c r="C111" i="8" s="1"/>
  <c r="B115" i="8"/>
  <c r="C115" i="8" s="1"/>
  <c r="B119" i="8"/>
  <c r="C119" i="8" s="1"/>
  <c r="B123" i="8"/>
  <c r="C123" i="8" s="1"/>
  <c r="B114" i="5"/>
  <c r="C114" i="5" s="1"/>
  <c r="B88" i="6"/>
  <c r="C88" i="6" s="1"/>
  <c r="B92" i="6"/>
  <c r="C92" i="6" s="1"/>
  <c r="B96" i="6"/>
  <c r="C96" i="6" s="1"/>
  <c r="B100" i="6"/>
  <c r="C100" i="6" s="1"/>
  <c r="B104" i="6"/>
  <c r="C104" i="6" s="1"/>
  <c r="B108" i="6"/>
  <c r="C108" i="6" s="1"/>
  <c r="B112" i="6"/>
  <c r="C112" i="6" s="1"/>
  <c r="B116" i="6"/>
  <c r="C116" i="6" s="1"/>
  <c r="B120" i="6"/>
  <c r="C120" i="6" s="1"/>
  <c r="B124" i="6"/>
  <c r="C124" i="6" s="1"/>
  <c r="B90" i="5"/>
  <c r="C90" i="5" s="1"/>
  <c r="B102" i="5"/>
  <c r="C102" i="5" s="1"/>
  <c r="B110" i="5"/>
  <c r="C110" i="5" s="1"/>
  <c r="B122" i="5"/>
  <c r="C122" i="5" s="1"/>
  <c r="B87" i="5"/>
  <c r="C87" i="5" s="1"/>
  <c r="B95" i="5"/>
  <c r="C95" i="5" s="1"/>
  <c r="B99" i="5"/>
  <c r="C99" i="5" s="1"/>
  <c r="B103" i="5"/>
  <c r="C103" i="5" s="1"/>
  <c r="B107" i="5"/>
  <c r="C107" i="5" s="1"/>
  <c r="B111" i="5"/>
  <c r="C111" i="5" s="1"/>
  <c r="B115" i="5"/>
  <c r="C115" i="5" s="1"/>
  <c r="B119" i="5"/>
  <c r="C119" i="5" s="1"/>
  <c r="B88" i="8"/>
  <c r="C88" i="8" s="1"/>
  <c r="B92" i="8"/>
  <c r="C92" i="8" s="1"/>
  <c r="B96" i="8"/>
  <c r="C96" i="8" s="1"/>
  <c r="B100" i="8"/>
  <c r="C100" i="8" s="1"/>
  <c r="B104" i="8"/>
  <c r="C104" i="8" s="1"/>
  <c r="B108" i="8"/>
  <c r="C108" i="8" s="1"/>
  <c r="B112" i="8"/>
  <c r="C112" i="8" s="1"/>
  <c r="B116" i="8"/>
  <c r="C116" i="8" s="1"/>
  <c r="B120" i="8"/>
  <c r="C120" i="8" s="1"/>
  <c r="B124" i="8"/>
  <c r="C124" i="8" s="1"/>
  <c r="B89" i="6"/>
  <c r="C89" i="6" s="1"/>
  <c r="B93" i="6"/>
  <c r="C93" i="6" s="1"/>
  <c r="B97" i="6"/>
  <c r="C97" i="6" s="1"/>
  <c r="B101" i="6"/>
  <c r="C101" i="6" s="1"/>
  <c r="B105" i="6"/>
  <c r="C105" i="6" s="1"/>
  <c r="B109" i="6"/>
  <c r="C109" i="6" s="1"/>
  <c r="B113" i="6"/>
  <c r="C113" i="6" s="1"/>
  <c r="B117" i="6"/>
  <c r="C117" i="6" s="1"/>
  <c r="B121" i="6"/>
  <c r="C121" i="6" s="1"/>
  <c r="B125" i="6"/>
  <c r="C125" i="6" s="1"/>
  <c r="B94" i="5"/>
  <c r="C94" i="5" s="1"/>
  <c r="B106" i="5"/>
  <c r="C106" i="5" s="1"/>
  <c r="B118" i="5"/>
  <c r="C118" i="5" s="1"/>
  <c r="B126" i="5"/>
  <c r="C126" i="5" s="1"/>
  <c r="B91" i="5"/>
  <c r="C91" i="5" s="1"/>
  <c r="B88" i="5"/>
  <c r="C88" i="5" s="1"/>
  <c r="B92" i="5"/>
  <c r="C92" i="5" s="1"/>
  <c r="B96" i="5"/>
  <c r="C96" i="5" s="1"/>
  <c r="B100" i="5"/>
  <c r="C100" i="5" s="1"/>
  <c r="B104" i="5"/>
  <c r="C104" i="5" s="1"/>
  <c r="B108" i="5"/>
  <c r="C108" i="5" s="1"/>
  <c r="B112" i="5"/>
  <c r="C112" i="5" s="1"/>
  <c r="B116" i="5"/>
  <c r="C116" i="5" s="1"/>
  <c r="B120" i="5"/>
  <c r="C120" i="5" s="1"/>
  <c r="B124" i="5"/>
  <c r="C124" i="5" s="1"/>
  <c r="B89" i="8"/>
  <c r="C89" i="8" s="1"/>
  <c r="B93" i="8"/>
  <c r="C93" i="8" s="1"/>
  <c r="B97" i="8"/>
  <c r="C97" i="8" s="1"/>
  <c r="B101" i="8"/>
  <c r="C101" i="8" s="1"/>
  <c r="B105" i="8"/>
  <c r="C105" i="8" s="1"/>
  <c r="B109" i="8"/>
  <c r="C109" i="8" s="1"/>
  <c r="B113" i="8"/>
  <c r="C113" i="8" s="1"/>
  <c r="B117" i="8"/>
  <c r="C117" i="8" s="1"/>
  <c r="B121" i="8"/>
  <c r="C121" i="8" s="1"/>
</calcChain>
</file>

<file path=xl/sharedStrings.xml><?xml version="1.0" encoding="utf-8"?>
<sst xmlns="http://schemas.openxmlformats.org/spreadsheetml/2006/main" count="462" uniqueCount="281">
  <si>
    <t>How to use this schedule file</t>
  </si>
  <si>
    <t>Read this page once before you type anything. It takes about five minutes.</t>
  </si>
  <si>
    <t xml:space="preserve">  WHAT THIS FILE IS</t>
  </si>
  <si>
    <t>This file holds the schedule for the whole weekend.</t>
  </si>
  <si>
    <t>The app reads this file. Then it shows each person only their own schedule on their phone.</t>
  </si>
  <si>
    <t>If you follow the rules on this page, the app reads the file correctly.</t>
  </si>
  <si>
    <t>If you break the rules, the app may show someone the wrong time, or show them nothing at all.</t>
  </si>
  <si>
    <t xml:space="preserve">  STEP 1 — SET THE DATE</t>
  </si>
  <si>
    <t>Type the date of the Friday of your event in the yellow box.</t>
  </si>
  <si>
    <t>Event Friday date</t>
  </si>
  <si>
    <t>You only do this once. Every day tab works out its own date from this one box.</t>
  </si>
  <si>
    <t>It even handles the hours after midnight, so nothing lands on the wrong day.</t>
  </si>
  <si>
    <t xml:space="preserve">  STEP 2 — LEARN THE TABS</t>
  </si>
  <si>
    <t>The tabs are at the bottom of the window. Here is what each one holds.</t>
  </si>
  <si>
    <t>Instructions</t>
  </si>
  <si>
    <t>This page.</t>
  </si>
  <si>
    <t>Teams</t>
  </si>
  <si>
    <t>The eight teams. Also the show order, which you fill in later.</t>
  </si>
  <si>
    <t>People</t>
  </si>
  <si>
    <t>Every board member, liaison, judge, videographer and RAS rep.</t>
  </si>
  <si>
    <t>Roster</t>
  </si>
  <si>
    <t>Every dancer.</t>
  </si>
  <si>
    <t>Thursday, Friday,</t>
  </si>
  <si>
    <t>The schedule for each day. One row per person or group.</t>
  </si>
  <si>
    <t>Saturday, Sunday</t>
  </si>
  <si>
    <t>Airport</t>
  </si>
  <si>
    <t>Who is flying, when, and who is driving them.</t>
  </si>
  <si>
    <t xml:space="preserve">  STEP 3 — FILL IN THE TABS, IN THIS ORDER</t>
  </si>
  <si>
    <t>Do not skip ahead. Each tab uses what you typed in the ones before it.</t>
  </si>
  <si>
    <t>1. Teams</t>
  </si>
  <si>
    <t>Type each team name and short name. Leave Show Order empty for now.</t>
  </si>
  <si>
    <t>2. People</t>
  </si>
  <si>
    <t>Add one row for each board member, liaison, judge, videographer and RAS rep. Do not put dancers here.</t>
  </si>
  <si>
    <t>Fill in ID, Full Name, Group, Phone, Email and Type.</t>
  </si>
  <si>
    <t>If the person is a liaison, you must also pick their Team from the dropdown. If you skip this, they will not show up on any day tab.</t>
  </si>
  <si>
    <t>Never type in the Key column. It fills itself in.</t>
  </si>
  <si>
    <t>3. Roster</t>
  </si>
  <si>
    <t>Add one row for each dancer. Pick their team from the dropdown. Put Yes in the Captain? column for captains.</t>
  </si>
  <si>
    <t>4. Day tabs</t>
  </si>
  <si>
    <t>Fill in Thursday, Friday, Saturday and Sunday. See the next two sections.</t>
  </si>
  <si>
    <t>5. Show order</t>
  </si>
  <si>
    <t>After the draw, go back to Teams and type each team's number, 1 to 8. Saturday then fills itself in.</t>
  </si>
  <si>
    <t>6. Check it</t>
  </si>
  <si>
    <t>Use the checklist at the bottom of this page before you upload.</t>
  </si>
  <si>
    <t>Spell each name on the People tab the way you want it to appear on that person's phone. The day tabs copy it exactly.</t>
  </si>
  <si>
    <t xml:space="preserve">  STEP 4 — HOW TO ADD SOMETHING TO A DAY</t>
  </si>
  <si>
    <t>A day tab is a big grid. Times run across the top. Names run down the left side.</t>
  </si>
  <si>
    <t>1.  Find the person's row.</t>
  </si>
  <si>
    <t>2.  Find the column for the time they start.</t>
  </si>
  <si>
    <t>3.  Click that box and type what they are doing. The next section shows you how.</t>
  </si>
  <si>
    <t>4.  Select that box and all the boxes to its right, up to the time they finish.</t>
  </si>
  <si>
    <t xml:space="preserve">     Then click Merge. Now it is one wide box, and you can see how long it lasts.</t>
  </si>
  <si>
    <t>The wide box is only there so it is easy to read. The app reads the times you typed, not how wide the box is. So the times must be right.</t>
  </si>
  <si>
    <t xml:space="preserve">  STEP 5 — HOW TO WRITE ONE BOX</t>
  </si>
  <si>
    <t>Every box has three lines.</t>
  </si>
  <si>
    <t>To start a new line inside a box, press Alt+Enter. On a Mac, press Option+Enter.</t>
  </si>
  <si>
    <t>Line 1</t>
  </si>
  <si>
    <t>The start time and the end time.</t>
  </si>
  <si>
    <t>Line 2</t>
  </si>
  <si>
    <t>Where it happens.</t>
  </si>
  <si>
    <t>Line 3</t>
  </si>
  <si>
    <t>What to do. You can use more lines here if you need them.</t>
  </si>
  <si>
    <t>Here is a box done right:</t>
  </si>
  <si>
    <t>6:00 AM - 5:00 PM
HOTEL (REG ROOM)
Check in teams, help Head Liaisons with room setup</t>
  </si>
  <si>
    <t xml:space="preserve">  THE MOST IMPORTANT RULE</t>
  </si>
  <si>
    <t>Write AM or PM on BOTH times. Every time. No exceptions.</t>
  </si>
  <si>
    <t>Write 7:30 PM - 9:30 PM.  Do not write 7:30 - 9:30 PM.</t>
  </si>
  <si>
    <t>If you leave AM or PM off the first time, the app reads 7:30 PM as 7:30 in the morning.</t>
  </si>
  <si>
    <t>That is twelve hours wrong. Someone will miss the thing they were supposed to be at.</t>
  </si>
  <si>
    <t>This went wrong 192 times in last year's file. It is the easiest mistake to make and the hardest one to spot.</t>
  </si>
  <si>
    <t>RIGHT</t>
  </si>
  <si>
    <t>9:30 PM - 10:30 PM</t>
  </si>
  <si>
    <t>WRONG</t>
  </si>
  <si>
    <t>9:30 - 10:30            (no AM or PM at all)</t>
  </si>
  <si>
    <t>9:30 - 10:30 PM         (missing on the first time)</t>
  </si>
  <si>
    <t>9:30-10:30pm            (missing on the first time)</t>
  </si>
  <si>
    <t>after the show          (not a real time)</t>
  </si>
  <si>
    <t xml:space="preserve">  WHO GOES ON WHICH ROW</t>
  </si>
  <si>
    <t>BOARD MEMBERS</t>
  </si>
  <si>
    <t>Five rows for each position. Type the names yourself.</t>
  </si>
  <si>
    <t>TEAMS</t>
  </si>
  <si>
    <t>One row per team. Whatever you type here is for the whole team.</t>
  </si>
  <si>
    <t>JUDGES</t>
  </si>
  <si>
    <t>One row. All the judges move together, so one row is enough.</t>
  </si>
  <si>
    <t>VIDEOGRAPHERS</t>
  </si>
  <si>
    <t>One row. Same reason.</t>
  </si>
  <si>
    <t>RAS REPS</t>
  </si>
  <si>
    <t>Five rows. They move on their own, so each one gets a row.</t>
  </si>
  <si>
    <t>LIAISONS</t>
  </si>
  <si>
    <t>Five rows per team. Do NOT type names here. They come from the People tab.</t>
  </si>
  <si>
    <t>JUDGE LIAISONS</t>
  </si>
  <si>
    <t>Five rows. Type the names yourself.</t>
  </si>
  <si>
    <t>Every position has five rows even if you only need two. Leave the extra rows empty.</t>
  </si>
  <si>
    <t>That is on purpose. It keeps all four days lined up, so the same person is on the same row number every day.</t>
  </si>
  <si>
    <t xml:space="preserve">  SATURDAY WORKS DIFFERENTLY</t>
  </si>
  <si>
    <t>Saturday runs on the show order, so its rows are built around it.</t>
  </si>
  <si>
    <t>On Saturday the team rows do not say team names. They say Show Order 1 through Show Order 8. The liaison rows are in show order too.</t>
  </si>
  <si>
    <t>This means you can build all of Saturday before the draw happens.</t>
  </si>
  <si>
    <t>When you type the show order on the Teams tab, Saturday fills itself in. The team names appear, and the right liaisons appear underneath them.</t>
  </si>
  <si>
    <t>Until you do that, Saturday says "(not drawn)". That is normal. It is not an error.</t>
  </si>
  <si>
    <t xml:space="preserve">  WHAT THE COLOURS MEAN</t>
  </si>
  <si>
    <t xml:space="preserve">   Yellow</t>
  </si>
  <si>
    <t>Type here.</t>
  </si>
  <si>
    <t xml:space="preserve">   Tan</t>
  </si>
  <si>
    <t>An example. Type over it.</t>
  </si>
  <si>
    <t xml:space="preserve">   Blue</t>
  </si>
  <si>
    <t>A group that moves as one. What you type is for everyone in it.</t>
  </si>
  <si>
    <t xml:space="preserve">   Grey</t>
  </si>
  <si>
    <t>A label. Do not change it.</t>
  </si>
  <si>
    <t xml:space="preserve">   White</t>
  </si>
  <si>
    <t>A schedule box. Type here.</t>
  </si>
  <si>
    <t xml:space="preserve">  WHAT THE WARNING WORDS MEAN</t>
  </si>
  <si>
    <t>If you see one of these in the file, something needs fixing.</t>
  </si>
  <si>
    <t>?? CHECK NAME</t>
  </si>
  <si>
    <t>This name is not spelled the same as on the People tab. Fix the spelling. Until you do, this row will not load into the app.</t>
  </si>
  <si>
    <t>(not drawn)</t>
  </si>
  <si>
    <t>The show order is not filled in yet. Go to the Teams tab and fill it in.</t>
  </si>
  <si>
    <t>DUPLICATE</t>
  </si>
  <si>
    <t>Two teams have been given the same show order number. Only one team can be in each slot.</t>
  </si>
  <si>
    <t xml:space="preserve">  DO NOT DO THESE THINGS</t>
  </si>
  <si>
    <t>•  Do not add rows. Do not delete rows. Do not move rows.</t>
  </si>
  <si>
    <t>•  Do not add or delete columns.</t>
  </si>
  <si>
    <t>•  Do not rename a tab.</t>
  </si>
  <si>
    <t>•  Do not change the words in the grey column on the left of a day tab.</t>
  </si>
  <si>
    <t>•  Do not type in the Key column on the People tab.</t>
  </si>
  <si>
    <t>•  Do not type over a formula. Click a box first — if you see an = sign in the bar at the top, leave that box alone.</t>
  </si>
  <si>
    <t>•  Do not put two different activities in one box. Use two boxes.</t>
  </si>
  <si>
    <t>•  Do not write a time in words, like "after lunch". Write a real time.</t>
  </si>
  <si>
    <t>These rules are here because the app matches people by row and by name. If rows move or names change, it matches the wrong person, or nobody.</t>
  </si>
  <si>
    <t xml:space="preserve">  CHECK THIS BEFORE YOU UPLOAD</t>
  </si>
  <si>
    <t>Go down this list every time. Fix anything you find.</t>
  </si>
  <si>
    <t xml:space="preserve">   1.  Every row on the Teams tab says OK in the Check column.</t>
  </si>
  <si>
    <t xml:space="preserve">   2.  Nowhere in the file does it say "?? CHECK NAME".</t>
  </si>
  <si>
    <t xml:space="preserve">   3.  Nowhere on Saturday does it say "(not drawn)".</t>
  </si>
  <si>
    <t xml:space="preserve">   4.  Every schedule box starts with a time.</t>
  </si>
  <si>
    <t xml:space="preserve">   5.  Every one of those times has AM or PM on BOTH ends.</t>
  </si>
  <si>
    <t xml:space="preserve">   6.  The date at the top of this page is the right Friday.</t>
  </si>
  <si>
    <t xml:space="preserve">  IF SOMETHING LOOKS BROKEN</t>
  </si>
  <si>
    <t>Do not try to fix it by deleting rows or columns.</t>
  </si>
  <si>
    <t>Ask whoever owns this file first.</t>
  </si>
  <si>
    <t>A broken file takes much longer to fix than a wrong time does.</t>
  </si>
  <si>
    <t>ID</t>
  </si>
  <si>
    <t>Full Name</t>
  </si>
  <si>
    <t>Group</t>
  </si>
  <si>
    <t>Team</t>
  </si>
  <si>
    <t>Phone</t>
  </si>
  <si>
    <t>Email</t>
  </si>
  <si>
    <t>Type</t>
  </si>
  <si>
    <t>Key (auto)</t>
  </si>
  <si>
    <t>BRD-01</t>
  </si>
  <si>
    <t>Example Director</t>
  </si>
  <si>
    <t>Directors</t>
  </si>
  <si>
    <t>555-0100</t>
  </si>
  <si>
    <t>director@example.edu</t>
  </si>
  <si>
    <t>board</t>
  </si>
  <si>
    <t>LIA-01</t>
  </si>
  <si>
    <t>Example Liaison One</t>
  </si>
  <si>
    <t>Liaisons</t>
  </si>
  <si>
    <t>UNC Taar Heel Raas</t>
  </si>
  <si>
    <t>555-0101</t>
  </si>
  <si>
    <t>lia1@example.edu</t>
  </si>
  <si>
    <t>liaison</t>
  </si>
  <si>
    <t>LIA-02</t>
  </si>
  <si>
    <t>Example Liaison Two</t>
  </si>
  <si>
    <t>555-0102</t>
  </si>
  <si>
    <t>lia2@example.edu</t>
  </si>
  <si>
    <t>LIA-03</t>
  </si>
  <si>
    <t>Example Liaison Three</t>
  </si>
  <si>
    <t>555-0103</t>
  </si>
  <si>
    <t>lia3@example.edu</t>
  </si>
  <si>
    <t>JDG-01</t>
  </si>
  <si>
    <t>Example Judge</t>
  </si>
  <si>
    <t>Judging</t>
  </si>
  <si>
    <t>555-0104</t>
  </si>
  <si>
    <t>judge@example.com</t>
  </si>
  <si>
    <t>judge</t>
  </si>
  <si>
    <t>VID-01</t>
  </si>
  <si>
    <t>Example Videographer</t>
  </si>
  <si>
    <t>External</t>
  </si>
  <si>
    <t>555-0105</t>
  </si>
  <si>
    <t>video@example.com</t>
  </si>
  <si>
    <t>videographer</t>
  </si>
  <si>
    <t>Set Type to "liaison" and pick a Team, and that person appears on every day tab automatically — the first five rows for a team become its liaisons 1 to 5.</t>
  </si>
  <si>
    <t>Key is computed. Do not type in it.</t>
  </si>
  <si>
    <t>Team Name</t>
  </si>
  <si>
    <t>Abbrev</t>
  </si>
  <si>
    <t>Show Order</t>
  </si>
  <si>
    <t>Check</t>
  </si>
  <si>
    <t>Captain(s)</t>
  </si>
  <si>
    <t>Liaison Contact</t>
  </si>
  <si>
    <t>TM-UNC</t>
  </si>
  <si>
    <t>UNC</t>
  </si>
  <si>
    <t>TM-ILL</t>
  </si>
  <si>
    <t>Illini Raas</t>
  </si>
  <si>
    <t>Illini</t>
  </si>
  <si>
    <t>TM-UTD</t>
  </si>
  <si>
    <t>UTD Taraas</t>
  </si>
  <si>
    <t>UTD</t>
  </si>
  <si>
    <t>TM-UVA</t>
  </si>
  <si>
    <t>UVA Hooraas</t>
  </si>
  <si>
    <t>UVA</t>
  </si>
  <si>
    <t>TM-UMD</t>
  </si>
  <si>
    <t>UMD Entouraas</t>
  </si>
  <si>
    <t>UMD</t>
  </si>
  <si>
    <t>TM-UMI</t>
  </si>
  <si>
    <t>Michigan Wolveraas</t>
  </si>
  <si>
    <t>UMich</t>
  </si>
  <si>
    <t>TM-MSU</t>
  </si>
  <si>
    <t>MSU Raasparty</t>
  </si>
  <si>
    <t>MSU</t>
  </si>
  <si>
    <t>TM-GT</t>
  </si>
  <si>
    <t>GT Ramblin Raas</t>
  </si>
  <si>
    <t>GT</t>
  </si>
  <si>
    <t>Show Order is the running order, 1-8. Leave it blank until the draw — Saturday's grid is built against slots, not teams, so it can be filled in before you know who is where.</t>
  </si>
  <si>
    <t>Fill this column in and Saturday resolves itself: every "Show Order N" row picks up the team sitting in slot N, and the app imports it as that team's schedule.</t>
  </si>
  <si>
    <t>Check flags a slot given to two teams. Every row must read OK before you upload.</t>
  </si>
  <si>
    <t>First Name</t>
  </si>
  <si>
    <t>Last Name</t>
  </si>
  <si>
    <t>Captain?</t>
  </si>
  <si>
    <t>Dietary Restrictions</t>
  </si>
  <si>
    <t>T-Shirt Size</t>
  </si>
  <si>
    <t>Example</t>
  </si>
  <si>
    <t>Dancer</t>
  </si>
  <si>
    <t>555-0110</t>
  </si>
  <si>
    <t>dancer@example.edu</t>
  </si>
  <si>
    <t>No</t>
  </si>
  <si>
    <t>Vegetarian</t>
  </si>
  <si>
    <t>M</t>
  </si>
  <si>
    <t>One row per dancer, Team as a column — replaces last year's eight per-team tabs. Captain? replaces the asterisk on the first name.</t>
  </si>
  <si>
    <t>Name</t>
  </si>
  <si>
    <t>Senior Advisors</t>
  </si>
  <si>
    <t>Logistics</t>
  </si>
  <si>
    <t>Hospitality</t>
  </si>
  <si>
    <t>Creative</t>
  </si>
  <si>
    <t>Registration</t>
  </si>
  <si>
    <t>Head Liaisons</t>
  </si>
  <si>
    <t>PR</t>
  </si>
  <si>
    <t>Fundraising</t>
  </si>
  <si>
    <t>Campus Wellness</t>
  </si>
  <si>
    <t>FreshReps</t>
  </si>
  <si>
    <t>TEAMS  —  anything the whole team does goes on its own row</t>
  </si>
  <si>
    <t>JUDGES, VIDEOGRAPHERS &amp; RAS REPS</t>
  </si>
  <si>
    <t>Judges</t>
  </si>
  <si>
    <t>All Judges</t>
  </si>
  <si>
    <t>ROLE-JUDGES</t>
  </si>
  <si>
    <t>Videographers</t>
  </si>
  <si>
    <t>All Videographers</t>
  </si>
  <si>
    <t>ROLE-VIDEO</t>
  </si>
  <si>
    <t>RAS Reps</t>
  </si>
  <si>
    <t>LIAISONS  —  names come from the People tab, not typed here</t>
  </si>
  <si>
    <t>Judge Liaisons</t>
  </si>
  <si>
    <t>SHOW ORDER SLOTS  —  fill Show Order on the Teams tab and these resolve to teams</t>
  </si>
  <si>
    <t>Show Order 1</t>
  </si>
  <si>
    <t>Show Order 2</t>
  </si>
  <si>
    <t>Show Order 3</t>
  </si>
  <si>
    <t>Show Order 4</t>
  </si>
  <si>
    <t>Show Order 5</t>
  </si>
  <si>
    <t>Show Order 6</t>
  </si>
  <si>
    <t>Show Order 7</t>
  </si>
  <si>
    <t>Show Order 8</t>
  </si>
  <si>
    <t>LIAISONS  —  in show order; names come from the People tab</t>
  </si>
  <si>
    <t>Direction</t>
  </si>
  <si>
    <t>Date</t>
  </si>
  <si>
    <t>Applies To</t>
  </si>
  <si>
    <t># People</t>
  </si>
  <si>
    <t>Flight #</t>
  </si>
  <si>
    <t>Flight Time</t>
  </si>
  <si>
    <t>Pickup / Leave Time</t>
  </si>
  <si>
    <t>Arrive</t>
  </si>
  <si>
    <t>Driver(s)</t>
  </si>
  <si>
    <t>Vehicle(s)</t>
  </si>
  <si>
    <t>Driver Phone</t>
  </si>
  <si>
    <t>Arrival</t>
  </si>
  <si>
    <t>Team: UMD Entouraas</t>
  </si>
  <si>
    <t>AA4352</t>
  </si>
  <si>
    <t>Example Liaison</t>
  </si>
  <si>
    <t>Minibus</t>
  </si>
  <si>
    <t>Person: Example Dancer</t>
  </si>
  <si>
    <t>UA2646</t>
  </si>
  <si>
    <t>Personal car</t>
  </si>
  <si>
    <t>Applies To uses the app's assignment grammar: "Team: &lt;name&gt;", "Person: &lt;name&gt;", or "Role: &lt;name&gt;". Flights group people across teams, which is why this stays its own tab — one row per travel party, not per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</si>
</sst>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ddd\ mmm\ d\,\ yyyy"/>
    <numFmt numFmtId="166" formatCode="ddd\ mmm\ d"/>
  </numFmts>
  <fonts count="10" x14ac:knownFonts="1">
    <font>
      <sz val="11"/>
      <color theme="1"/>
      <name val="Calibri"/>
      <family val="2"/>
      <scheme val="minor"/>
    </font>
    <font>
      <b/>
      <sz val="16"/>
      <name val="Arial"/>
      <family val="2"/>
    </font>
    <font>
      <sz val="9"/>
      <color rgb="FF808080"/>
      <name val="Arial"/>
      <family val="2"/>
    </font>
    <font>
      <b/>
      <sz val="12"/>
      <color rgb="FFFFFFFF"/>
      <name val="Arial"/>
      <family val="2"/>
    </font>
    <font>
      <sz val="10"/>
      <name val="Arial"/>
      <family val="2"/>
    </font>
    <font>
      <b/>
      <sz val="10"/>
      <name val="Arial"/>
      <family val="2"/>
    </font>
    <font>
      <sz val="10"/>
      <color rgb="FF0000FF"/>
      <name val="Arial"/>
      <family val="2"/>
    </font>
    <font>
      <b/>
      <sz val="10"/>
      <color rgb="FFC00000"/>
      <name val="Arial"/>
      <family val="2"/>
    </font>
    <font>
      <sz val="10"/>
      <name val="Courier New"/>
      <family val="1"/>
    </font>
    <font>
      <b/>
      <sz val="10"/>
      <color rgb="FFFFFFFF"/>
      <name val="Arial"/>
      <family val="2"/>
    </font>
  </fonts>
  <fills count="8">
    <fill>
      <patternFill patternType="none"/>
    </fill>
    <fill>
      <patternFill patternType="gray125"/>
    </fill>
    <fill>
      <patternFill patternType="solid">
        <fgColor rgb="FF2F4F4F"/>
      </patternFill>
    </fill>
    <fill>
      <patternFill patternType="solid">
        <fgColor rgb="FFFFFF00"/>
      </patternFill>
    </fill>
    <fill>
      <patternFill patternType="solid">
        <fgColor rgb="FFFFF2CC"/>
      </patternFill>
    </fill>
    <fill>
      <patternFill patternType="solid">
        <fgColor rgb="FFDCE9F5"/>
      </patternFill>
    </fill>
    <fill>
      <patternFill patternType="solid">
        <fgColor rgb="FFF2F2F2"/>
      </patternFill>
    </fill>
    <fill>
      <patternFill patternType="solid">
        <fgColor rgb="FFD9D9D9"/>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s>
  <cellStyleXfs count="1">
    <xf numFmtId="0" fontId="0" fillId="0" borderId="0"/>
  </cellStyleXfs>
  <cellXfs count="51">
    <xf numFmtId="0" fontId="0" fillId="0" borderId="0" xfId="0"/>
    <xf numFmtId="0" fontId="5" fillId="0" borderId="0" xfId="0" applyFont="1" applyAlignment="1">
      <alignment vertical="top" wrapText="1"/>
    </xf>
    <xf numFmtId="165" fontId="6" fillId="3" borderId="1" xfId="0" applyNumberFormat="1" applyFont="1" applyFill="1" applyBorder="1" applyAlignment="1">
      <alignment vertical="top" wrapText="1"/>
    </xf>
    <xf numFmtId="0" fontId="4" fillId="0" borderId="0" xfId="0" applyFont="1" applyAlignment="1">
      <alignment vertical="top" wrapText="1"/>
    </xf>
    <xf numFmtId="0" fontId="8" fillId="4" borderId="1" xfId="0" applyFont="1" applyFill="1" applyBorder="1" applyAlignment="1">
      <alignment horizontal="left" vertical="top" wrapText="1"/>
    </xf>
    <xf numFmtId="0" fontId="8" fillId="0" borderId="0" xfId="0" applyFont="1" applyAlignment="1">
      <alignment vertical="top" wrapText="1"/>
    </xf>
    <xf numFmtId="0" fontId="7" fillId="0" borderId="0" xfId="0" applyFont="1" applyAlignment="1">
      <alignment vertical="top" wrapText="1"/>
    </xf>
    <xf numFmtId="0" fontId="5" fillId="3" borderId="1" xfId="0" applyFont="1" applyFill="1" applyBorder="1" applyAlignment="1">
      <alignment vertical="center"/>
    </xf>
    <xf numFmtId="0" fontId="5" fillId="4" borderId="1" xfId="0" applyFont="1" applyFill="1" applyBorder="1" applyAlignment="1">
      <alignment vertical="center"/>
    </xf>
    <xf numFmtId="0" fontId="5" fillId="5" borderId="1" xfId="0" applyFont="1" applyFill="1" applyBorder="1" applyAlignment="1">
      <alignment vertical="center"/>
    </xf>
    <xf numFmtId="0" fontId="5" fillId="6" borderId="1" xfId="0" applyFont="1" applyFill="1" applyBorder="1" applyAlignment="1">
      <alignment vertical="center"/>
    </xf>
    <xf numFmtId="0" fontId="5" fillId="0" borderId="1" xfId="0" applyFont="1" applyBorder="1" applyAlignment="1">
      <alignment vertical="center"/>
    </xf>
    <xf numFmtId="0" fontId="9" fillId="2" borderId="1" xfId="0" applyFont="1" applyFill="1" applyBorder="1" applyAlignment="1">
      <alignment horizontal="center" vertical="center"/>
    </xf>
    <xf numFmtId="0" fontId="6" fillId="4" borderId="1" xfId="0" applyFont="1" applyFill="1" applyBorder="1"/>
    <xf numFmtId="0" fontId="2" fillId="0" borderId="1" xfId="0" applyFont="1" applyBorder="1" applyAlignment="1">
      <alignment horizontal="center" vertical="center"/>
    </xf>
    <xf numFmtId="0" fontId="0" fillId="3" borderId="1" xfId="0" applyFill="1" applyBorder="1"/>
    <xf numFmtId="0" fontId="0" fillId="0" borderId="1" xfId="0" applyBorder="1"/>
    <xf numFmtId="0" fontId="2" fillId="0" borderId="0" xfId="0" applyFont="1"/>
    <xf numFmtId="0" fontId="6" fillId="0" borderId="1" xfId="0" applyFont="1" applyBorder="1"/>
    <xf numFmtId="0" fontId="6" fillId="3" borderId="1" xfId="0" applyFont="1" applyFill="1" applyBorder="1" applyAlignment="1">
      <alignment horizontal="center" vertical="center"/>
    </xf>
    <xf numFmtId="0" fontId="4" fillId="0" borderId="1" xfId="0" applyFont="1" applyBorder="1" applyAlignment="1">
      <alignment horizontal="center" vertical="center"/>
    </xf>
    <xf numFmtId="0" fontId="4" fillId="3" borderId="1" xfId="0" applyFont="1" applyFill="1" applyBorder="1"/>
    <xf numFmtId="0" fontId="0" fillId="7" borderId="1" xfId="0" applyFill="1" applyBorder="1"/>
    <xf numFmtId="18" fontId="5" fillId="7" borderId="1" xfId="0" applyNumberFormat="1" applyFont="1" applyFill="1" applyBorder="1" applyAlignment="1">
      <alignment horizontal="center" vertical="center" textRotation="90"/>
    </xf>
    <xf numFmtId="0" fontId="6" fillId="3" borderId="1" xfId="0" applyFont="1" applyFill="1" applyBorder="1" applyAlignment="1">
      <alignment vertical="center"/>
    </xf>
    <xf numFmtId="0" fontId="4" fillId="0" borderId="1" xfId="0" applyFont="1" applyBorder="1" applyAlignment="1">
      <alignment horizontal="left" vertical="top" wrapText="1"/>
    </xf>
    <xf numFmtId="0" fontId="6" fillId="0" borderId="1" xfId="0" applyFont="1" applyBorder="1" applyAlignment="1">
      <alignment vertical="center"/>
    </xf>
    <xf numFmtId="0" fontId="4" fillId="5" borderId="1" xfId="0" applyFont="1" applyFill="1" applyBorder="1" applyAlignment="1">
      <alignment horizontal="left" vertical="top" wrapText="1"/>
    </xf>
    <xf numFmtId="0" fontId="4" fillId="0" borderId="1" xfId="0" applyFont="1" applyBorder="1" applyAlignment="1">
      <alignment vertical="center"/>
    </xf>
    <xf numFmtId="0" fontId="6" fillId="4" borderId="1" xfId="0" applyFont="1" applyFill="1" applyBorder="1" applyAlignment="1">
      <alignment vertical="center"/>
    </xf>
    <xf numFmtId="166" fontId="6" fillId="4" borderId="1" xfId="0" applyNumberFormat="1" applyFont="1" applyFill="1" applyBorder="1"/>
    <xf numFmtId="18" fontId="6" fillId="4" borderId="1" xfId="0" applyNumberFormat="1" applyFont="1" applyFill="1" applyBorder="1"/>
    <xf numFmtId="0" fontId="4" fillId="0" borderId="0" xfId="0" applyFont="1" applyAlignment="1">
      <alignment vertical="top"/>
    </xf>
    <xf numFmtId="0" fontId="0" fillId="0" borderId="0" xfId="0"/>
    <xf numFmtId="0" fontId="3" fillId="2" borderId="0" xfId="0" applyFont="1" applyFill="1" applyAlignment="1">
      <alignment vertical="center"/>
    </xf>
    <xf numFmtId="0" fontId="7" fillId="0" borderId="0" xfId="0" applyFont="1" applyAlignment="1">
      <alignment vertical="top"/>
    </xf>
    <xf numFmtId="0" fontId="5" fillId="0" borderId="0" xfId="0" applyFont="1" applyAlignment="1">
      <alignment vertical="top"/>
    </xf>
    <xf numFmtId="0" fontId="2" fillId="0" borderId="0" xfId="0" applyFont="1" applyAlignment="1">
      <alignment vertical="top"/>
    </xf>
    <xf numFmtId="0" fontId="1" fillId="0" borderId="0" xfId="0" applyFont="1" applyAlignment="1">
      <alignment vertical="top"/>
    </xf>
    <xf numFmtId="0" fontId="5" fillId="6" borderId="1" xfId="0" applyFont="1" applyFill="1" applyBorder="1" applyAlignment="1">
      <alignment vertical="center"/>
    </xf>
    <xf numFmtId="0" fontId="0" fillId="0" borderId="4" xfId="0" applyBorder="1"/>
    <xf numFmtId="0" fontId="0" fillId="0" borderId="5" xfId="0" applyBorder="1"/>
    <xf numFmtId="0" fontId="5" fillId="6" borderId="1" xfId="0" applyFont="1" applyFill="1" applyBorder="1" applyAlignment="1">
      <alignment vertical="center" wrapText="1"/>
    </xf>
    <xf numFmtId="0" fontId="5" fillId="7" borderId="1" xfId="0" applyFont="1" applyFill="1" applyBorder="1"/>
    <xf numFmtId="0" fontId="0" fillId="0" borderId="2" xfId="0" applyBorder="1"/>
    <xf numFmtId="0" fontId="0" fillId="0" borderId="3" xfId="0" applyBorder="1"/>
    <xf numFmtId="166" fontId="9" fillId="2" borderId="0" xfId="0" applyNumberFormat="1" applyFont="1" applyFill="1" applyAlignment="1">
      <alignment horizontal="center" vertical="center"/>
    </xf>
    <xf numFmtId="0" fontId="0" fillId="2" borderId="0" xfId="0" applyFill="1"/>
    <xf numFmtId="0" fontId="4" fillId="4" borderId="1" xfId="0" applyFont="1" applyFill="1" applyBorder="1" applyAlignment="1">
      <alignment horizontal="left" vertical="top" wrapText="1"/>
    </xf>
    <xf numFmtId="0" fontId="0" fillId="4" borderId="2" xfId="0" applyFill="1" applyBorder="1"/>
    <xf numFmtId="0" fontId="0" fillId="4" borderId="3"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44"/>
  <sheetViews>
    <sheetView showGridLines="0" tabSelected="1" workbookViewId="0"/>
  </sheetViews>
  <sheetFormatPr baseColWidth="10" defaultColWidth="8.83203125" defaultRowHeight="15" x14ac:dyDescent="0.2"/>
  <cols>
    <col min="1" max="1" width="3" customWidth="1"/>
    <col min="2" max="2" width="30" customWidth="1"/>
    <col min="3" max="3" width="92" customWidth="1"/>
  </cols>
  <sheetData>
    <row r="2" spans="2:3" ht="24" customHeight="1" x14ac:dyDescent="0.2">
      <c r="B2" s="38" t="s">
        <v>0</v>
      </c>
      <c r="C2" s="33"/>
    </row>
    <row r="3" spans="2:3" x14ac:dyDescent="0.2">
      <c r="B3" s="37" t="s">
        <v>1</v>
      </c>
      <c r="C3" s="33"/>
    </row>
    <row r="5" spans="2:3" ht="22" customHeight="1" x14ac:dyDescent="0.2">
      <c r="B5" s="34" t="s">
        <v>2</v>
      </c>
      <c r="C5" s="33"/>
    </row>
    <row r="6" spans="2:3" x14ac:dyDescent="0.2">
      <c r="B6" s="32" t="s">
        <v>3</v>
      </c>
      <c r="C6" s="33"/>
    </row>
    <row r="7" spans="2:3" x14ac:dyDescent="0.2">
      <c r="B7" s="32" t="s">
        <v>4</v>
      </c>
      <c r="C7" s="33"/>
    </row>
    <row r="8" spans="2:3" x14ac:dyDescent="0.2">
      <c r="B8" s="32"/>
      <c r="C8" s="33"/>
    </row>
    <row r="9" spans="2:3" x14ac:dyDescent="0.2">
      <c r="B9" s="32" t="s">
        <v>5</v>
      </c>
      <c r="C9" s="33"/>
    </row>
    <row r="10" spans="2:3" x14ac:dyDescent="0.2">
      <c r="B10" s="32" t="s">
        <v>6</v>
      </c>
      <c r="C10" s="33"/>
    </row>
    <row r="12" spans="2:3" ht="22" customHeight="1" x14ac:dyDescent="0.2">
      <c r="B12" s="34" t="s">
        <v>7</v>
      </c>
      <c r="C12" s="33"/>
    </row>
    <row r="13" spans="2:3" x14ac:dyDescent="0.2">
      <c r="B13" s="36" t="s">
        <v>8</v>
      </c>
      <c r="C13" s="33"/>
    </row>
    <row r="14" spans="2:3" x14ac:dyDescent="0.2">
      <c r="B14" s="1" t="s">
        <v>9</v>
      </c>
      <c r="C14" s="2">
        <v>46241</v>
      </c>
    </row>
    <row r="15" spans="2:3" x14ac:dyDescent="0.2">
      <c r="B15" s="37" t="s">
        <v>10</v>
      </c>
      <c r="C15" s="33"/>
    </row>
    <row r="16" spans="2:3" x14ac:dyDescent="0.2">
      <c r="B16" s="37" t="s">
        <v>11</v>
      </c>
      <c r="C16" s="33"/>
    </row>
    <row r="18" spans="2:3" ht="22" customHeight="1" x14ac:dyDescent="0.2">
      <c r="B18" s="34" t="s">
        <v>12</v>
      </c>
      <c r="C18" s="33"/>
    </row>
    <row r="19" spans="2:3" x14ac:dyDescent="0.2">
      <c r="B19" s="32" t="s">
        <v>13</v>
      </c>
      <c r="C19" s="33"/>
    </row>
    <row r="20" spans="2:3" x14ac:dyDescent="0.2">
      <c r="B20" s="32"/>
      <c r="C20" s="33"/>
    </row>
    <row r="21" spans="2:3" x14ac:dyDescent="0.2">
      <c r="B21" s="1" t="s">
        <v>14</v>
      </c>
      <c r="C21" s="3" t="s">
        <v>15</v>
      </c>
    </row>
    <row r="22" spans="2:3" x14ac:dyDescent="0.2">
      <c r="B22" s="1" t="s">
        <v>16</v>
      </c>
      <c r="C22" s="3" t="s">
        <v>17</v>
      </c>
    </row>
    <row r="23" spans="2:3" x14ac:dyDescent="0.2">
      <c r="B23" s="1" t="s">
        <v>18</v>
      </c>
      <c r="C23" s="3" t="s">
        <v>19</v>
      </c>
    </row>
    <row r="24" spans="2:3" x14ac:dyDescent="0.2">
      <c r="B24" s="1" t="s">
        <v>20</v>
      </c>
      <c r="C24" s="3" t="s">
        <v>21</v>
      </c>
    </row>
    <row r="25" spans="2:3" x14ac:dyDescent="0.2">
      <c r="B25" s="1" t="s">
        <v>22</v>
      </c>
      <c r="C25" s="3" t="s">
        <v>23</v>
      </c>
    </row>
    <row r="26" spans="2:3" x14ac:dyDescent="0.2">
      <c r="B26" s="1" t="s">
        <v>24</v>
      </c>
      <c r="C26" s="3"/>
    </row>
    <row r="27" spans="2:3" x14ac:dyDescent="0.2">
      <c r="B27" s="1" t="s">
        <v>25</v>
      </c>
      <c r="C27" s="3" t="s">
        <v>26</v>
      </c>
    </row>
    <row r="29" spans="2:3" ht="22" customHeight="1" x14ac:dyDescent="0.2">
      <c r="B29" s="34" t="s">
        <v>27</v>
      </c>
      <c r="C29" s="33"/>
    </row>
    <row r="30" spans="2:3" x14ac:dyDescent="0.2">
      <c r="B30" s="35" t="s">
        <v>28</v>
      </c>
      <c r="C30" s="33"/>
    </row>
    <row r="31" spans="2:3" x14ac:dyDescent="0.2">
      <c r="B31" s="32"/>
      <c r="C31" s="33"/>
    </row>
    <row r="32" spans="2:3" ht="14" customHeight="1" x14ac:dyDescent="0.2">
      <c r="B32" s="1" t="s">
        <v>29</v>
      </c>
      <c r="C32" s="3" t="s">
        <v>30</v>
      </c>
    </row>
    <row r="33" spans="2:3" ht="26" customHeight="1" x14ac:dyDescent="0.2">
      <c r="B33" s="1" t="s">
        <v>31</v>
      </c>
      <c r="C33" s="3" t="s">
        <v>32</v>
      </c>
    </row>
    <row r="34" spans="2:3" ht="14" customHeight="1" x14ac:dyDescent="0.2">
      <c r="B34" s="1"/>
      <c r="C34" s="3" t="s">
        <v>33</v>
      </c>
    </row>
    <row r="35" spans="2:3" ht="26" customHeight="1" x14ac:dyDescent="0.2">
      <c r="B35" s="1"/>
      <c r="C35" s="3" t="s">
        <v>34</v>
      </c>
    </row>
    <row r="36" spans="2:3" ht="14" customHeight="1" x14ac:dyDescent="0.2">
      <c r="B36" s="1"/>
      <c r="C36" s="3" t="s">
        <v>35</v>
      </c>
    </row>
    <row r="37" spans="2:3" ht="26" customHeight="1" x14ac:dyDescent="0.2">
      <c r="B37" s="1" t="s">
        <v>36</v>
      </c>
      <c r="C37" s="3" t="s">
        <v>37</v>
      </c>
    </row>
    <row r="38" spans="2:3" ht="14" customHeight="1" x14ac:dyDescent="0.2">
      <c r="B38" s="1" t="s">
        <v>38</v>
      </c>
      <c r="C38" s="3" t="s">
        <v>39</v>
      </c>
    </row>
    <row r="39" spans="2:3" ht="26" customHeight="1" x14ac:dyDescent="0.2">
      <c r="B39" s="1" t="s">
        <v>40</v>
      </c>
      <c r="C39" s="3" t="s">
        <v>41</v>
      </c>
    </row>
    <row r="40" spans="2:3" ht="14" customHeight="1" x14ac:dyDescent="0.2">
      <c r="B40" s="1" t="s">
        <v>42</v>
      </c>
      <c r="C40" s="3" t="s">
        <v>43</v>
      </c>
    </row>
    <row r="41" spans="2:3" x14ac:dyDescent="0.2">
      <c r="B41" s="32"/>
      <c r="C41" s="33"/>
    </row>
    <row r="42" spans="2:3" x14ac:dyDescent="0.2">
      <c r="B42" s="37" t="s">
        <v>44</v>
      </c>
      <c r="C42" s="33"/>
    </row>
    <row r="44" spans="2:3" ht="22" customHeight="1" x14ac:dyDescent="0.2">
      <c r="B44" s="34" t="s">
        <v>45</v>
      </c>
      <c r="C44" s="33"/>
    </row>
    <row r="45" spans="2:3" x14ac:dyDescent="0.2">
      <c r="B45" s="32" t="s">
        <v>46</v>
      </c>
      <c r="C45" s="33"/>
    </row>
    <row r="46" spans="2:3" x14ac:dyDescent="0.2">
      <c r="B46" s="32"/>
      <c r="C46" s="33"/>
    </row>
    <row r="47" spans="2:3" x14ac:dyDescent="0.2">
      <c r="B47" s="32" t="s">
        <v>47</v>
      </c>
      <c r="C47" s="33"/>
    </row>
    <row r="48" spans="2:3" x14ac:dyDescent="0.2">
      <c r="B48" s="32" t="s">
        <v>48</v>
      </c>
      <c r="C48" s="33"/>
    </row>
    <row r="49" spans="2:3" x14ac:dyDescent="0.2">
      <c r="B49" s="32" t="s">
        <v>49</v>
      </c>
      <c r="C49" s="33"/>
    </row>
    <row r="50" spans="2:3" x14ac:dyDescent="0.2">
      <c r="B50" s="32" t="s">
        <v>50</v>
      </c>
      <c r="C50" s="33"/>
    </row>
    <row r="51" spans="2:3" x14ac:dyDescent="0.2">
      <c r="B51" s="32" t="s">
        <v>51</v>
      </c>
      <c r="C51" s="33"/>
    </row>
    <row r="52" spans="2:3" x14ac:dyDescent="0.2">
      <c r="B52" s="32"/>
      <c r="C52" s="33"/>
    </row>
    <row r="53" spans="2:3" x14ac:dyDescent="0.2">
      <c r="B53" s="37" t="s">
        <v>52</v>
      </c>
      <c r="C53" s="33"/>
    </row>
    <row r="55" spans="2:3" ht="22" customHeight="1" x14ac:dyDescent="0.2">
      <c r="B55" s="34" t="s">
        <v>53</v>
      </c>
      <c r="C55" s="33"/>
    </row>
    <row r="56" spans="2:3" x14ac:dyDescent="0.2">
      <c r="B56" s="36" t="s">
        <v>54</v>
      </c>
      <c r="C56" s="33"/>
    </row>
    <row r="57" spans="2:3" x14ac:dyDescent="0.2">
      <c r="B57" s="37" t="s">
        <v>55</v>
      </c>
      <c r="C57" s="33"/>
    </row>
    <row r="58" spans="2:3" x14ac:dyDescent="0.2">
      <c r="B58" s="32"/>
      <c r="C58" s="33"/>
    </row>
    <row r="59" spans="2:3" x14ac:dyDescent="0.2">
      <c r="B59" s="1" t="s">
        <v>56</v>
      </c>
      <c r="C59" s="3" t="s">
        <v>57</v>
      </c>
    </row>
    <row r="60" spans="2:3" x14ac:dyDescent="0.2">
      <c r="B60" s="1" t="s">
        <v>58</v>
      </c>
      <c r="C60" s="3" t="s">
        <v>59</v>
      </c>
    </row>
    <row r="61" spans="2:3" x14ac:dyDescent="0.2">
      <c r="B61" s="1" t="s">
        <v>60</v>
      </c>
      <c r="C61" s="3" t="s">
        <v>61</v>
      </c>
    </row>
    <row r="62" spans="2:3" x14ac:dyDescent="0.2">
      <c r="B62" s="32"/>
      <c r="C62" s="33"/>
    </row>
    <row r="63" spans="2:3" x14ac:dyDescent="0.2">
      <c r="B63" s="36" t="s">
        <v>62</v>
      </c>
      <c r="C63" s="33"/>
    </row>
    <row r="64" spans="2:3" ht="48" customHeight="1" x14ac:dyDescent="0.2">
      <c r="C64" s="4" t="s">
        <v>63</v>
      </c>
    </row>
    <row r="66" spans="2:3" ht="22" customHeight="1" x14ac:dyDescent="0.2">
      <c r="B66" s="34" t="s">
        <v>64</v>
      </c>
      <c r="C66" s="33"/>
    </row>
    <row r="67" spans="2:3" x14ac:dyDescent="0.2">
      <c r="B67" s="35" t="s">
        <v>65</v>
      </c>
      <c r="C67" s="33"/>
    </row>
    <row r="68" spans="2:3" x14ac:dyDescent="0.2">
      <c r="B68" s="32"/>
      <c r="C68" s="33"/>
    </row>
    <row r="69" spans="2:3" x14ac:dyDescent="0.2">
      <c r="B69" s="32" t="s">
        <v>66</v>
      </c>
      <c r="C69" s="33"/>
    </row>
    <row r="70" spans="2:3" x14ac:dyDescent="0.2">
      <c r="B70" s="32"/>
      <c r="C70" s="33"/>
    </row>
    <row r="71" spans="2:3" x14ac:dyDescent="0.2">
      <c r="B71" s="32" t="s">
        <v>67</v>
      </c>
      <c r="C71" s="33"/>
    </row>
    <row r="72" spans="2:3" x14ac:dyDescent="0.2">
      <c r="B72" s="32" t="s">
        <v>68</v>
      </c>
      <c r="C72" s="33"/>
    </row>
    <row r="73" spans="2:3" x14ac:dyDescent="0.2">
      <c r="B73" s="32"/>
      <c r="C73" s="33"/>
    </row>
    <row r="74" spans="2:3" x14ac:dyDescent="0.2">
      <c r="B74" s="37" t="s">
        <v>69</v>
      </c>
      <c r="C74" s="33"/>
    </row>
    <row r="75" spans="2:3" x14ac:dyDescent="0.2">
      <c r="B75" s="32"/>
      <c r="C75" s="33"/>
    </row>
    <row r="76" spans="2:3" x14ac:dyDescent="0.2">
      <c r="B76" s="1" t="s">
        <v>70</v>
      </c>
      <c r="C76" s="5" t="s">
        <v>71</v>
      </c>
    </row>
    <row r="77" spans="2:3" x14ac:dyDescent="0.2">
      <c r="B77" s="6" t="s">
        <v>72</v>
      </c>
      <c r="C77" s="5" t="s">
        <v>73</v>
      </c>
    </row>
    <row r="78" spans="2:3" x14ac:dyDescent="0.2">
      <c r="B78" s="6" t="s">
        <v>72</v>
      </c>
      <c r="C78" s="5" t="s">
        <v>74</v>
      </c>
    </row>
    <row r="79" spans="2:3" x14ac:dyDescent="0.2">
      <c r="B79" s="6" t="s">
        <v>72</v>
      </c>
      <c r="C79" s="5" t="s">
        <v>75</v>
      </c>
    </row>
    <row r="80" spans="2:3" x14ac:dyDescent="0.2">
      <c r="B80" s="6" t="s">
        <v>72</v>
      </c>
      <c r="C80" s="5" t="s">
        <v>76</v>
      </c>
    </row>
    <row r="82" spans="2:3" ht="22" customHeight="1" x14ac:dyDescent="0.2">
      <c r="B82" s="34" t="s">
        <v>77</v>
      </c>
      <c r="C82" s="33"/>
    </row>
    <row r="83" spans="2:3" ht="14" customHeight="1" x14ac:dyDescent="0.2">
      <c r="B83" s="1" t="s">
        <v>78</v>
      </c>
      <c r="C83" s="3" t="s">
        <v>79</v>
      </c>
    </row>
    <row r="84" spans="2:3" ht="14" customHeight="1" x14ac:dyDescent="0.2">
      <c r="B84" s="1" t="s">
        <v>80</v>
      </c>
      <c r="C84" s="3" t="s">
        <v>81</v>
      </c>
    </row>
    <row r="85" spans="2:3" ht="14" customHeight="1" x14ac:dyDescent="0.2">
      <c r="B85" s="1" t="s">
        <v>82</v>
      </c>
      <c r="C85" s="3" t="s">
        <v>83</v>
      </c>
    </row>
    <row r="86" spans="2:3" ht="14" customHeight="1" x14ac:dyDescent="0.2">
      <c r="B86" s="1" t="s">
        <v>84</v>
      </c>
      <c r="C86" s="3" t="s">
        <v>85</v>
      </c>
    </row>
    <row r="87" spans="2:3" ht="14" customHeight="1" x14ac:dyDescent="0.2">
      <c r="B87" s="1" t="s">
        <v>86</v>
      </c>
      <c r="C87" s="3" t="s">
        <v>87</v>
      </c>
    </row>
    <row r="88" spans="2:3" ht="14" customHeight="1" x14ac:dyDescent="0.2">
      <c r="B88" s="1" t="s">
        <v>88</v>
      </c>
      <c r="C88" s="3" t="s">
        <v>89</v>
      </c>
    </row>
    <row r="89" spans="2:3" ht="14" customHeight="1" x14ac:dyDescent="0.2">
      <c r="B89" s="1" t="s">
        <v>90</v>
      </c>
      <c r="C89" s="3" t="s">
        <v>91</v>
      </c>
    </row>
    <row r="90" spans="2:3" x14ac:dyDescent="0.2">
      <c r="B90" s="32"/>
      <c r="C90" s="33"/>
    </row>
    <row r="91" spans="2:3" x14ac:dyDescent="0.2">
      <c r="B91" s="32" t="s">
        <v>92</v>
      </c>
      <c r="C91" s="33"/>
    </row>
    <row r="92" spans="2:3" x14ac:dyDescent="0.2">
      <c r="B92" s="37" t="s">
        <v>93</v>
      </c>
      <c r="C92" s="33"/>
    </row>
    <row r="94" spans="2:3" ht="22" customHeight="1" x14ac:dyDescent="0.2">
      <c r="B94" s="34" t="s">
        <v>94</v>
      </c>
      <c r="C94" s="33"/>
    </row>
    <row r="95" spans="2:3" x14ac:dyDescent="0.2">
      <c r="B95" s="36" t="s">
        <v>95</v>
      </c>
      <c r="C95" s="33"/>
    </row>
    <row r="96" spans="2:3" x14ac:dyDescent="0.2">
      <c r="B96" s="32"/>
      <c r="C96" s="33"/>
    </row>
    <row r="97" spans="2:3" x14ac:dyDescent="0.2">
      <c r="B97" s="32" t="s">
        <v>96</v>
      </c>
      <c r="C97" s="33"/>
    </row>
    <row r="98" spans="2:3" x14ac:dyDescent="0.2">
      <c r="B98" s="32"/>
      <c r="C98" s="33"/>
    </row>
    <row r="99" spans="2:3" x14ac:dyDescent="0.2">
      <c r="B99" s="32" t="s">
        <v>97</v>
      </c>
      <c r="C99" s="33"/>
    </row>
    <row r="100" spans="2:3" x14ac:dyDescent="0.2">
      <c r="B100" s="32"/>
      <c r="C100" s="33"/>
    </row>
    <row r="101" spans="2:3" x14ac:dyDescent="0.2">
      <c r="B101" s="32" t="s">
        <v>98</v>
      </c>
      <c r="C101" s="33"/>
    </row>
    <row r="102" spans="2:3" x14ac:dyDescent="0.2">
      <c r="B102" s="32"/>
      <c r="C102" s="33"/>
    </row>
    <row r="103" spans="2:3" x14ac:dyDescent="0.2">
      <c r="B103" s="37" t="s">
        <v>99</v>
      </c>
      <c r="C103" s="33"/>
    </row>
    <row r="105" spans="2:3" ht="22" customHeight="1" x14ac:dyDescent="0.2">
      <c r="B105" s="34" t="s">
        <v>100</v>
      </c>
      <c r="C105" s="33"/>
    </row>
    <row r="106" spans="2:3" x14ac:dyDescent="0.2">
      <c r="B106" s="7" t="s">
        <v>101</v>
      </c>
      <c r="C106" s="3" t="s">
        <v>102</v>
      </c>
    </row>
    <row r="107" spans="2:3" x14ac:dyDescent="0.2">
      <c r="B107" s="8" t="s">
        <v>103</v>
      </c>
      <c r="C107" s="3" t="s">
        <v>104</v>
      </c>
    </row>
    <row r="108" spans="2:3" x14ac:dyDescent="0.2">
      <c r="B108" s="9" t="s">
        <v>105</v>
      </c>
      <c r="C108" s="3" t="s">
        <v>106</v>
      </c>
    </row>
    <row r="109" spans="2:3" x14ac:dyDescent="0.2">
      <c r="B109" s="10" t="s">
        <v>107</v>
      </c>
      <c r="C109" s="3" t="s">
        <v>108</v>
      </c>
    </row>
    <row r="110" spans="2:3" x14ac:dyDescent="0.2">
      <c r="B110" s="11" t="s">
        <v>109</v>
      </c>
      <c r="C110" s="3" t="s">
        <v>110</v>
      </c>
    </row>
    <row r="112" spans="2:3" ht="22" customHeight="1" x14ac:dyDescent="0.2">
      <c r="B112" s="34" t="s">
        <v>111</v>
      </c>
      <c r="C112" s="33"/>
    </row>
    <row r="113" spans="2:3" x14ac:dyDescent="0.2">
      <c r="B113" s="32" t="s">
        <v>112</v>
      </c>
      <c r="C113" s="33"/>
    </row>
    <row r="114" spans="2:3" x14ac:dyDescent="0.2">
      <c r="B114" s="32"/>
      <c r="C114" s="33"/>
    </row>
    <row r="115" spans="2:3" ht="26" customHeight="1" x14ac:dyDescent="0.2">
      <c r="B115" s="6" t="s">
        <v>113</v>
      </c>
      <c r="C115" s="3" t="s">
        <v>114</v>
      </c>
    </row>
    <row r="116" spans="2:3" ht="14" customHeight="1" x14ac:dyDescent="0.2">
      <c r="B116" s="6" t="s">
        <v>115</v>
      </c>
      <c r="C116" s="3" t="s">
        <v>116</v>
      </c>
    </row>
    <row r="117" spans="2:3" ht="26" customHeight="1" x14ac:dyDescent="0.2">
      <c r="B117" s="6" t="s">
        <v>117</v>
      </c>
      <c r="C117" s="3" t="s">
        <v>118</v>
      </c>
    </row>
    <row r="119" spans="2:3" ht="22" customHeight="1" x14ac:dyDescent="0.2">
      <c r="B119" s="34" t="s">
        <v>119</v>
      </c>
      <c r="C119" s="33"/>
    </row>
    <row r="120" spans="2:3" x14ac:dyDescent="0.2">
      <c r="B120" s="32" t="s">
        <v>120</v>
      </c>
      <c r="C120" s="33"/>
    </row>
    <row r="121" spans="2:3" x14ac:dyDescent="0.2">
      <c r="B121" s="32" t="s">
        <v>121</v>
      </c>
      <c r="C121" s="33"/>
    </row>
    <row r="122" spans="2:3" x14ac:dyDescent="0.2">
      <c r="B122" s="32" t="s">
        <v>122</v>
      </c>
      <c r="C122" s="33"/>
    </row>
    <row r="123" spans="2:3" x14ac:dyDescent="0.2">
      <c r="B123" s="32" t="s">
        <v>123</v>
      </c>
      <c r="C123" s="33"/>
    </row>
    <row r="124" spans="2:3" x14ac:dyDescent="0.2">
      <c r="B124" s="32" t="s">
        <v>124</v>
      </c>
      <c r="C124" s="33"/>
    </row>
    <row r="125" spans="2:3" x14ac:dyDescent="0.2">
      <c r="B125" s="32" t="s">
        <v>125</v>
      </c>
      <c r="C125" s="33"/>
    </row>
    <row r="126" spans="2:3" x14ac:dyDescent="0.2">
      <c r="B126" s="32" t="s">
        <v>126</v>
      </c>
      <c r="C126" s="33"/>
    </row>
    <row r="127" spans="2:3" x14ac:dyDescent="0.2">
      <c r="B127" s="32" t="s">
        <v>127</v>
      </c>
      <c r="C127" s="33"/>
    </row>
    <row r="128" spans="2:3" x14ac:dyDescent="0.2">
      <c r="B128" s="32"/>
      <c r="C128" s="33"/>
    </row>
    <row r="129" spans="2:3" x14ac:dyDescent="0.2">
      <c r="B129" s="37" t="s">
        <v>128</v>
      </c>
      <c r="C129" s="33"/>
    </row>
    <row r="131" spans="2:3" ht="22" customHeight="1" x14ac:dyDescent="0.2">
      <c r="B131" s="34" t="s">
        <v>129</v>
      </c>
      <c r="C131" s="33"/>
    </row>
    <row r="132" spans="2:3" x14ac:dyDescent="0.2">
      <c r="B132" s="36" t="s">
        <v>130</v>
      </c>
      <c r="C132" s="33"/>
    </row>
    <row r="133" spans="2:3" x14ac:dyDescent="0.2">
      <c r="B133" s="32"/>
      <c r="C133" s="33"/>
    </row>
    <row r="134" spans="2:3" x14ac:dyDescent="0.2">
      <c r="B134" s="32" t="s">
        <v>131</v>
      </c>
      <c r="C134" s="33"/>
    </row>
    <row r="135" spans="2:3" x14ac:dyDescent="0.2">
      <c r="B135" s="32" t="s">
        <v>132</v>
      </c>
      <c r="C135" s="33"/>
    </row>
    <row r="136" spans="2:3" x14ac:dyDescent="0.2">
      <c r="B136" s="32" t="s">
        <v>133</v>
      </c>
      <c r="C136" s="33"/>
    </row>
    <row r="137" spans="2:3" x14ac:dyDescent="0.2">
      <c r="B137" s="32" t="s">
        <v>134</v>
      </c>
      <c r="C137" s="33"/>
    </row>
    <row r="138" spans="2:3" x14ac:dyDescent="0.2">
      <c r="B138" s="32" t="s">
        <v>135</v>
      </c>
      <c r="C138" s="33"/>
    </row>
    <row r="139" spans="2:3" x14ac:dyDescent="0.2">
      <c r="B139" s="32" t="s">
        <v>136</v>
      </c>
      <c r="C139" s="33"/>
    </row>
    <row r="141" spans="2:3" ht="22" customHeight="1" x14ac:dyDescent="0.2">
      <c r="B141" s="34" t="s">
        <v>137</v>
      </c>
      <c r="C141" s="33"/>
    </row>
    <row r="142" spans="2:3" x14ac:dyDescent="0.2">
      <c r="B142" s="35" t="s">
        <v>138</v>
      </c>
      <c r="C142" s="33"/>
    </row>
    <row r="143" spans="2:3" x14ac:dyDescent="0.2">
      <c r="B143" s="32" t="s">
        <v>139</v>
      </c>
      <c r="C143" s="33"/>
    </row>
    <row r="144" spans="2:3" x14ac:dyDescent="0.2">
      <c r="B144" s="32" t="s">
        <v>140</v>
      </c>
      <c r="C144" s="33"/>
    </row>
  </sheetData>
  <mergeCells count="88">
    <mergeCell ref="B5:C5"/>
    <mergeCell ref="B20:C20"/>
    <mergeCell ref="B133:C133"/>
    <mergeCell ref="B45:C45"/>
    <mergeCell ref="B94:C94"/>
    <mergeCell ref="B126:C126"/>
    <mergeCell ref="B75:C75"/>
    <mergeCell ref="B47:C47"/>
    <mergeCell ref="B62:C62"/>
    <mergeCell ref="B46:C46"/>
    <mergeCell ref="B70:C70"/>
    <mergeCell ref="B48:C48"/>
    <mergeCell ref="B8:C8"/>
    <mergeCell ref="B73:C73"/>
    <mergeCell ref="B128:C128"/>
    <mergeCell ref="B10:C10"/>
    <mergeCell ref="B19:C19"/>
    <mergeCell ref="B99:C99"/>
    <mergeCell ref="B9:C9"/>
    <mergeCell ref="B143:C143"/>
    <mergeCell ref="B92:C92"/>
    <mergeCell ref="B30:C30"/>
    <mergeCell ref="B124:C124"/>
    <mergeCell ref="B135:C135"/>
    <mergeCell ref="B136:C136"/>
    <mergeCell ref="B137:C137"/>
    <mergeCell ref="B74:C74"/>
    <mergeCell ref="B68:C68"/>
    <mergeCell ref="B139:C139"/>
    <mergeCell ref="B114:C114"/>
    <mergeCell ref="B123:C123"/>
    <mergeCell ref="B50:C50"/>
    <mergeCell ref="B142:C142"/>
    <mergeCell ref="B95:C95"/>
    <mergeCell ref="B144:C144"/>
    <mergeCell ref="B97:C97"/>
    <mergeCell ref="B125:C125"/>
    <mergeCell ref="B134:C134"/>
    <mergeCell ref="B121:C121"/>
    <mergeCell ref="B122:C122"/>
    <mergeCell ref="B96:C96"/>
    <mergeCell ref="B105:C105"/>
    <mergeCell ref="B120:C120"/>
    <mergeCell ref="B98:C98"/>
    <mergeCell ref="B113:C113"/>
    <mergeCell ref="B3:C3"/>
    <mergeCell ref="B66:C66"/>
    <mergeCell ref="B131:C131"/>
    <mergeCell ref="B18:C18"/>
    <mergeCell ref="B2:C2"/>
    <mergeCell ref="B53:C53"/>
    <mergeCell ref="B119:C119"/>
    <mergeCell ref="B29:C29"/>
    <mergeCell ref="B103:C103"/>
    <mergeCell ref="B6:C6"/>
    <mergeCell ref="B15:C15"/>
    <mergeCell ref="B7:C7"/>
    <mergeCell ref="B72:C72"/>
    <mergeCell ref="B56:C56"/>
    <mergeCell ref="B71:C71"/>
    <mergeCell ref="B58:C58"/>
    <mergeCell ref="B12:C12"/>
    <mergeCell ref="B67:C67"/>
    <mergeCell ref="B101:C101"/>
    <mergeCell ref="B13:C13"/>
    <mergeCell ref="B69:C69"/>
    <mergeCell ref="B49:C49"/>
    <mergeCell ref="B55:C55"/>
    <mergeCell ref="B51:C51"/>
    <mergeCell ref="B63:C63"/>
    <mergeCell ref="B41:C41"/>
    <mergeCell ref="B16:C16"/>
    <mergeCell ref="B90:C90"/>
    <mergeCell ref="B52:C52"/>
    <mergeCell ref="B42:C42"/>
    <mergeCell ref="B57:C57"/>
    <mergeCell ref="B82:C82"/>
    <mergeCell ref="B91:C91"/>
    <mergeCell ref="B100:C100"/>
    <mergeCell ref="B141:C141"/>
    <mergeCell ref="B31:C31"/>
    <mergeCell ref="B102:C102"/>
    <mergeCell ref="B112:C112"/>
    <mergeCell ref="B127:C127"/>
    <mergeCell ref="B129:C129"/>
    <mergeCell ref="B138:C138"/>
    <mergeCell ref="B132:C132"/>
    <mergeCell ref="B44:C4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2"/>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2" width="24" customWidth="1"/>
    <col min="3" max="3" width="20" customWidth="1"/>
    <col min="4" max="4" width="22" customWidth="1"/>
    <col min="5" max="5" width="16" customWidth="1"/>
    <col min="6" max="6" width="26" customWidth="1"/>
    <col min="7" max="7" width="12" customWidth="1"/>
    <col min="8" max="8" width="22" customWidth="1"/>
  </cols>
  <sheetData>
    <row r="1" spans="1:8" x14ac:dyDescent="0.2">
      <c r="A1" s="12" t="s">
        <v>141</v>
      </c>
      <c r="B1" s="12" t="s">
        <v>142</v>
      </c>
      <c r="C1" s="12" t="s">
        <v>143</v>
      </c>
      <c r="D1" s="12" t="s">
        <v>144</v>
      </c>
      <c r="E1" s="12" t="s">
        <v>145</v>
      </c>
      <c r="F1" s="12" t="s">
        <v>146</v>
      </c>
      <c r="G1" s="12" t="s">
        <v>147</v>
      </c>
      <c r="H1" s="12" t="s">
        <v>148</v>
      </c>
    </row>
    <row r="2" spans="1:8" x14ac:dyDescent="0.2">
      <c r="A2" s="13" t="s">
        <v>149</v>
      </c>
      <c r="B2" s="13" t="s">
        <v>150</v>
      </c>
      <c r="C2" s="13" t="s">
        <v>151</v>
      </c>
      <c r="D2" s="13"/>
      <c r="E2" s="13" t="s">
        <v>152</v>
      </c>
      <c r="F2" s="13" t="s">
        <v>153</v>
      </c>
      <c r="G2" s="13" t="s">
        <v>154</v>
      </c>
      <c r="H2" s="14" t="str">
        <f>IF(OR($G2&lt;&gt;"liaison",$D2=""),"",$D2&amp;"#"&amp;COUNTIFS($D$2:$D2,$D2,$G$2:$G2,"liaison"))</f>
        <v/>
      </c>
    </row>
    <row r="3" spans="1:8" x14ac:dyDescent="0.2">
      <c r="A3" s="13" t="s">
        <v>155</v>
      </c>
      <c r="B3" s="13" t="s">
        <v>156</v>
      </c>
      <c r="C3" s="13" t="s">
        <v>157</v>
      </c>
      <c r="D3" s="13" t="s">
        <v>158</v>
      </c>
      <c r="E3" s="13" t="s">
        <v>159</v>
      </c>
      <c r="F3" s="13" t="s">
        <v>160</v>
      </c>
      <c r="G3" s="13" t="s">
        <v>161</v>
      </c>
      <c r="H3" s="14" t="str">
        <f>IF(OR($G3&lt;&gt;"liaison",$D3=""),"",$D3&amp;"#"&amp;COUNTIFS($D$2:$D3,$D3,$G$2:$G3,"liaison"))</f>
        <v>UNC Taar Heel Raas#1</v>
      </c>
    </row>
    <row r="4" spans="1:8" x14ac:dyDescent="0.2">
      <c r="A4" s="13" t="s">
        <v>162</v>
      </c>
      <c r="B4" s="13" t="s">
        <v>163</v>
      </c>
      <c r="C4" s="13" t="s">
        <v>157</v>
      </c>
      <c r="D4" s="13" t="s">
        <v>158</v>
      </c>
      <c r="E4" s="13" t="s">
        <v>164</v>
      </c>
      <c r="F4" s="13" t="s">
        <v>165</v>
      </c>
      <c r="G4" s="13" t="s">
        <v>161</v>
      </c>
      <c r="H4" s="14" t="str">
        <f>IF(OR($G4&lt;&gt;"liaison",$D4=""),"",$D4&amp;"#"&amp;COUNTIFS($D$2:$D4,$D4,$G$2:$G4,"liaison"))</f>
        <v>UNC Taar Heel Raas#2</v>
      </c>
    </row>
    <row r="5" spans="1:8" x14ac:dyDescent="0.2">
      <c r="A5" s="13" t="s">
        <v>166</v>
      </c>
      <c r="B5" s="13" t="s">
        <v>167</v>
      </c>
      <c r="C5" s="13" t="s">
        <v>157</v>
      </c>
      <c r="D5" s="13" t="s">
        <v>158</v>
      </c>
      <c r="E5" s="13" t="s">
        <v>168</v>
      </c>
      <c r="F5" s="13" t="s">
        <v>169</v>
      </c>
      <c r="G5" s="13" t="s">
        <v>161</v>
      </c>
      <c r="H5" s="14" t="str">
        <f>IF(OR($G5&lt;&gt;"liaison",$D5=""),"",$D5&amp;"#"&amp;COUNTIFS($D$2:$D5,$D5,$G$2:$G5,"liaison"))</f>
        <v>UNC Taar Heel Raas#3</v>
      </c>
    </row>
    <row r="6" spans="1:8" x14ac:dyDescent="0.2">
      <c r="A6" s="13" t="s">
        <v>170</v>
      </c>
      <c r="B6" s="13" t="s">
        <v>171</v>
      </c>
      <c r="C6" s="13" t="s">
        <v>172</v>
      </c>
      <c r="D6" s="13"/>
      <c r="E6" s="13" t="s">
        <v>173</v>
      </c>
      <c r="F6" s="13" t="s">
        <v>174</v>
      </c>
      <c r="G6" s="13" t="s">
        <v>175</v>
      </c>
      <c r="H6" s="14" t="str">
        <f>IF(OR($G6&lt;&gt;"liaison",$D6=""),"",$D6&amp;"#"&amp;COUNTIFS($D$2:$D6,$D6,$G$2:$G6,"liaison"))</f>
        <v/>
      </c>
    </row>
    <row r="7" spans="1:8" x14ac:dyDescent="0.2">
      <c r="A7" s="13" t="s">
        <v>176</v>
      </c>
      <c r="B7" s="13" t="s">
        <v>177</v>
      </c>
      <c r="C7" s="13" t="s">
        <v>178</v>
      </c>
      <c r="D7" s="13"/>
      <c r="E7" s="13" t="s">
        <v>179</v>
      </c>
      <c r="F7" s="13" t="s">
        <v>180</v>
      </c>
      <c r="G7" s="13" t="s">
        <v>181</v>
      </c>
      <c r="H7" s="14" t="str">
        <f>IF(OR($G7&lt;&gt;"liaison",$D7=""),"",$D7&amp;"#"&amp;COUNTIFS($D$2:$D7,$D7,$G$2:$G7,"liaison"))</f>
        <v/>
      </c>
    </row>
    <row r="8" spans="1:8" x14ac:dyDescent="0.2">
      <c r="A8" s="15"/>
      <c r="B8" s="16"/>
      <c r="C8" s="16"/>
      <c r="D8" s="16"/>
      <c r="E8" s="16"/>
      <c r="F8" s="16"/>
      <c r="G8" s="16"/>
      <c r="H8" s="14" t="str">
        <f>IF(OR($G8&lt;&gt;"liaison",$D8=""),"",$D8&amp;"#"&amp;COUNTIFS($D$2:$D8,$D8,$G$2:$G8,"liaison"))</f>
        <v/>
      </c>
    </row>
    <row r="9" spans="1:8" x14ac:dyDescent="0.2">
      <c r="A9" s="16"/>
      <c r="B9" s="16"/>
      <c r="C9" s="16"/>
      <c r="D9" s="16"/>
      <c r="E9" s="16"/>
      <c r="F9" s="16"/>
      <c r="G9" s="16"/>
      <c r="H9" s="14" t="str">
        <f>IF(OR($G9&lt;&gt;"liaison",$D9=""),"",$D9&amp;"#"&amp;COUNTIFS($D$2:$D9,$D9,$G$2:$G9,"liaison"))</f>
        <v/>
      </c>
    </row>
    <row r="10" spans="1:8" x14ac:dyDescent="0.2">
      <c r="A10" s="16"/>
      <c r="B10" s="16"/>
      <c r="C10" s="16"/>
      <c r="D10" s="16"/>
      <c r="E10" s="16"/>
      <c r="F10" s="16"/>
      <c r="G10" s="16"/>
      <c r="H10" s="14" t="str">
        <f>IF(OR($G10&lt;&gt;"liaison",$D10=""),"",$D10&amp;"#"&amp;COUNTIFS($D$2:$D10,$D10,$G$2:$G10,"liaison"))</f>
        <v/>
      </c>
    </row>
    <row r="11" spans="1:8" x14ac:dyDescent="0.2">
      <c r="A11" s="16"/>
      <c r="B11" s="16"/>
      <c r="C11" s="16"/>
      <c r="D11" s="16"/>
      <c r="E11" s="16"/>
      <c r="F11" s="16"/>
      <c r="G11" s="16"/>
      <c r="H11" s="14" t="str">
        <f>IF(OR($G11&lt;&gt;"liaison",$D11=""),"",$D11&amp;"#"&amp;COUNTIFS($D$2:$D11,$D11,$G$2:$G11,"liaison"))</f>
        <v/>
      </c>
    </row>
    <row r="12" spans="1:8" x14ac:dyDescent="0.2">
      <c r="A12" s="16"/>
      <c r="B12" s="16"/>
      <c r="C12" s="16"/>
      <c r="D12" s="16"/>
      <c r="E12" s="16"/>
      <c r="F12" s="16"/>
      <c r="G12" s="16"/>
      <c r="H12" s="14" t="str">
        <f>IF(OR($G12&lt;&gt;"liaison",$D12=""),"",$D12&amp;"#"&amp;COUNTIFS($D$2:$D12,$D12,$G$2:$G12,"liaison"))</f>
        <v/>
      </c>
    </row>
    <row r="13" spans="1:8" x14ac:dyDescent="0.2">
      <c r="A13" s="16"/>
      <c r="B13" s="16"/>
      <c r="C13" s="16"/>
      <c r="D13" s="16"/>
      <c r="E13" s="16"/>
      <c r="F13" s="16"/>
      <c r="G13" s="16"/>
      <c r="H13" s="14" t="str">
        <f>IF(OR($G13&lt;&gt;"liaison",$D13=""),"",$D13&amp;"#"&amp;COUNTIFS($D$2:$D13,$D13,$G$2:$G13,"liaison"))</f>
        <v/>
      </c>
    </row>
    <row r="14" spans="1:8" x14ac:dyDescent="0.2">
      <c r="A14" s="16"/>
      <c r="B14" s="16"/>
      <c r="C14" s="16"/>
      <c r="D14" s="16"/>
      <c r="E14" s="16"/>
      <c r="F14" s="16"/>
      <c r="G14" s="16"/>
      <c r="H14" s="14" t="str">
        <f>IF(OR($G14&lt;&gt;"liaison",$D14=""),"",$D14&amp;"#"&amp;COUNTIFS($D$2:$D14,$D14,$G$2:$G14,"liaison"))</f>
        <v/>
      </c>
    </row>
    <row r="15" spans="1:8" x14ac:dyDescent="0.2">
      <c r="A15" s="16"/>
      <c r="B15" s="16"/>
      <c r="C15" s="16"/>
      <c r="D15" s="16"/>
      <c r="E15" s="16"/>
      <c r="F15" s="16"/>
      <c r="G15" s="16"/>
      <c r="H15" s="14" t="str">
        <f>IF(OR($G15&lt;&gt;"liaison",$D15=""),"",$D15&amp;"#"&amp;COUNTIFS($D$2:$D15,$D15,$G$2:$G15,"liaison"))</f>
        <v/>
      </c>
    </row>
    <row r="16" spans="1:8" x14ac:dyDescent="0.2">
      <c r="A16" s="16"/>
      <c r="B16" s="16"/>
      <c r="C16" s="16"/>
      <c r="D16" s="16"/>
      <c r="E16" s="16"/>
      <c r="F16" s="16"/>
      <c r="G16" s="16"/>
      <c r="H16" s="14" t="str">
        <f>IF(OR($G16&lt;&gt;"liaison",$D16=""),"",$D16&amp;"#"&amp;COUNTIFS($D$2:$D16,$D16,$G$2:$G16,"liaison"))</f>
        <v/>
      </c>
    </row>
    <row r="17" spans="1:8" x14ac:dyDescent="0.2">
      <c r="A17" s="16"/>
      <c r="B17" s="16"/>
      <c r="C17" s="16"/>
      <c r="D17" s="16"/>
      <c r="E17" s="16"/>
      <c r="F17" s="16"/>
      <c r="G17" s="16"/>
      <c r="H17" s="14" t="str">
        <f>IF(OR($G17&lt;&gt;"liaison",$D17=""),"",$D17&amp;"#"&amp;COUNTIFS($D$2:$D17,$D17,$G$2:$G17,"liaison"))</f>
        <v/>
      </c>
    </row>
    <row r="18" spans="1:8" x14ac:dyDescent="0.2">
      <c r="A18" s="16"/>
      <c r="B18" s="16"/>
      <c r="C18" s="16"/>
      <c r="D18" s="16"/>
      <c r="E18" s="16"/>
      <c r="F18" s="16"/>
      <c r="G18" s="16"/>
      <c r="H18" s="14" t="str">
        <f>IF(OR($G18&lt;&gt;"liaison",$D18=""),"",$D18&amp;"#"&amp;COUNTIFS($D$2:$D18,$D18,$G$2:$G18,"liaison"))</f>
        <v/>
      </c>
    </row>
    <row r="19" spans="1:8" x14ac:dyDescent="0.2">
      <c r="A19" s="16"/>
      <c r="B19" s="16"/>
      <c r="C19" s="16"/>
      <c r="D19" s="16"/>
      <c r="E19" s="16"/>
      <c r="F19" s="16"/>
      <c r="G19" s="16"/>
      <c r="H19" s="14" t="str">
        <f>IF(OR($G19&lt;&gt;"liaison",$D19=""),"",$D19&amp;"#"&amp;COUNTIFS($D$2:$D19,$D19,$G$2:$G19,"liaison"))</f>
        <v/>
      </c>
    </row>
    <row r="20" spans="1:8" x14ac:dyDescent="0.2">
      <c r="A20" s="16"/>
      <c r="B20" s="16"/>
      <c r="C20" s="16"/>
      <c r="D20" s="16"/>
      <c r="E20" s="16"/>
      <c r="F20" s="16"/>
      <c r="G20" s="16"/>
      <c r="H20" s="14" t="str">
        <f>IF(OR($G20&lt;&gt;"liaison",$D20=""),"",$D20&amp;"#"&amp;COUNTIFS($D$2:$D20,$D20,$G$2:$G20,"liaison"))</f>
        <v/>
      </c>
    </row>
    <row r="21" spans="1:8" x14ac:dyDescent="0.2">
      <c r="A21" s="16"/>
      <c r="B21" s="16"/>
      <c r="C21" s="16"/>
      <c r="D21" s="16"/>
      <c r="E21" s="16"/>
      <c r="F21" s="16"/>
      <c r="G21" s="16"/>
      <c r="H21" s="14" t="str">
        <f>IF(OR($G21&lt;&gt;"liaison",$D21=""),"",$D21&amp;"#"&amp;COUNTIFS($D$2:$D21,$D21,$G$2:$G21,"liaison"))</f>
        <v/>
      </c>
    </row>
    <row r="22" spans="1:8" x14ac:dyDescent="0.2">
      <c r="A22" s="16"/>
      <c r="B22" s="16"/>
      <c r="C22" s="16"/>
      <c r="D22" s="16"/>
      <c r="E22" s="16"/>
      <c r="F22" s="16"/>
      <c r="G22" s="16"/>
      <c r="H22" s="14" t="str">
        <f>IF(OR($G22&lt;&gt;"liaison",$D22=""),"",$D22&amp;"#"&amp;COUNTIFS($D$2:$D22,$D22,$G$2:$G22,"liaison"))</f>
        <v/>
      </c>
    </row>
    <row r="23" spans="1:8" x14ac:dyDescent="0.2">
      <c r="A23" s="16"/>
      <c r="B23" s="16"/>
      <c r="C23" s="16"/>
      <c r="D23" s="16"/>
      <c r="E23" s="16"/>
      <c r="F23" s="16"/>
      <c r="G23" s="16"/>
      <c r="H23" s="14" t="str">
        <f>IF(OR($G23&lt;&gt;"liaison",$D23=""),"",$D23&amp;"#"&amp;COUNTIFS($D$2:$D23,$D23,$G$2:$G23,"liaison"))</f>
        <v/>
      </c>
    </row>
    <row r="24" spans="1:8" x14ac:dyDescent="0.2">
      <c r="A24" s="16"/>
      <c r="B24" s="16"/>
      <c r="C24" s="16"/>
      <c r="D24" s="16"/>
      <c r="E24" s="16"/>
      <c r="F24" s="16"/>
      <c r="G24" s="16"/>
      <c r="H24" s="14" t="str">
        <f>IF(OR($G24&lt;&gt;"liaison",$D24=""),"",$D24&amp;"#"&amp;COUNTIFS($D$2:$D24,$D24,$G$2:$G24,"liaison"))</f>
        <v/>
      </c>
    </row>
    <row r="25" spans="1:8" x14ac:dyDescent="0.2">
      <c r="A25" s="16"/>
      <c r="B25" s="16"/>
      <c r="C25" s="16"/>
      <c r="D25" s="16"/>
      <c r="E25" s="16"/>
      <c r="F25" s="16"/>
      <c r="G25" s="16"/>
      <c r="H25" s="14" t="str">
        <f>IF(OR($G25&lt;&gt;"liaison",$D25=""),"",$D25&amp;"#"&amp;COUNTIFS($D$2:$D25,$D25,$G$2:$G25,"liaison"))</f>
        <v/>
      </c>
    </row>
    <row r="26" spans="1:8" x14ac:dyDescent="0.2">
      <c r="A26" s="16"/>
      <c r="B26" s="16"/>
      <c r="C26" s="16"/>
      <c r="D26" s="16"/>
      <c r="E26" s="16"/>
      <c r="F26" s="16"/>
      <c r="G26" s="16"/>
      <c r="H26" s="14" t="str">
        <f>IF(OR($G26&lt;&gt;"liaison",$D26=""),"",$D26&amp;"#"&amp;COUNTIFS($D$2:$D26,$D26,$G$2:$G26,"liaison"))</f>
        <v/>
      </c>
    </row>
    <row r="27" spans="1:8" x14ac:dyDescent="0.2">
      <c r="A27" s="16"/>
      <c r="B27" s="16"/>
      <c r="C27" s="16"/>
      <c r="D27" s="16"/>
      <c r="E27" s="16"/>
      <c r="F27" s="16"/>
      <c r="G27" s="16"/>
      <c r="H27" s="14" t="str">
        <f>IF(OR($G27&lt;&gt;"liaison",$D27=""),"",$D27&amp;"#"&amp;COUNTIFS($D$2:$D27,$D27,$G$2:$G27,"liaison"))</f>
        <v/>
      </c>
    </row>
    <row r="28" spans="1:8" x14ac:dyDescent="0.2">
      <c r="A28" s="16"/>
      <c r="B28" s="16"/>
      <c r="C28" s="16"/>
      <c r="D28" s="16"/>
      <c r="E28" s="16"/>
      <c r="F28" s="16"/>
      <c r="G28" s="16"/>
      <c r="H28" s="14" t="str">
        <f>IF(OR($G28&lt;&gt;"liaison",$D28=""),"",$D28&amp;"#"&amp;COUNTIFS($D$2:$D28,$D28,$G$2:$G28,"liaison"))</f>
        <v/>
      </c>
    </row>
    <row r="29" spans="1:8" x14ac:dyDescent="0.2">
      <c r="A29" s="16"/>
      <c r="B29" s="16"/>
      <c r="C29" s="16"/>
      <c r="D29" s="16"/>
      <c r="E29" s="16"/>
      <c r="F29" s="16"/>
      <c r="G29" s="16"/>
      <c r="H29" s="14" t="str">
        <f>IF(OR($G29&lt;&gt;"liaison",$D29=""),"",$D29&amp;"#"&amp;COUNTIFS($D$2:$D29,$D29,$G$2:$G29,"liaison"))</f>
        <v/>
      </c>
    </row>
    <row r="30" spans="1:8" x14ac:dyDescent="0.2">
      <c r="A30" s="16"/>
      <c r="B30" s="16"/>
      <c r="C30" s="16"/>
      <c r="D30" s="16"/>
      <c r="E30" s="16"/>
      <c r="F30" s="16"/>
      <c r="G30" s="16"/>
      <c r="H30" s="14" t="str">
        <f>IF(OR($G30&lt;&gt;"liaison",$D30=""),"",$D30&amp;"#"&amp;COUNTIFS($D$2:$D30,$D30,$G$2:$G30,"liaison"))</f>
        <v/>
      </c>
    </row>
    <row r="31" spans="1:8" x14ac:dyDescent="0.2">
      <c r="A31" s="16"/>
      <c r="B31" s="16"/>
      <c r="C31" s="16"/>
      <c r="D31" s="16"/>
      <c r="E31" s="16"/>
      <c r="F31" s="16"/>
      <c r="G31" s="16"/>
      <c r="H31" s="14" t="str">
        <f>IF(OR($G31&lt;&gt;"liaison",$D31=""),"",$D31&amp;"#"&amp;COUNTIFS($D$2:$D31,$D31,$G$2:$G31,"liaison"))</f>
        <v/>
      </c>
    </row>
    <row r="32" spans="1:8" x14ac:dyDescent="0.2">
      <c r="A32" s="16"/>
      <c r="B32" s="16"/>
      <c r="C32" s="16"/>
      <c r="D32" s="16"/>
      <c r="E32" s="16"/>
      <c r="F32" s="16"/>
      <c r="G32" s="16"/>
      <c r="H32" s="14" t="str">
        <f>IF(OR($G32&lt;&gt;"liaison",$D32=""),"",$D32&amp;"#"&amp;COUNTIFS($D$2:$D32,$D32,$G$2:$G32,"liaison"))</f>
        <v/>
      </c>
    </row>
    <row r="33" spans="1:8" x14ac:dyDescent="0.2">
      <c r="A33" s="16"/>
      <c r="B33" s="16"/>
      <c r="C33" s="16"/>
      <c r="D33" s="16"/>
      <c r="E33" s="16"/>
      <c r="F33" s="16"/>
      <c r="G33" s="16"/>
      <c r="H33" s="14" t="str">
        <f>IF(OR($G33&lt;&gt;"liaison",$D33=""),"",$D33&amp;"#"&amp;COUNTIFS($D$2:$D33,$D33,$G$2:$G33,"liaison"))</f>
        <v/>
      </c>
    </row>
    <row r="34" spans="1:8" x14ac:dyDescent="0.2">
      <c r="A34" s="16"/>
      <c r="B34" s="16"/>
      <c r="C34" s="16"/>
      <c r="D34" s="16"/>
      <c r="E34" s="16"/>
      <c r="F34" s="16"/>
      <c r="G34" s="16"/>
      <c r="H34" s="14" t="str">
        <f>IF(OR($G34&lt;&gt;"liaison",$D34=""),"",$D34&amp;"#"&amp;COUNTIFS($D$2:$D34,$D34,$G$2:$G34,"liaison"))</f>
        <v/>
      </c>
    </row>
    <row r="35" spans="1:8" x14ac:dyDescent="0.2">
      <c r="A35" s="16"/>
      <c r="B35" s="16"/>
      <c r="C35" s="16"/>
      <c r="D35" s="16"/>
      <c r="E35" s="16"/>
      <c r="F35" s="16"/>
      <c r="G35" s="16"/>
      <c r="H35" s="14" t="str">
        <f>IF(OR($G35&lt;&gt;"liaison",$D35=""),"",$D35&amp;"#"&amp;COUNTIFS($D$2:$D35,$D35,$G$2:$G35,"liaison"))</f>
        <v/>
      </c>
    </row>
    <row r="36" spans="1:8" x14ac:dyDescent="0.2">
      <c r="A36" s="16"/>
      <c r="B36" s="16"/>
      <c r="C36" s="16"/>
      <c r="D36" s="16"/>
      <c r="E36" s="16"/>
      <c r="F36" s="16"/>
      <c r="G36" s="16"/>
      <c r="H36" s="14" t="str">
        <f>IF(OR($G36&lt;&gt;"liaison",$D36=""),"",$D36&amp;"#"&amp;COUNTIFS($D$2:$D36,$D36,$G$2:$G36,"liaison"))</f>
        <v/>
      </c>
    </row>
    <row r="37" spans="1:8" x14ac:dyDescent="0.2">
      <c r="A37" s="16"/>
      <c r="B37" s="16"/>
      <c r="C37" s="16"/>
      <c r="D37" s="16"/>
      <c r="E37" s="16"/>
      <c r="F37" s="16"/>
      <c r="G37" s="16"/>
      <c r="H37" s="14" t="str">
        <f>IF(OR($G37&lt;&gt;"liaison",$D37=""),"",$D37&amp;"#"&amp;COUNTIFS($D$2:$D37,$D37,$G$2:$G37,"liaison"))</f>
        <v/>
      </c>
    </row>
    <row r="38" spans="1:8" x14ac:dyDescent="0.2">
      <c r="A38" s="16"/>
      <c r="B38" s="16"/>
      <c r="C38" s="16"/>
      <c r="D38" s="16"/>
      <c r="E38" s="16"/>
      <c r="F38" s="16"/>
      <c r="G38" s="16"/>
      <c r="H38" s="14" t="str">
        <f>IF(OR($G38&lt;&gt;"liaison",$D38=""),"",$D38&amp;"#"&amp;COUNTIFS($D$2:$D38,$D38,$G$2:$G38,"liaison"))</f>
        <v/>
      </c>
    </row>
    <row r="39" spans="1:8" x14ac:dyDescent="0.2">
      <c r="A39" s="16"/>
      <c r="B39" s="16"/>
      <c r="C39" s="16"/>
      <c r="D39" s="16"/>
      <c r="E39" s="16"/>
      <c r="F39" s="16"/>
      <c r="G39" s="16"/>
      <c r="H39" s="14" t="str">
        <f>IF(OR($G39&lt;&gt;"liaison",$D39=""),"",$D39&amp;"#"&amp;COUNTIFS($D$2:$D39,$D39,$G$2:$G39,"liaison"))</f>
        <v/>
      </c>
    </row>
    <row r="40" spans="1:8" x14ac:dyDescent="0.2">
      <c r="A40" s="16"/>
      <c r="B40" s="16"/>
      <c r="C40" s="16"/>
      <c r="D40" s="16"/>
      <c r="E40" s="16"/>
      <c r="F40" s="16"/>
      <c r="G40" s="16"/>
      <c r="H40" s="14" t="str">
        <f>IF(OR($G40&lt;&gt;"liaison",$D40=""),"",$D40&amp;"#"&amp;COUNTIFS($D$2:$D40,$D40,$G$2:$G40,"liaison"))</f>
        <v/>
      </c>
    </row>
    <row r="41" spans="1:8" x14ac:dyDescent="0.2">
      <c r="A41" s="16"/>
      <c r="B41" s="16"/>
      <c r="C41" s="16"/>
      <c r="D41" s="16"/>
      <c r="E41" s="16"/>
      <c r="F41" s="16"/>
      <c r="G41" s="16"/>
      <c r="H41" s="14" t="str">
        <f>IF(OR($G41&lt;&gt;"liaison",$D41=""),"",$D41&amp;"#"&amp;COUNTIFS($D$2:$D41,$D41,$G$2:$G41,"liaison"))</f>
        <v/>
      </c>
    </row>
    <row r="42" spans="1:8" x14ac:dyDescent="0.2">
      <c r="A42" s="16"/>
      <c r="B42" s="16"/>
      <c r="C42" s="16"/>
      <c r="D42" s="16"/>
      <c r="E42" s="16"/>
      <c r="F42" s="16"/>
      <c r="G42" s="16"/>
      <c r="H42" s="14" t="str">
        <f>IF(OR($G42&lt;&gt;"liaison",$D42=""),"",$D42&amp;"#"&amp;COUNTIFS($D$2:$D42,$D42,$G$2:$G42,"liaison"))</f>
        <v/>
      </c>
    </row>
    <row r="43" spans="1:8" x14ac:dyDescent="0.2">
      <c r="A43" s="16"/>
      <c r="B43" s="16"/>
      <c r="C43" s="16"/>
      <c r="D43" s="16"/>
      <c r="E43" s="16"/>
      <c r="F43" s="16"/>
      <c r="G43" s="16"/>
      <c r="H43" s="14" t="str">
        <f>IF(OR($G43&lt;&gt;"liaison",$D43=""),"",$D43&amp;"#"&amp;COUNTIFS($D$2:$D43,$D43,$G$2:$G43,"liaison"))</f>
        <v/>
      </c>
    </row>
    <row r="44" spans="1:8" x14ac:dyDescent="0.2">
      <c r="A44" s="16"/>
      <c r="B44" s="16"/>
      <c r="C44" s="16"/>
      <c r="D44" s="16"/>
      <c r="E44" s="16"/>
      <c r="F44" s="16"/>
      <c r="G44" s="16"/>
      <c r="H44" s="14" t="str">
        <f>IF(OR($G44&lt;&gt;"liaison",$D44=""),"",$D44&amp;"#"&amp;COUNTIFS($D$2:$D44,$D44,$G$2:$G44,"liaison"))</f>
        <v/>
      </c>
    </row>
    <row r="45" spans="1:8" x14ac:dyDescent="0.2">
      <c r="A45" s="16"/>
      <c r="B45" s="16"/>
      <c r="C45" s="16"/>
      <c r="D45" s="16"/>
      <c r="E45" s="16"/>
      <c r="F45" s="16"/>
      <c r="G45" s="16"/>
      <c r="H45" s="14" t="str">
        <f>IF(OR($G45&lt;&gt;"liaison",$D45=""),"",$D45&amp;"#"&amp;COUNTIFS($D$2:$D45,$D45,$G$2:$G45,"liaison"))</f>
        <v/>
      </c>
    </row>
    <row r="46" spans="1:8" x14ac:dyDescent="0.2">
      <c r="A46" s="16"/>
      <c r="B46" s="16"/>
      <c r="C46" s="16"/>
      <c r="D46" s="16"/>
      <c r="E46" s="16"/>
      <c r="F46" s="16"/>
      <c r="G46" s="16"/>
      <c r="H46" s="14" t="str">
        <f>IF(OR($G46&lt;&gt;"liaison",$D46=""),"",$D46&amp;"#"&amp;COUNTIFS($D$2:$D46,$D46,$G$2:$G46,"liaison"))</f>
        <v/>
      </c>
    </row>
    <row r="47" spans="1:8" x14ac:dyDescent="0.2">
      <c r="A47" s="16"/>
      <c r="B47" s="16"/>
      <c r="C47" s="16"/>
      <c r="D47" s="16"/>
      <c r="E47" s="16"/>
      <c r="F47" s="16"/>
      <c r="G47" s="16"/>
      <c r="H47" s="14" t="str">
        <f>IF(OR($G47&lt;&gt;"liaison",$D47=""),"",$D47&amp;"#"&amp;COUNTIFS($D$2:$D47,$D47,$G$2:$G47,"liaison"))</f>
        <v/>
      </c>
    </row>
    <row r="48" spans="1:8" x14ac:dyDescent="0.2">
      <c r="A48" s="16"/>
      <c r="B48" s="16"/>
      <c r="C48" s="16"/>
      <c r="D48" s="16"/>
      <c r="E48" s="16"/>
      <c r="F48" s="16"/>
      <c r="G48" s="16"/>
      <c r="H48" s="14" t="str">
        <f>IF(OR($G48&lt;&gt;"liaison",$D48=""),"",$D48&amp;"#"&amp;COUNTIFS($D$2:$D48,$D48,$G$2:$G48,"liaison"))</f>
        <v/>
      </c>
    </row>
    <row r="49" spans="1:8" x14ac:dyDescent="0.2">
      <c r="A49" s="16"/>
      <c r="B49" s="16"/>
      <c r="C49" s="16"/>
      <c r="D49" s="16"/>
      <c r="E49" s="16"/>
      <c r="F49" s="16"/>
      <c r="G49" s="16"/>
      <c r="H49" s="14" t="str">
        <f>IF(OR($G49&lt;&gt;"liaison",$D49=""),"",$D49&amp;"#"&amp;COUNTIFS($D$2:$D49,$D49,$G$2:$G49,"liaison"))</f>
        <v/>
      </c>
    </row>
    <row r="50" spans="1:8" x14ac:dyDescent="0.2">
      <c r="A50" s="16"/>
      <c r="B50" s="16"/>
      <c r="C50" s="16"/>
      <c r="D50" s="16"/>
      <c r="E50" s="16"/>
      <c r="F50" s="16"/>
      <c r="G50" s="16"/>
      <c r="H50" s="14" t="str">
        <f>IF(OR($G50&lt;&gt;"liaison",$D50=""),"",$D50&amp;"#"&amp;COUNTIFS($D$2:$D50,$D50,$G$2:$G50,"liaison"))</f>
        <v/>
      </c>
    </row>
    <row r="51" spans="1:8" x14ac:dyDescent="0.2">
      <c r="A51" s="16"/>
      <c r="B51" s="16"/>
      <c r="C51" s="16"/>
      <c r="D51" s="16"/>
      <c r="E51" s="16"/>
      <c r="F51" s="16"/>
      <c r="G51" s="16"/>
      <c r="H51" s="14" t="str">
        <f>IF(OR($G51&lt;&gt;"liaison",$D51=""),"",$D51&amp;"#"&amp;COUNTIFS($D$2:$D51,$D51,$G$2:$G51,"liaison"))</f>
        <v/>
      </c>
    </row>
    <row r="52" spans="1:8" x14ac:dyDescent="0.2">
      <c r="A52" s="16"/>
      <c r="B52" s="16"/>
      <c r="C52" s="16"/>
      <c r="D52" s="16"/>
      <c r="E52" s="16"/>
      <c r="F52" s="16"/>
      <c r="G52" s="16"/>
      <c r="H52" s="14" t="str">
        <f>IF(OR($G52&lt;&gt;"liaison",$D52=""),"",$D52&amp;"#"&amp;COUNTIFS($D$2:$D52,$D52,$G$2:$G52,"liaison"))</f>
        <v/>
      </c>
    </row>
    <row r="53" spans="1:8" x14ac:dyDescent="0.2">
      <c r="A53" s="16"/>
      <c r="B53" s="16"/>
      <c r="C53" s="16"/>
      <c r="D53" s="16"/>
      <c r="E53" s="16"/>
      <c r="F53" s="16"/>
      <c r="G53" s="16"/>
      <c r="H53" s="14" t="str">
        <f>IF(OR($G53&lt;&gt;"liaison",$D53=""),"",$D53&amp;"#"&amp;COUNTIFS($D$2:$D53,$D53,$G$2:$G53,"liaison"))</f>
        <v/>
      </c>
    </row>
    <row r="54" spans="1:8" x14ac:dyDescent="0.2">
      <c r="A54" s="16"/>
      <c r="B54" s="16"/>
      <c r="C54" s="16"/>
      <c r="D54" s="16"/>
      <c r="E54" s="16"/>
      <c r="F54" s="16"/>
      <c r="G54" s="16"/>
      <c r="H54" s="14" t="str">
        <f>IF(OR($G54&lt;&gt;"liaison",$D54=""),"",$D54&amp;"#"&amp;COUNTIFS($D$2:$D54,$D54,$G$2:$G54,"liaison"))</f>
        <v/>
      </c>
    </row>
    <row r="55" spans="1:8" x14ac:dyDescent="0.2">
      <c r="A55" s="16"/>
      <c r="B55" s="16"/>
      <c r="C55" s="16"/>
      <c r="D55" s="16"/>
      <c r="E55" s="16"/>
      <c r="F55" s="16"/>
      <c r="G55" s="16"/>
      <c r="H55" s="14" t="str">
        <f>IF(OR($G55&lt;&gt;"liaison",$D55=""),"",$D55&amp;"#"&amp;COUNTIFS($D$2:$D55,$D55,$G$2:$G55,"liaison"))</f>
        <v/>
      </c>
    </row>
    <row r="56" spans="1:8" x14ac:dyDescent="0.2">
      <c r="A56" s="16"/>
      <c r="B56" s="16"/>
      <c r="C56" s="16"/>
      <c r="D56" s="16"/>
      <c r="E56" s="16"/>
      <c r="F56" s="16"/>
      <c r="G56" s="16"/>
      <c r="H56" s="14" t="str">
        <f>IF(OR($G56&lt;&gt;"liaison",$D56=""),"",$D56&amp;"#"&amp;COUNTIFS($D$2:$D56,$D56,$G$2:$G56,"liaison"))</f>
        <v/>
      </c>
    </row>
    <row r="57" spans="1:8" x14ac:dyDescent="0.2">
      <c r="A57" s="16"/>
      <c r="B57" s="16"/>
      <c r="C57" s="16"/>
      <c r="D57" s="16"/>
      <c r="E57" s="16"/>
      <c r="F57" s="16"/>
      <c r="G57" s="16"/>
      <c r="H57" s="14" t="str">
        <f>IF(OR($G57&lt;&gt;"liaison",$D57=""),"",$D57&amp;"#"&amp;COUNTIFS($D$2:$D57,$D57,$G$2:$G57,"liaison"))</f>
        <v/>
      </c>
    </row>
    <row r="58" spans="1:8" x14ac:dyDescent="0.2">
      <c r="A58" s="16"/>
      <c r="B58" s="16"/>
      <c r="C58" s="16"/>
      <c r="D58" s="16"/>
      <c r="E58" s="16"/>
      <c r="F58" s="16"/>
      <c r="G58" s="16"/>
      <c r="H58" s="14" t="str">
        <f>IF(OR($G58&lt;&gt;"liaison",$D58=""),"",$D58&amp;"#"&amp;COUNTIFS($D$2:$D58,$D58,$G$2:$G58,"liaison"))</f>
        <v/>
      </c>
    </row>
    <row r="59" spans="1:8" x14ac:dyDescent="0.2">
      <c r="A59" s="16"/>
      <c r="B59" s="16"/>
      <c r="C59" s="16"/>
      <c r="D59" s="16"/>
      <c r="E59" s="16"/>
      <c r="F59" s="16"/>
      <c r="G59" s="16"/>
      <c r="H59" s="14" t="str">
        <f>IF(OR($G59&lt;&gt;"liaison",$D59=""),"",$D59&amp;"#"&amp;COUNTIFS($D$2:$D59,$D59,$G$2:$G59,"liaison"))</f>
        <v/>
      </c>
    </row>
    <row r="60" spans="1:8" x14ac:dyDescent="0.2">
      <c r="A60" s="16"/>
      <c r="B60" s="16"/>
      <c r="C60" s="16"/>
      <c r="D60" s="16"/>
      <c r="E60" s="16"/>
      <c r="F60" s="16"/>
      <c r="G60" s="16"/>
      <c r="H60" s="14" t="str">
        <f>IF(OR($G60&lt;&gt;"liaison",$D60=""),"",$D60&amp;"#"&amp;COUNTIFS($D$2:$D60,$D60,$G$2:$G60,"liaison"))</f>
        <v/>
      </c>
    </row>
    <row r="61" spans="1:8" x14ac:dyDescent="0.2">
      <c r="A61" s="16"/>
      <c r="B61" s="16"/>
      <c r="C61" s="16"/>
      <c r="D61" s="16"/>
      <c r="E61" s="16"/>
      <c r="F61" s="16"/>
      <c r="G61" s="16"/>
      <c r="H61" s="14" t="str">
        <f>IF(OR($G61&lt;&gt;"liaison",$D61=""),"",$D61&amp;"#"&amp;COUNTIFS($D$2:$D61,$D61,$G$2:$G61,"liaison"))</f>
        <v/>
      </c>
    </row>
    <row r="62" spans="1:8" x14ac:dyDescent="0.2">
      <c r="A62" s="16"/>
      <c r="B62" s="16"/>
      <c r="C62" s="16"/>
      <c r="D62" s="16"/>
      <c r="E62" s="16"/>
      <c r="F62" s="16"/>
      <c r="G62" s="16"/>
      <c r="H62" s="14" t="str">
        <f>IF(OR($G62&lt;&gt;"liaison",$D62=""),"",$D62&amp;"#"&amp;COUNTIFS($D$2:$D62,$D62,$G$2:$G62,"liaison"))</f>
        <v/>
      </c>
    </row>
    <row r="63" spans="1:8" x14ac:dyDescent="0.2">
      <c r="A63" s="16"/>
      <c r="B63" s="16"/>
      <c r="C63" s="16"/>
      <c r="D63" s="16"/>
      <c r="E63" s="16"/>
      <c r="F63" s="16"/>
      <c r="G63" s="16"/>
      <c r="H63" s="14" t="str">
        <f>IF(OR($G63&lt;&gt;"liaison",$D63=""),"",$D63&amp;"#"&amp;COUNTIFS($D$2:$D63,$D63,$G$2:$G63,"liaison"))</f>
        <v/>
      </c>
    </row>
    <row r="64" spans="1:8" x14ac:dyDescent="0.2">
      <c r="A64" s="16"/>
      <c r="B64" s="16"/>
      <c r="C64" s="16"/>
      <c r="D64" s="16"/>
      <c r="E64" s="16"/>
      <c r="F64" s="16"/>
      <c r="G64" s="16"/>
      <c r="H64" s="14" t="str">
        <f>IF(OR($G64&lt;&gt;"liaison",$D64=""),"",$D64&amp;"#"&amp;COUNTIFS($D$2:$D64,$D64,$G$2:$G64,"liaison"))</f>
        <v/>
      </c>
    </row>
    <row r="65" spans="1:8" x14ac:dyDescent="0.2">
      <c r="A65" s="16"/>
      <c r="B65" s="16"/>
      <c r="C65" s="16"/>
      <c r="D65" s="16"/>
      <c r="E65" s="16"/>
      <c r="F65" s="16"/>
      <c r="G65" s="16"/>
      <c r="H65" s="14" t="str">
        <f>IF(OR($G65&lt;&gt;"liaison",$D65=""),"",$D65&amp;"#"&amp;COUNTIFS($D$2:$D65,$D65,$G$2:$G65,"liaison"))</f>
        <v/>
      </c>
    </row>
    <row r="66" spans="1:8" x14ac:dyDescent="0.2">
      <c r="A66" s="16"/>
      <c r="B66" s="16"/>
      <c r="C66" s="16"/>
      <c r="D66" s="16"/>
      <c r="E66" s="16"/>
      <c r="F66" s="16"/>
      <c r="G66" s="16"/>
      <c r="H66" s="14" t="str">
        <f>IF(OR($G66&lt;&gt;"liaison",$D66=""),"",$D66&amp;"#"&amp;COUNTIFS($D$2:$D66,$D66,$G$2:$G66,"liaison"))</f>
        <v/>
      </c>
    </row>
    <row r="67" spans="1:8" x14ac:dyDescent="0.2">
      <c r="A67" s="16"/>
      <c r="B67" s="16"/>
      <c r="C67" s="16"/>
      <c r="D67" s="16"/>
      <c r="E67" s="16"/>
      <c r="F67" s="16"/>
      <c r="G67" s="16"/>
      <c r="H67" s="14" t="str">
        <f>IF(OR($G67&lt;&gt;"liaison",$D67=""),"",$D67&amp;"#"&amp;COUNTIFS($D$2:$D67,$D67,$G$2:$G67,"liaison"))</f>
        <v/>
      </c>
    </row>
    <row r="68" spans="1:8" x14ac:dyDescent="0.2">
      <c r="A68" s="16"/>
      <c r="B68" s="16"/>
      <c r="C68" s="16"/>
      <c r="D68" s="16"/>
      <c r="E68" s="16"/>
      <c r="F68" s="16"/>
      <c r="G68" s="16"/>
      <c r="H68" s="14" t="str">
        <f>IF(OR($G68&lt;&gt;"liaison",$D68=""),"",$D68&amp;"#"&amp;COUNTIFS($D$2:$D68,$D68,$G$2:$G68,"liaison"))</f>
        <v/>
      </c>
    </row>
    <row r="69" spans="1:8" x14ac:dyDescent="0.2">
      <c r="A69" s="16"/>
      <c r="B69" s="16"/>
      <c r="C69" s="16"/>
      <c r="D69" s="16"/>
      <c r="E69" s="16"/>
      <c r="F69" s="16"/>
      <c r="G69" s="16"/>
      <c r="H69" s="14" t="str">
        <f>IF(OR($G69&lt;&gt;"liaison",$D69=""),"",$D69&amp;"#"&amp;COUNTIFS($D$2:$D69,$D69,$G$2:$G69,"liaison"))</f>
        <v/>
      </c>
    </row>
    <row r="70" spans="1:8" x14ac:dyDescent="0.2">
      <c r="A70" s="16"/>
      <c r="B70" s="16"/>
      <c r="C70" s="16"/>
      <c r="D70" s="16"/>
      <c r="E70" s="16"/>
      <c r="F70" s="16"/>
      <c r="G70" s="16"/>
      <c r="H70" s="14" t="str">
        <f>IF(OR($G70&lt;&gt;"liaison",$D70=""),"",$D70&amp;"#"&amp;COUNTIFS($D$2:$D70,$D70,$G$2:$G70,"liaison"))</f>
        <v/>
      </c>
    </row>
    <row r="71" spans="1:8" x14ac:dyDescent="0.2">
      <c r="A71" s="16"/>
      <c r="B71" s="16"/>
      <c r="C71" s="16"/>
      <c r="D71" s="16"/>
      <c r="E71" s="16"/>
      <c r="F71" s="16"/>
      <c r="G71" s="16"/>
      <c r="H71" s="14" t="str">
        <f>IF(OR($G71&lt;&gt;"liaison",$D71=""),"",$D71&amp;"#"&amp;COUNTIFS($D$2:$D71,$D71,$G$2:$G71,"liaison"))</f>
        <v/>
      </c>
    </row>
    <row r="72" spans="1:8" x14ac:dyDescent="0.2">
      <c r="A72" s="16"/>
      <c r="B72" s="16"/>
      <c r="C72" s="16"/>
      <c r="D72" s="16"/>
      <c r="E72" s="16"/>
      <c r="F72" s="16"/>
      <c r="G72" s="16"/>
      <c r="H72" s="14" t="str">
        <f>IF(OR($G72&lt;&gt;"liaison",$D72=""),"",$D72&amp;"#"&amp;COUNTIFS($D$2:$D72,$D72,$G$2:$G72,"liaison"))</f>
        <v/>
      </c>
    </row>
    <row r="73" spans="1:8" x14ac:dyDescent="0.2">
      <c r="A73" s="16"/>
      <c r="B73" s="16"/>
      <c r="C73" s="16"/>
      <c r="D73" s="16"/>
      <c r="E73" s="16"/>
      <c r="F73" s="16"/>
      <c r="G73" s="16"/>
      <c r="H73" s="14" t="str">
        <f>IF(OR($G73&lt;&gt;"liaison",$D73=""),"",$D73&amp;"#"&amp;COUNTIFS($D$2:$D73,$D73,$G$2:$G73,"liaison"))</f>
        <v/>
      </c>
    </row>
    <row r="74" spans="1:8" x14ac:dyDescent="0.2">
      <c r="A74" s="16"/>
      <c r="B74" s="16"/>
      <c r="C74" s="16"/>
      <c r="D74" s="16"/>
      <c r="E74" s="16"/>
      <c r="F74" s="16"/>
      <c r="G74" s="16"/>
      <c r="H74" s="14" t="str">
        <f>IF(OR($G74&lt;&gt;"liaison",$D74=""),"",$D74&amp;"#"&amp;COUNTIFS($D$2:$D74,$D74,$G$2:$G74,"liaison"))</f>
        <v/>
      </c>
    </row>
    <row r="75" spans="1:8" x14ac:dyDescent="0.2">
      <c r="A75" s="16"/>
      <c r="B75" s="16"/>
      <c r="C75" s="16"/>
      <c r="D75" s="16"/>
      <c r="E75" s="16"/>
      <c r="F75" s="16"/>
      <c r="G75" s="16"/>
      <c r="H75" s="14" t="str">
        <f>IF(OR($G75&lt;&gt;"liaison",$D75=""),"",$D75&amp;"#"&amp;COUNTIFS($D$2:$D75,$D75,$G$2:$G75,"liaison"))</f>
        <v/>
      </c>
    </row>
    <row r="76" spans="1:8" x14ac:dyDescent="0.2">
      <c r="A76" s="16"/>
      <c r="B76" s="16"/>
      <c r="C76" s="16"/>
      <c r="D76" s="16"/>
      <c r="E76" s="16"/>
      <c r="F76" s="16"/>
      <c r="G76" s="16"/>
      <c r="H76" s="14" t="str">
        <f>IF(OR($G76&lt;&gt;"liaison",$D76=""),"",$D76&amp;"#"&amp;COUNTIFS($D$2:$D76,$D76,$G$2:$G76,"liaison"))</f>
        <v/>
      </c>
    </row>
    <row r="77" spans="1:8" x14ac:dyDescent="0.2">
      <c r="A77" s="16"/>
      <c r="B77" s="16"/>
      <c r="C77" s="16"/>
      <c r="D77" s="16"/>
      <c r="E77" s="16"/>
      <c r="F77" s="16"/>
      <c r="G77" s="16"/>
      <c r="H77" s="14" t="str">
        <f>IF(OR($G77&lt;&gt;"liaison",$D77=""),"",$D77&amp;"#"&amp;COUNTIFS($D$2:$D77,$D77,$G$2:$G77,"liaison"))</f>
        <v/>
      </c>
    </row>
    <row r="78" spans="1:8" x14ac:dyDescent="0.2">
      <c r="A78" s="16"/>
      <c r="B78" s="16"/>
      <c r="C78" s="16"/>
      <c r="D78" s="16"/>
      <c r="E78" s="16"/>
      <c r="F78" s="16"/>
      <c r="G78" s="16"/>
      <c r="H78" s="14" t="str">
        <f>IF(OR($G78&lt;&gt;"liaison",$D78=""),"",$D78&amp;"#"&amp;COUNTIFS($D$2:$D78,$D78,$G$2:$G78,"liaison"))</f>
        <v/>
      </c>
    </row>
    <row r="79" spans="1:8" x14ac:dyDescent="0.2">
      <c r="A79" s="16"/>
      <c r="B79" s="16"/>
      <c r="C79" s="16"/>
      <c r="D79" s="16"/>
      <c r="E79" s="16"/>
      <c r="F79" s="16"/>
      <c r="G79" s="16"/>
      <c r="H79" s="14" t="str">
        <f>IF(OR($G79&lt;&gt;"liaison",$D79=""),"",$D79&amp;"#"&amp;COUNTIFS($D$2:$D79,$D79,$G$2:$G79,"liaison"))</f>
        <v/>
      </c>
    </row>
    <row r="80" spans="1:8" x14ac:dyDescent="0.2">
      <c r="A80" s="16"/>
      <c r="B80" s="16"/>
      <c r="C80" s="16"/>
      <c r="D80" s="16"/>
      <c r="E80" s="16"/>
      <c r="F80" s="16"/>
      <c r="G80" s="16"/>
      <c r="H80" s="14" t="str">
        <f>IF(OR($G80&lt;&gt;"liaison",$D80=""),"",$D80&amp;"#"&amp;COUNTIFS($D$2:$D80,$D80,$G$2:$G80,"liaison"))</f>
        <v/>
      </c>
    </row>
    <row r="81" spans="1:8" x14ac:dyDescent="0.2">
      <c r="A81" s="16"/>
      <c r="B81" s="16"/>
      <c r="C81" s="16"/>
      <c r="D81" s="16"/>
      <c r="E81" s="16"/>
      <c r="F81" s="16"/>
      <c r="G81" s="16"/>
      <c r="H81" s="14" t="str">
        <f>IF(OR($G81&lt;&gt;"liaison",$D81=""),"",$D81&amp;"#"&amp;COUNTIFS($D$2:$D81,$D81,$G$2:$G81,"liaison"))</f>
        <v/>
      </c>
    </row>
    <row r="82" spans="1:8" x14ac:dyDescent="0.2">
      <c r="A82" s="16"/>
      <c r="B82" s="16"/>
      <c r="C82" s="16"/>
      <c r="D82" s="16"/>
      <c r="E82" s="16"/>
      <c r="F82" s="16"/>
      <c r="G82" s="16"/>
      <c r="H82" s="14" t="str">
        <f>IF(OR($G82&lt;&gt;"liaison",$D82=""),"",$D82&amp;"#"&amp;COUNTIFS($D$2:$D82,$D82,$G$2:$G82,"liaison"))</f>
        <v/>
      </c>
    </row>
    <row r="83" spans="1:8" x14ac:dyDescent="0.2">
      <c r="A83" s="16"/>
      <c r="B83" s="16"/>
      <c r="C83" s="16"/>
      <c r="D83" s="16"/>
      <c r="E83" s="16"/>
      <c r="F83" s="16"/>
      <c r="G83" s="16"/>
      <c r="H83" s="14" t="str">
        <f>IF(OR($G83&lt;&gt;"liaison",$D83=""),"",$D83&amp;"#"&amp;COUNTIFS($D$2:$D83,$D83,$G$2:$G83,"liaison"))</f>
        <v/>
      </c>
    </row>
    <row r="84" spans="1:8" x14ac:dyDescent="0.2">
      <c r="A84" s="16"/>
      <c r="B84" s="16"/>
      <c r="C84" s="16"/>
      <c r="D84" s="16"/>
      <c r="E84" s="16"/>
      <c r="F84" s="16"/>
      <c r="G84" s="16"/>
      <c r="H84" s="14" t="str">
        <f>IF(OR($G84&lt;&gt;"liaison",$D84=""),"",$D84&amp;"#"&amp;COUNTIFS($D$2:$D84,$D84,$G$2:$G84,"liaison"))</f>
        <v/>
      </c>
    </row>
    <row r="85" spans="1:8" x14ac:dyDescent="0.2">
      <c r="A85" s="16"/>
      <c r="B85" s="16"/>
      <c r="C85" s="16"/>
      <c r="D85" s="16"/>
      <c r="E85" s="16"/>
      <c r="F85" s="16"/>
      <c r="G85" s="16"/>
      <c r="H85" s="14" t="str">
        <f>IF(OR($G85&lt;&gt;"liaison",$D85=""),"",$D85&amp;"#"&amp;COUNTIFS($D$2:$D85,$D85,$G$2:$G85,"liaison"))</f>
        <v/>
      </c>
    </row>
    <row r="86" spans="1:8" x14ac:dyDescent="0.2">
      <c r="A86" s="16"/>
      <c r="B86" s="16"/>
      <c r="C86" s="16"/>
      <c r="D86" s="16"/>
      <c r="E86" s="16"/>
      <c r="F86" s="16"/>
      <c r="G86" s="16"/>
      <c r="H86" s="14" t="str">
        <f>IF(OR($G86&lt;&gt;"liaison",$D86=""),"",$D86&amp;"#"&amp;COUNTIFS($D$2:$D86,$D86,$G$2:$G86,"liaison"))</f>
        <v/>
      </c>
    </row>
    <row r="87" spans="1:8" x14ac:dyDescent="0.2">
      <c r="A87" s="16"/>
      <c r="B87" s="16"/>
      <c r="C87" s="16"/>
      <c r="D87" s="16"/>
      <c r="E87" s="16"/>
      <c r="F87" s="16"/>
      <c r="G87" s="16"/>
      <c r="H87" s="14" t="str">
        <f>IF(OR($G87&lt;&gt;"liaison",$D87=""),"",$D87&amp;"#"&amp;COUNTIFS($D$2:$D87,$D87,$G$2:$G87,"liaison"))</f>
        <v/>
      </c>
    </row>
    <row r="88" spans="1:8" x14ac:dyDescent="0.2">
      <c r="A88" s="16"/>
      <c r="B88" s="16"/>
      <c r="C88" s="16"/>
      <c r="D88" s="16"/>
      <c r="E88" s="16"/>
      <c r="F88" s="16"/>
      <c r="G88" s="16"/>
      <c r="H88" s="14" t="str">
        <f>IF(OR($G88&lt;&gt;"liaison",$D88=""),"",$D88&amp;"#"&amp;COUNTIFS($D$2:$D88,$D88,$G$2:$G88,"liaison"))</f>
        <v/>
      </c>
    </row>
    <row r="89" spans="1:8" x14ac:dyDescent="0.2">
      <c r="A89" s="16"/>
      <c r="B89" s="16"/>
      <c r="C89" s="16"/>
      <c r="D89" s="16"/>
      <c r="E89" s="16"/>
      <c r="F89" s="16"/>
      <c r="G89" s="16"/>
      <c r="H89" s="14" t="str">
        <f>IF(OR($G89&lt;&gt;"liaison",$D89=""),"",$D89&amp;"#"&amp;COUNTIFS($D$2:$D89,$D89,$G$2:$G89,"liaison"))</f>
        <v/>
      </c>
    </row>
    <row r="90" spans="1:8" x14ac:dyDescent="0.2">
      <c r="A90" s="16"/>
      <c r="B90" s="16"/>
      <c r="C90" s="16"/>
      <c r="D90" s="16"/>
      <c r="E90" s="16"/>
      <c r="F90" s="16"/>
      <c r="G90" s="16"/>
      <c r="H90" s="14" t="str">
        <f>IF(OR($G90&lt;&gt;"liaison",$D90=""),"",$D90&amp;"#"&amp;COUNTIFS($D$2:$D90,$D90,$G$2:$G90,"liaison"))</f>
        <v/>
      </c>
    </row>
    <row r="91" spans="1:8" x14ac:dyDescent="0.2">
      <c r="A91" s="16"/>
      <c r="B91" s="16"/>
      <c r="C91" s="16"/>
      <c r="D91" s="16"/>
      <c r="E91" s="16"/>
      <c r="F91" s="16"/>
      <c r="G91" s="16"/>
      <c r="H91" s="14" t="str">
        <f>IF(OR($G91&lt;&gt;"liaison",$D91=""),"",$D91&amp;"#"&amp;COUNTIFS($D$2:$D91,$D91,$G$2:$G91,"liaison"))</f>
        <v/>
      </c>
    </row>
    <row r="92" spans="1:8" x14ac:dyDescent="0.2">
      <c r="A92" s="16"/>
      <c r="B92" s="16"/>
      <c r="C92" s="16"/>
      <c r="D92" s="16"/>
      <c r="E92" s="16"/>
      <c r="F92" s="16"/>
      <c r="G92" s="16"/>
      <c r="H92" s="14" t="str">
        <f>IF(OR($G92&lt;&gt;"liaison",$D92=""),"",$D92&amp;"#"&amp;COUNTIFS($D$2:$D92,$D92,$G$2:$G92,"liaison"))</f>
        <v/>
      </c>
    </row>
    <row r="93" spans="1:8" x14ac:dyDescent="0.2">
      <c r="A93" s="16"/>
      <c r="B93" s="16"/>
      <c r="C93" s="16"/>
      <c r="D93" s="16"/>
      <c r="E93" s="16"/>
      <c r="F93" s="16"/>
      <c r="G93" s="16"/>
      <c r="H93" s="14" t="str">
        <f>IF(OR($G93&lt;&gt;"liaison",$D93=""),"",$D93&amp;"#"&amp;COUNTIFS($D$2:$D93,$D93,$G$2:$G93,"liaison"))</f>
        <v/>
      </c>
    </row>
    <row r="94" spans="1:8" x14ac:dyDescent="0.2">
      <c r="A94" s="16"/>
      <c r="B94" s="16"/>
      <c r="C94" s="16"/>
      <c r="D94" s="16"/>
      <c r="E94" s="16"/>
      <c r="F94" s="16"/>
      <c r="G94" s="16"/>
      <c r="H94" s="14" t="str">
        <f>IF(OR($G94&lt;&gt;"liaison",$D94=""),"",$D94&amp;"#"&amp;COUNTIFS($D$2:$D94,$D94,$G$2:$G94,"liaison"))</f>
        <v/>
      </c>
    </row>
    <row r="95" spans="1:8" x14ac:dyDescent="0.2">
      <c r="A95" s="16"/>
      <c r="B95" s="16"/>
      <c r="C95" s="16"/>
      <c r="D95" s="16"/>
      <c r="E95" s="16"/>
      <c r="F95" s="16"/>
      <c r="G95" s="16"/>
      <c r="H95" s="14" t="str">
        <f>IF(OR($G95&lt;&gt;"liaison",$D95=""),"",$D95&amp;"#"&amp;COUNTIFS($D$2:$D95,$D95,$G$2:$G95,"liaison"))</f>
        <v/>
      </c>
    </row>
    <row r="96" spans="1:8" x14ac:dyDescent="0.2">
      <c r="A96" s="16"/>
      <c r="B96" s="16"/>
      <c r="C96" s="16"/>
      <c r="D96" s="16"/>
      <c r="E96" s="16"/>
      <c r="F96" s="16"/>
      <c r="G96" s="16"/>
      <c r="H96" s="14" t="str">
        <f>IF(OR($G96&lt;&gt;"liaison",$D96=""),"",$D96&amp;"#"&amp;COUNTIFS($D$2:$D96,$D96,$G$2:$G96,"liaison"))</f>
        <v/>
      </c>
    </row>
    <row r="97" spans="1:8" x14ac:dyDescent="0.2">
      <c r="A97" s="16"/>
      <c r="B97" s="16"/>
      <c r="C97" s="16"/>
      <c r="D97" s="16"/>
      <c r="E97" s="16"/>
      <c r="F97" s="16"/>
      <c r="G97" s="16"/>
      <c r="H97" s="14" t="str">
        <f>IF(OR($G97&lt;&gt;"liaison",$D97=""),"",$D97&amp;"#"&amp;COUNTIFS($D$2:$D97,$D97,$G$2:$G97,"liaison"))</f>
        <v/>
      </c>
    </row>
    <row r="98" spans="1:8" x14ac:dyDescent="0.2">
      <c r="A98" s="16"/>
      <c r="B98" s="16"/>
      <c r="C98" s="16"/>
      <c r="D98" s="16"/>
      <c r="E98" s="16"/>
      <c r="F98" s="16"/>
      <c r="G98" s="16"/>
      <c r="H98" s="14" t="str">
        <f>IF(OR($G98&lt;&gt;"liaison",$D98=""),"",$D98&amp;"#"&amp;COUNTIFS($D$2:$D98,$D98,$G$2:$G98,"liaison"))</f>
        <v/>
      </c>
    </row>
    <row r="99" spans="1:8" x14ac:dyDescent="0.2">
      <c r="A99" s="16"/>
      <c r="B99" s="16"/>
      <c r="C99" s="16"/>
      <c r="D99" s="16"/>
      <c r="E99" s="16"/>
      <c r="F99" s="16"/>
      <c r="G99" s="16"/>
      <c r="H99" s="14" t="str">
        <f>IF(OR($G99&lt;&gt;"liaison",$D99=""),"",$D99&amp;"#"&amp;COUNTIFS($D$2:$D99,$D99,$G$2:$G99,"liaison"))</f>
        <v/>
      </c>
    </row>
    <row r="100" spans="1:8" x14ac:dyDescent="0.2">
      <c r="A100" s="16"/>
      <c r="B100" s="16"/>
      <c r="C100" s="16"/>
      <c r="D100" s="16"/>
      <c r="E100" s="16"/>
      <c r="F100" s="16"/>
      <c r="G100" s="16"/>
      <c r="H100" s="14" t="str">
        <f>IF(OR($G100&lt;&gt;"liaison",$D100=""),"",$D100&amp;"#"&amp;COUNTIFS($D$2:$D100,$D100,$G$2:$G100,"liaison"))</f>
        <v/>
      </c>
    </row>
    <row r="101" spans="1:8" x14ac:dyDescent="0.2">
      <c r="A101" s="16"/>
      <c r="B101" s="16"/>
      <c r="C101" s="16"/>
      <c r="D101" s="16"/>
      <c r="E101" s="16"/>
      <c r="F101" s="16"/>
      <c r="G101" s="16"/>
      <c r="H101" s="14" t="str">
        <f>IF(OR($G101&lt;&gt;"liaison",$D101=""),"",$D101&amp;"#"&amp;COUNTIFS($D$2:$D101,$D101,$G$2:$G101,"liaison"))</f>
        <v/>
      </c>
    </row>
    <row r="102" spans="1:8" x14ac:dyDescent="0.2">
      <c r="A102" s="16"/>
      <c r="B102" s="16"/>
      <c r="C102" s="16"/>
      <c r="D102" s="16"/>
      <c r="E102" s="16"/>
      <c r="F102" s="16"/>
      <c r="G102" s="16"/>
      <c r="H102" s="14" t="str">
        <f>IF(OR($G102&lt;&gt;"liaison",$D102=""),"",$D102&amp;"#"&amp;COUNTIFS($D$2:$D102,$D102,$G$2:$G102,"liaison"))</f>
        <v/>
      </c>
    </row>
    <row r="103" spans="1:8" x14ac:dyDescent="0.2">
      <c r="A103" s="16"/>
      <c r="B103" s="16"/>
      <c r="C103" s="16"/>
      <c r="D103" s="16"/>
      <c r="E103" s="16"/>
      <c r="F103" s="16"/>
      <c r="G103" s="16"/>
      <c r="H103" s="14" t="str">
        <f>IF(OR($G103&lt;&gt;"liaison",$D103=""),"",$D103&amp;"#"&amp;COUNTIFS($D$2:$D103,$D103,$G$2:$G103,"liaison"))</f>
        <v/>
      </c>
    </row>
    <row r="104" spans="1:8" x14ac:dyDescent="0.2">
      <c r="A104" s="16"/>
      <c r="B104" s="16"/>
      <c r="C104" s="16"/>
      <c r="D104" s="16"/>
      <c r="E104" s="16"/>
      <c r="F104" s="16"/>
      <c r="G104" s="16"/>
      <c r="H104" s="14" t="str">
        <f>IF(OR($G104&lt;&gt;"liaison",$D104=""),"",$D104&amp;"#"&amp;COUNTIFS($D$2:$D104,$D104,$G$2:$G104,"liaison"))</f>
        <v/>
      </c>
    </row>
    <row r="105" spans="1:8" x14ac:dyDescent="0.2">
      <c r="A105" s="16"/>
      <c r="B105" s="16"/>
      <c r="C105" s="16"/>
      <c r="D105" s="16"/>
      <c r="E105" s="16"/>
      <c r="F105" s="16"/>
      <c r="G105" s="16"/>
      <c r="H105" s="14" t="str">
        <f>IF(OR($G105&lt;&gt;"liaison",$D105=""),"",$D105&amp;"#"&amp;COUNTIFS($D$2:$D105,$D105,$G$2:$G105,"liaison"))</f>
        <v/>
      </c>
    </row>
    <row r="106" spans="1:8" x14ac:dyDescent="0.2">
      <c r="A106" s="16"/>
      <c r="B106" s="16"/>
      <c r="C106" s="16"/>
      <c r="D106" s="16"/>
      <c r="E106" s="16"/>
      <c r="F106" s="16"/>
      <c r="G106" s="16"/>
      <c r="H106" s="14" t="str">
        <f>IF(OR($G106&lt;&gt;"liaison",$D106=""),"",$D106&amp;"#"&amp;COUNTIFS($D$2:$D106,$D106,$G$2:$G106,"liaison"))</f>
        <v/>
      </c>
    </row>
    <row r="107" spans="1:8" x14ac:dyDescent="0.2">
      <c r="A107" s="16"/>
      <c r="B107" s="16"/>
      <c r="C107" s="16"/>
      <c r="D107" s="16"/>
      <c r="E107" s="16"/>
      <c r="F107" s="16"/>
      <c r="G107" s="16"/>
      <c r="H107" s="14" t="str">
        <f>IF(OR($G107&lt;&gt;"liaison",$D107=""),"",$D107&amp;"#"&amp;COUNTIFS($D$2:$D107,$D107,$G$2:$G107,"liaison"))</f>
        <v/>
      </c>
    </row>
    <row r="108" spans="1:8" x14ac:dyDescent="0.2">
      <c r="A108" s="16"/>
      <c r="B108" s="16"/>
      <c r="C108" s="16"/>
      <c r="D108" s="16"/>
      <c r="E108" s="16"/>
      <c r="F108" s="16"/>
      <c r="G108" s="16"/>
      <c r="H108" s="14" t="str">
        <f>IF(OR($G108&lt;&gt;"liaison",$D108=""),"",$D108&amp;"#"&amp;COUNTIFS($D$2:$D108,$D108,$G$2:$G108,"liaison"))</f>
        <v/>
      </c>
    </row>
    <row r="109" spans="1:8" x14ac:dyDescent="0.2">
      <c r="A109" s="16"/>
      <c r="B109" s="16"/>
      <c r="C109" s="16"/>
      <c r="D109" s="16"/>
      <c r="E109" s="16"/>
      <c r="F109" s="16"/>
      <c r="G109" s="16"/>
      <c r="H109" s="14" t="str">
        <f>IF(OR($G109&lt;&gt;"liaison",$D109=""),"",$D109&amp;"#"&amp;COUNTIFS($D$2:$D109,$D109,$G$2:$G109,"liaison"))</f>
        <v/>
      </c>
    </row>
    <row r="110" spans="1:8" x14ac:dyDescent="0.2">
      <c r="A110" s="16"/>
      <c r="B110" s="16"/>
      <c r="C110" s="16"/>
      <c r="D110" s="16"/>
      <c r="E110" s="16"/>
      <c r="F110" s="16"/>
      <c r="G110" s="16"/>
      <c r="H110" s="14" t="str">
        <f>IF(OR($G110&lt;&gt;"liaison",$D110=""),"",$D110&amp;"#"&amp;COUNTIFS($D$2:$D110,$D110,$G$2:$G110,"liaison"))</f>
        <v/>
      </c>
    </row>
    <row r="111" spans="1:8" x14ac:dyDescent="0.2">
      <c r="A111" s="16"/>
      <c r="B111" s="16"/>
      <c r="C111" s="16"/>
      <c r="D111" s="16"/>
      <c r="E111" s="16"/>
      <c r="F111" s="16"/>
      <c r="G111" s="16"/>
      <c r="H111" s="14" t="str">
        <f>IF(OR($G111&lt;&gt;"liaison",$D111=""),"",$D111&amp;"#"&amp;COUNTIFS($D$2:$D111,$D111,$G$2:$G111,"liaison"))</f>
        <v/>
      </c>
    </row>
    <row r="112" spans="1:8" x14ac:dyDescent="0.2">
      <c r="A112" s="16"/>
      <c r="B112" s="16"/>
      <c r="C112" s="16"/>
      <c r="D112" s="16"/>
      <c r="E112" s="16"/>
      <c r="F112" s="16"/>
      <c r="G112" s="16"/>
      <c r="H112" s="14" t="str">
        <f>IF(OR($G112&lt;&gt;"liaison",$D112=""),"",$D112&amp;"#"&amp;COUNTIFS($D$2:$D112,$D112,$G$2:$G112,"liaison"))</f>
        <v/>
      </c>
    </row>
    <row r="113" spans="1:8" x14ac:dyDescent="0.2">
      <c r="A113" s="16"/>
      <c r="B113" s="16"/>
      <c r="C113" s="16"/>
      <c r="D113" s="16"/>
      <c r="E113" s="16"/>
      <c r="F113" s="16"/>
      <c r="G113" s="16"/>
      <c r="H113" s="14" t="str">
        <f>IF(OR($G113&lt;&gt;"liaison",$D113=""),"",$D113&amp;"#"&amp;COUNTIFS($D$2:$D113,$D113,$G$2:$G113,"liaison"))</f>
        <v/>
      </c>
    </row>
    <row r="114" spans="1:8" x14ac:dyDescent="0.2">
      <c r="A114" s="16"/>
      <c r="B114" s="16"/>
      <c r="C114" s="16"/>
      <c r="D114" s="16"/>
      <c r="E114" s="16"/>
      <c r="F114" s="16"/>
      <c r="G114" s="16"/>
      <c r="H114" s="14" t="str">
        <f>IF(OR($G114&lt;&gt;"liaison",$D114=""),"",$D114&amp;"#"&amp;COUNTIFS($D$2:$D114,$D114,$G$2:$G114,"liaison"))</f>
        <v/>
      </c>
    </row>
    <row r="115" spans="1:8" x14ac:dyDescent="0.2">
      <c r="A115" s="16"/>
      <c r="B115" s="16"/>
      <c r="C115" s="16"/>
      <c r="D115" s="16"/>
      <c r="E115" s="16"/>
      <c r="F115" s="16"/>
      <c r="G115" s="16"/>
      <c r="H115" s="14" t="str">
        <f>IF(OR($G115&lt;&gt;"liaison",$D115=""),"",$D115&amp;"#"&amp;COUNTIFS($D$2:$D115,$D115,$G$2:$G115,"liaison"))</f>
        <v/>
      </c>
    </row>
    <row r="116" spans="1:8" x14ac:dyDescent="0.2">
      <c r="A116" s="16"/>
      <c r="B116" s="16"/>
      <c r="C116" s="16"/>
      <c r="D116" s="16"/>
      <c r="E116" s="16"/>
      <c r="F116" s="16"/>
      <c r="G116" s="16"/>
      <c r="H116" s="14" t="str">
        <f>IF(OR($G116&lt;&gt;"liaison",$D116=""),"",$D116&amp;"#"&amp;COUNTIFS($D$2:$D116,$D116,$G$2:$G116,"liaison"))</f>
        <v/>
      </c>
    </row>
    <row r="117" spans="1:8" x14ac:dyDescent="0.2">
      <c r="A117" s="16"/>
      <c r="B117" s="16"/>
      <c r="C117" s="16"/>
      <c r="D117" s="16"/>
      <c r="E117" s="16"/>
      <c r="F117" s="16"/>
      <c r="G117" s="16"/>
      <c r="H117" s="14" t="str">
        <f>IF(OR($G117&lt;&gt;"liaison",$D117=""),"",$D117&amp;"#"&amp;COUNTIFS($D$2:$D117,$D117,$G$2:$G117,"liaison"))</f>
        <v/>
      </c>
    </row>
    <row r="118" spans="1:8" x14ac:dyDescent="0.2">
      <c r="A118" s="16"/>
      <c r="B118" s="16"/>
      <c r="C118" s="16"/>
      <c r="D118" s="16"/>
      <c r="E118" s="16"/>
      <c r="F118" s="16"/>
      <c r="G118" s="16"/>
      <c r="H118" s="14" t="str">
        <f>IF(OR($G118&lt;&gt;"liaison",$D118=""),"",$D118&amp;"#"&amp;COUNTIFS($D$2:$D118,$D118,$G$2:$G118,"liaison"))</f>
        <v/>
      </c>
    </row>
    <row r="119" spans="1:8" x14ac:dyDescent="0.2">
      <c r="A119" s="16"/>
      <c r="B119" s="16"/>
      <c r="C119" s="16"/>
      <c r="D119" s="16"/>
      <c r="E119" s="16"/>
      <c r="F119" s="16"/>
      <c r="G119" s="16"/>
      <c r="H119" s="14" t="str">
        <f>IF(OR($G119&lt;&gt;"liaison",$D119=""),"",$D119&amp;"#"&amp;COUNTIFS($D$2:$D119,$D119,$G$2:$G119,"liaison"))</f>
        <v/>
      </c>
    </row>
    <row r="120" spans="1:8" x14ac:dyDescent="0.2">
      <c r="A120" s="16"/>
      <c r="B120" s="16"/>
      <c r="C120" s="16"/>
      <c r="D120" s="16"/>
      <c r="E120" s="16"/>
      <c r="F120" s="16"/>
      <c r="G120" s="16"/>
      <c r="H120" s="14" t="str">
        <f>IF(OR($G120&lt;&gt;"liaison",$D120=""),"",$D120&amp;"#"&amp;COUNTIFS($D$2:$D120,$D120,$G$2:$G120,"liaison"))</f>
        <v/>
      </c>
    </row>
    <row r="121" spans="1:8" x14ac:dyDescent="0.2">
      <c r="A121" s="16"/>
      <c r="B121" s="16"/>
      <c r="C121" s="16"/>
      <c r="D121" s="16"/>
      <c r="E121" s="16"/>
      <c r="F121" s="16"/>
      <c r="G121" s="16"/>
      <c r="H121" s="14" t="str">
        <f>IF(OR($G121&lt;&gt;"liaison",$D121=""),"",$D121&amp;"#"&amp;COUNTIFS($D$2:$D121,$D121,$G$2:$G121,"liaison"))</f>
        <v/>
      </c>
    </row>
    <row r="122" spans="1:8" x14ac:dyDescent="0.2">
      <c r="A122" s="16"/>
      <c r="B122" s="16"/>
      <c r="C122" s="16"/>
      <c r="D122" s="16"/>
      <c r="E122" s="16"/>
      <c r="F122" s="16"/>
      <c r="G122" s="16"/>
      <c r="H122" s="14" t="str">
        <f>IF(OR($G122&lt;&gt;"liaison",$D122=""),"",$D122&amp;"#"&amp;COUNTIFS($D$2:$D122,$D122,$G$2:$G122,"liaison"))</f>
        <v/>
      </c>
    </row>
    <row r="123" spans="1:8" x14ac:dyDescent="0.2">
      <c r="A123" s="16"/>
      <c r="B123" s="16"/>
      <c r="C123" s="16"/>
      <c r="D123" s="16"/>
      <c r="E123" s="16"/>
      <c r="F123" s="16"/>
      <c r="G123" s="16"/>
      <c r="H123" s="14" t="str">
        <f>IF(OR($G123&lt;&gt;"liaison",$D123=""),"",$D123&amp;"#"&amp;COUNTIFS($D$2:$D123,$D123,$G$2:$G123,"liaison"))</f>
        <v/>
      </c>
    </row>
    <row r="124" spans="1:8" x14ac:dyDescent="0.2">
      <c r="A124" s="16"/>
      <c r="B124" s="16"/>
      <c r="C124" s="16"/>
      <c r="D124" s="16"/>
      <c r="E124" s="16"/>
      <c r="F124" s="16"/>
      <c r="G124" s="16"/>
      <c r="H124" s="14" t="str">
        <f>IF(OR($G124&lt;&gt;"liaison",$D124=""),"",$D124&amp;"#"&amp;COUNTIFS($D$2:$D124,$D124,$G$2:$G124,"liaison"))</f>
        <v/>
      </c>
    </row>
    <row r="125" spans="1:8" x14ac:dyDescent="0.2">
      <c r="A125" s="16"/>
      <c r="B125" s="16"/>
      <c r="C125" s="16"/>
      <c r="D125" s="16"/>
      <c r="E125" s="16"/>
      <c r="F125" s="16"/>
      <c r="G125" s="16"/>
      <c r="H125" s="14" t="str">
        <f>IF(OR($G125&lt;&gt;"liaison",$D125=""),"",$D125&amp;"#"&amp;COUNTIFS($D$2:$D125,$D125,$G$2:$G125,"liaison"))</f>
        <v/>
      </c>
    </row>
    <row r="126" spans="1:8" x14ac:dyDescent="0.2">
      <c r="A126" s="16"/>
      <c r="B126" s="16"/>
      <c r="C126" s="16"/>
      <c r="D126" s="16"/>
      <c r="E126" s="16"/>
      <c r="F126" s="16"/>
      <c r="G126" s="16"/>
      <c r="H126" s="14" t="str">
        <f>IF(OR($G126&lt;&gt;"liaison",$D126=""),"",$D126&amp;"#"&amp;COUNTIFS($D$2:$D126,$D126,$G$2:$G126,"liaison"))</f>
        <v/>
      </c>
    </row>
    <row r="127" spans="1:8" x14ac:dyDescent="0.2">
      <c r="A127" s="16"/>
      <c r="B127" s="16"/>
      <c r="C127" s="16"/>
      <c r="D127" s="16"/>
      <c r="E127" s="16"/>
      <c r="F127" s="16"/>
      <c r="G127" s="16"/>
      <c r="H127" s="14" t="str">
        <f>IF(OR($G127&lt;&gt;"liaison",$D127=""),"",$D127&amp;"#"&amp;COUNTIFS($D$2:$D127,$D127,$G$2:$G127,"liaison"))</f>
        <v/>
      </c>
    </row>
    <row r="128" spans="1:8" x14ac:dyDescent="0.2">
      <c r="A128" s="16"/>
      <c r="B128" s="16"/>
      <c r="C128" s="16"/>
      <c r="D128" s="16"/>
      <c r="E128" s="16"/>
      <c r="F128" s="16"/>
      <c r="G128" s="16"/>
      <c r="H128" s="14" t="str">
        <f>IF(OR($G128&lt;&gt;"liaison",$D128=""),"",$D128&amp;"#"&amp;COUNTIFS($D$2:$D128,$D128,$G$2:$G128,"liaison"))</f>
        <v/>
      </c>
    </row>
    <row r="129" spans="1:8" x14ac:dyDescent="0.2">
      <c r="A129" s="16"/>
      <c r="B129" s="16"/>
      <c r="C129" s="16"/>
      <c r="D129" s="16"/>
      <c r="E129" s="16"/>
      <c r="F129" s="16"/>
      <c r="G129" s="16"/>
      <c r="H129" s="14" t="str">
        <f>IF(OR($G129&lt;&gt;"liaison",$D129=""),"",$D129&amp;"#"&amp;COUNTIFS($D$2:$D129,$D129,$G$2:$G129,"liaison"))</f>
        <v/>
      </c>
    </row>
    <row r="130" spans="1:8" x14ac:dyDescent="0.2">
      <c r="A130" s="16"/>
      <c r="B130" s="16"/>
      <c r="C130" s="16"/>
      <c r="D130" s="16"/>
      <c r="E130" s="16"/>
      <c r="F130" s="16"/>
      <c r="G130" s="16"/>
      <c r="H130" s="14" t="str">
        <f>IF(OR($G130&lt;&gt;"liaison",$D130=""),"",$D130&amp;"#"&amp;COUNTIFS($D$2:$D130,$D130,$G$2:$G130,"liaison"))</f>
        <v/>
      </c>
    </row>
    <row r="131" spans="1:8" x14ac:dyDescent="0.2">
      <c r="A131" s="16"/>
      <c r="B131" s="16"/>
      <c r="C131" s="16"/>
      <c r="D131" s="16"/>
      <c r="E131" s="16"/>
      <c r="F131" s="16"/>
      <c r="G131" s="16"/>
      <c r="H131" s="14" t="str">
        <f>IF(OR($G131&lt;&gt;"liaison",$D131=""),"",$D131&amp;"#"&amp;COUNTIFS($D$2:$D131,$D131,$G$2:$G131,"liaison"))</f>
        <v/>
      </c>
    </row>
    <row r="132" spans="1:8" x14ac:dyDescent="0.2">
      <c r="A132" s="16"/>
      <c r="B132" s="16"/>
      <c r="C132" s="16"/>
      <c r="D132" s="16"/>
      <c r="E132" s="16"/>
      <c r="F132" s="16"/>
      <c r="G132" s="16"/>
      <c r="H132" s="14" t="str">
        <f>IF(OR($G132&lt;&gt;"liaison",$D132=""),"",$D132&amp;"#"&amp;COUNTIFS($D$2:$D132,$D132,$G$2:$G132,"liaison"))</f>
        <v/>
      </c>
    </row>
    <row r="133" spans="1:8" x14ac:dyDescent="0.2">
      <c r="A133" s="16"/>
      <c r="B133" s="16"/>
      <c r="C133" s="16"/>
      <c r="D133" s="16"/>
      <c r="E133" s="16"/>
      <c r="F133" s="16"/>
      <c r="G133" s="16"/>
      <c r="H133" s="14" t="str">
        <f>IF(OR($G133&lt;&gt;"liaison",$D133=""),"",$D133&amp;"#"&amp;COUNTIFS($D$2:$D133,$D133,$G$2:$G133,"liaison"))</f>
        <v/>
      </c>
    </row>
    <row r="134" spans="1:8" x14ac:dyDescent="0.2">
      <c r="A134" s="16"/>
      <c r="B134" s="16"/>
      <c r="C134" s="16"/>
      <c r="D134" s="16"/>
      <c r="E134" s="16"/>
      <c r="F134" s="16"/>
      <c r="G134" s="16"/>
      <c r="H134" s="14" t="str">
        <f>IF(OR($G134&lt;&gt;"liaison",$D134=""),"",$D134&amp;"#"&amp;COUNTIFS($D$2:$D134,$D134,$G$2:$G134,"liaison"))</f>
        <v/>
      </c>
    </row>
    <row r="135" spans="1:8" x14ac:dyDescent="0.2">
      <c r="A135" s="16"/>
      <c r="B135" s="16"/>
      <c r="C135" s="16"/>
      <c r="D135" s="16"/>
      <c r="E135" s="16"/>
      <c r="F135" s="16"/>
      <c r="G135" s="16"/>
      <c r="H135" s="14" t="str">
        <f>IF(OR($G135&lt;&gt;"liaison",$D135=""),"",$D135&amp;"#"&amp;COUNTIFS($D$2:$D135,$D135,$G$2:$G135,"liaison"))</f>
        <v/>
      </c>
    </row>
    <row r="136" spans="1:8" x14ac:dyDescent="0.2">
      <c r="A136" s="16"/>
      <c r="B136" s="16"/>
      <c r="C136" s="16"/>
      <c r="D136" s="16"/>
      <c r="E136" s="16"/>
      <c r="F136" s="16"/>
      <c r="G136" s="16"/>
      <c r="H136" s="14" t="str">
        <f>IF(OR($G136&lt;&gt;"liaison",$D136=""),"",$D136&amp;"#"&amp;COUNTIFS($D$2:$D136,$D136,$G$2:$G136,"liaison"))</f>
        <v/>
      </c>
    </row>
    <row r="137" spans="1:8" x14ac:dyDescent="0.2">
      <c r="A137" s="16"/>
      <c r="B137" s="16"/>
      <c r="C137" s="16"/>
      <c r="D137" s="16"/>
      <c r="E137" s="16"/>
      <c r="F137" s="16"/>
      <c r="G137" s="16"/>
      <c r="H137" s="14" t="str">
        <f>IF(OR($G137&lt;&gt;"liaison",$D137=""),"",$D137&amp;"#"&amp;COUNTIFS($D$2:$D137,$D137,$G$2:$G137,"liaison"))</f>
        <v/>
      </c>
    </row>
    <row r="138" spans="1:8" x14ac:dyDescent="0.2">
      <c r="A138" s="16"/>
      <c r="B138" s="16"/>
      <c r="C138" s="16"/>
      <c r="D138" s="16"/>
      <c r="E138" s="16"/>
      <c r="F138" s="16"/>
      <c r="G138" s="16"/>
      <c r="H138" s="14" t="str">
        <f>IF(OR($G138&lt;&gt;"liaison",$D138=""),"",$D138&amp;"#"&amp;COUNTIFS($D$2:$D138,$D138,$G$2:$G138,"liaison"))</f>
        <v/>
      </c>
    </row>
    <row r="139" spans="1:8" x14ac:dyDescent="0.2">
      <c r="A139" s="16"/>
      <c r="B139" s="16"/>
      <c r="C139" s="16"/>
      <c r="D139" s="16"/>
      <c r="E139" s="16"/>
      <c r="F139" s="16"/>
      <c r="G139" s="16"/>
      <c r="H139" s="14" t="str">
        <f>IF(OR($G139&lt;&gt;"liaison",$D139=""),"",$D139&amp;"#"&amp;COUNTIFS($D$2:$D139,$D139,$G$2:$G139,"liaison"))</f>
        <v/>
      </c>
    </row>
    <row r="140" spans="1:8" x14ac:dyDescent="0.2">
      <c r="A140" s="16"/>
      <c r="B140" s="16"/>
      <c r="C140" s="16"/>
      <c r="D140" s="16"/>
      <c r="E140" s="16"/>
      <c r="F140" s="16"/>
      <c r="G140" s="16"/>
      <c r="H140" s="14" t="str">
        <f>IF(OR($G140&lt;&gt;"liaison",$D140=""),"",$D140&amp;"#"&amp;COUNTIFS($D$2:$D140,$D140,$G$2:$G140,"liaison"))</f>
        <v/>
      </c>
    </row>
    <row r="141" spans="1:8" x14ac:dyDescent="0.2">
      <c r="A141" s="16"/>
      <c r="B141" s="16"/>
      <c r="C141" s="16"/>
      <c r="D141" s="16"/>
      <c r="E141" s="16"/>
      <c r="F141" s="16"/>
      <c r="G141" s="16"/>
      <c r="H141" s="14" t="str">
        <f>IF(OR($G141&lt;&gt;"liaison",$D141=""),"",$D141&amp;"#"&amp;COUNTIFS($D$2:$D141,$D141,$G$2:$G141,"liaison"))</f>
        <v/>
      </c>
    </row>
    <row r="142" spans="1:8" x14ac:dyDescent="0.2">
      <c r="A142" s="16"/>
      <c r="B142" s="16"/>
      <c r="C142" s="16"/>
      <c r="D142" s="16"/>
      <c r="E142" s="16"/>
      <c r="F142" s="16"/>
      <c r="G142" s="16"/>
      <c r="H142" s="14" t="str">
        <f>IF(OR($G142&lt;&gt;"liaison",$D142=""),"",$D142&amp;"#"&amp;COUNTIFS($D$2:$D142,$D142,$G$2:$G142,"liaison"))</f>
        <v/>
      </c>
    </row>
    <row r="143" spans="1:8" x14ac:dyDescent="0.2">
      <c r="A143" s="16"/>
      <c r="B143" s="16"/>
      <c r="C143" s="16"/>
      <c r="D143" s="16"/>
      <c r="E143" s="16"/>
      <c r="F143" s="16"/>
      <c r="G143" s="16"/>
      <c r="H143" s="14" t="str">
        <f>IF(OR($G143&lt;&gt;"liaison",$D143=""),"",$D143&amp;"#"&amp;COUNTIFS($D$2:$D143,$D143,$G$2:$G143,"liaison"))</f>
        <v/>
      </c>
    </row>
    <row r="144" spans="1:8" x14ac:dyDescent="0.2">
      <c r="A144" s="16"/>
      <c r="B144" s="16"/>
      <c r="C144" s="16"/>
      <c r="D144" s="16"/>
      <c r="E144" s="16"/>
      <c r="F144" s="16"/>
      <c r="G144" s="16"/>
      <c r="H144" s="14" t="str">
        <f>IF(OR($G144&lt;&gt;"liaison",$D144=""),"",$D144&amp;"#"&amp;COUNTIFS($D$2:$D144,$D144,$G$2:$G144,"liaison"))</f>
        <v/>
      </c>
    </row>
    <row r="145" spans="1:8" x14ac:dyDescent="0.2">
      <c r="A145" s="16"/>
      <c r="B145" s="16"/>
      <c r="C145" s="16"/>
      <c r="D145" s="16"/>
      <c r="E145" s="16"/>
      <c r="F145" s="16"/>
      <c r="G145" s="16"/>
      <c r="H145" s="14" t="str">
        <f>IF(OR($G145&lt;&gt;"liaison",$D145=""),"",$D145&amp;"#"&amp;COUNTIFS($D$2:$D145,$D145,$G$2:$G145,"liaison"))</f>
        <v/>
      </c>
    </row>
    <row r="146" spans="1:8" x14ac:dyDescent="0.2">
      <c r="A146" s="16"/>
      <c r="B146" s="16"/>
      <c r="C146" s="16"/>
      <c r="D146" s="16"/>
      <c r="E146" s="16"/>
      <c r="F146" s="16"/>
      <c r="G146" s="16"/>
      <c r="H146" s="14" t="str">
        <f>IF(OR($G146&lt;&gt;"liaison",$D146=""),"",$D146&amp;"#"&amp;COUNTIFS($D$2:$D146,$D146,$G$2:$G146,"liaison"))</f>
        <v/>
      </c>
    </row>
    <row r="147" spans="1:8" x14ac:dyDescent="0.2">
      <c r="A147" s="16"/>
      <c r="B147" s="16"/>
      <c r="C147" s="16"/>
      <c r="D147" s="16"/>
      <c r="E147" s="16"/>
      <c r="F147" s="16"/>
      <c r="G147" s="16"/>
      <c r="H147" s="14" t="str">
        <f>IF(OR($G147&lt;&gt;"liaison",$D147=""),"",$D147&amp;"#"&amp;COUNTIFS($D$2:$D147,$D147,$G$2:$G147,"liaison"))</f>
        <v/>
      </c>
    </row>
    <row r="148" spans="1:8" x14ac:dyDescent="0.2">
      <c r="A148" s="16"/>
      <c r="B148" s="16"/>
      <c r="C148" s="16"/>
      <c r="D148" s="16"/>
      <c r="E148" s="16"/>
      <c r="F148" s="16"/>
      <c r="G148" s="16"/>
      <c r="H148" s="14" t="str">
        <f>IF(OR($G148&lt;&gt;"liaison",$D148=""),"",$D148&amp;"#"&amp;COUNTIFS($D$2:$D148,$D148,$G$2:$G148,"liaison"))</f>
        <v/>
      </c>
    </row>
    <row r="149" spans="1:8" x14ac:dyDescent="0.2">
      <c r="A149" s="16"/>
      <c r="B149" s="16"/>
      <c r="C149" s="16"/>
      <c r="D149" s="16"/>
      <c r="E149" s="16"/>
      <c r="F149" s="16"/>
      <c r="G149" s="16"/>
      <c r="H149" s="14" t="str">
        <f>IF(OR($G149&lt;&gt;"liaison",$D149=""),"",$D149&amp;"#"&amp;COUNTIFS($D$2:$D149,$D149,$G$2:$G149,"liaison"))</f>
        <v/>
      </c>
    </row>
    <row r="150" spans="1:8" x14ac:dyDescent="0.2">
      <c r="A150" s="16"/>
      <c r="B150" s="16"/>
      <c r="C150" s="16"/>
      <c r="D150" s="16"/>
      <c r="E150" s="16"/>
      <c r="F150" s="16"/>
      <c r="G150" s="16"/>
      <c r="H150" s="14" t="str">
        <f>IF(OR($G150&lt;&gt;"liaison",$D150=""),"",$D150&amp;"#"&amp;COUNTIFS($D$2:$D150,$D150,$G$2:$G150,"liaison"))</f>
        <v/>
      </c>
    </row>
    <row r="151" spans="1:8" x14ac:dyDescent="0.2">
      <c r="A151" s="16"/>
      <c r="B151" s="16"/>
      <c r="C151" s="16"/>
      <c r="D151" s="16"/>
      <c r="E151" s="16"/>
      <c r="F151" s="16"/>
      <c r="G151" s="16"/>
      <c r="H151" s="14" t="str">
        <f>IF(OR($G151&lt;&gt;"liaison",$D151=""),"",$D151&amp;"#"&amp;COUNTIFS($D$2:$D151,$D151,$G$2:$G151,"liaison"))</f>
        <v/>
      </c>
    </row>
    <row r="152" spans="1:8" x14ac:dyDescent="0.2">
      <c r="A152" s="16"/>
      <c r="B152" s="16"/>
      <c r="C152" s="16"/>
      <c r="D152" s="16"/>
      <c r="E152" s="16"/>
      <c r="F152" s="16"/>
      <c r="G152" s="16"/>
      <c r="H152" s="14" t="str">
        <f>IF(OR($G152&lt;&gt;"liaison",$D152=""),"",$D152&amp;"#"&amp;COUNTIFS($D$2:$D152,$D152,$G$2:$G152,"liaison"))</f>
        <v/>
      </c>
    </row>
    <row r="153" spans="1:8" x14ac:dyDescent="0.2">
      <c r="A153" s="16"/>
      <c r="B153" s="16"/>
      <c r="C153" s="16"/>
      <c r="D153" s="16"/>
      <c r="E153" s="16"/>
      <c r="F153" s="16"/>
      <c r="G153" s="16"/>
      <c r="H153" s="14" t="str">
        <f>IF(OR($G153&lt;&gt;"liaison",$D153=""),"",$D153&amp;"#"&amp;COUNTIFS($D$2:$D153,$D153,$G$2:$G153,"liaison"))</f>
        <v/>
      </c>
    </row>
    <row r="154" spans="1:8" x14ac:dyDescent="0.2">
      <c r="A154" s="16"/>
      <c r="B154" s="16"/>
      <c r="C154" s="16"/>
      <c r="D154" s="16"/>
      <c r="E154" s="16"/>
      <c r="F154" s="16"/>
      <c r="G154" s="16"/>
      <c r="H154" s="14" t="str">
        <f>IF(OR($G154&lt;&gt;"liaison",$D154=""),"",$D154&amp;"#"&amp;COUNTIFS($D$2:$D154,$D154,$G$2:$G154,"liaison"))</f>
        <v/>
      </c>
    </row>
    <row r="155" spans="1:8" x14ac:dyDescent="0.2">
      <c r="A155" s="16"/>
      <c r="B155" s="16"/>
      <c r="C155" s="16"/>
      <c r="D155" s="16"/>
      <c r="E155" s="16"/>
      <c r="F155" s="16"/>
      <c r="G155" s="16"/>
      <c r="H155" s="14" t="str">
        <f>IF(OR($G155&lt;&gt;"liaison",$D155=""),"",$D155&amp;"#"&amp;COUNTIFS($D$2:$D155,$D155,$G$2:$G155,"liaison"))</f>
        <v/>
      </c>
    </row>
    <row r="156" spans="1:8" x14ac:dyDescent="0.2">
      <c r="A156" s="16"/>
      <c r="B156" s="16"/>
      <c r="C156" s="16"/>
      <c r="D156" s="16"/>
      <c r="E156" s="16"/>
      <c r="F156" s="16"/>
      <c r="G156" s="16"/>
      <c r="H156" s="14" t="str">
        <f>IF(OR($G156&lt;&gt;"liaison",$D156=""),"",$D156&amp;"#"&amp;COUNTIFS($D$2:$D156,$D156,$G$2:$G156,"liaison"))</f>
        <v/>
      </c>
    </row>
    <row r="157" spans="1:8" x14ac:dyDescent="0.2">
      <c r="A157" s="16"/>
      <c r="B157" s="16"/>
      <c r="C157" s="16"/>
      <c r="D157" s="16"/>
      <c r="E157" s="16"/>
      <c r="F157" s="16"/>
      <c r="G157" s="16"/>
      <c r="H157" s="14" t="str">
        <f>IF(OR($G157&lt;&gt;"liaison",$D157=""),"",$D157&amp;"#"&amp;COUNTIFS($D$2:$D157,$D157,$G$2:$G157,"liaison"))</f>
        <v/>
      </c>
    </row>
    <row r="158" spans="1:8" x14ac:dyDescent="0.2">
      <c r="A158" s="16"/>
      <c r="B158" s="16"/>
      <c r="C158" s="16"/>
      <c r="D158" s="16"/>
      <c r="E158" s="16"/>
      <c r="F158" s="16"/>
      <c r="G158" s="16"/>
      <c r="H158" s="14" t="str">
        <f>IF(OR($G158&lt;&gt;"liaison",$D158=""),"",$D158&amp;"#"&amp;COUNTIFS($D$2:$D158,$D158,$G$2:$G158,"liaison"))</f>
        <v/>
      </c>
    </row>
    <row r="159" spans="1:8" x14ac:dyDescent="0.2">
      <c r="A159" s="16"/>
      <c r="B159" s="16"/>
      <c r="C159" s="16"/>
      <c r="D159" s="16"/>
      <c r="E159" s="16"/>
      <c r="F159" s="16"/>
      <c r="G159" s="16"/>
      <c r="H159" s="14" t="str">
        <f>IF(OR($G159&lt;&gt;"liaison",$D159=""),"",$D159&amp;"#"&amp;COUNTIFS($D$2:$D159,$D159,$G$2:$G159,"liaison"))</f>
        <v/>
      </c>
    </row>
    <row r="160" spans="1:8" x14ac:dyDescent="0.2">
      <c r="A160" s="16"/>
      <c r="B160" s="16"/>
      <c r="C160" s="16"/>
      <c r="D160" s="16"/>
      <c r="E160" s="16"/>
      <c r="F160" s="16"/>
      <c r="G160" s="16"/>
      <c r="H160" s="14" t="str">
        <f>IF(OR($G160&lt;&gt;"liaison",$D160=""),"",$D160&amp;"#"&amp;COUNTIFS($D$2:$D160,$D160,$G$2:$G160,"liaison"))</f>
        <v/>
      </c>
    </row>
    <row r="161" spans="1:8" x14ac:dyDescent="0.2">
      <c r="A161" s="16"/>
      <c r="B161" s="16"/>
      <c r="C161" s="16"/>
      <c r="D161" s="16"/>
      <c r="E161" s="16"/>
      <c r="F161" s="16"/>
      <c r="G161" s="16"/>
      <c r="H161" s="14" t="str">
        <f>IF(OR($G161&lt;&gt;"liaison",$D161=""),"",$D161&amp;"#"&amp;COUNTIFS($D$2:$D161,$D161,$G$2:$G161,"liaison"))</f>
        <v/>
      </c>
    </row>
    <row r="162" spans="1:8" x14ac:dyDescent="0.2">
      <c r="A162" s="16"/>
      <c r="B162" s="16"/>
      <c r="C162" s="16"/>
      <c r="D162" s="16"/>
      <c r="E162" s="16"/>
      <c r="F162" s="16"/>
      <c r="G162" s="16"/>
      <c r="H162" s="14" t="str">
        <f>IF(OR($G162&lt;&gt;"liaison",$D162=""),"",$D162&amp;"#"&amp;COUNTIFS($D$2:$D162,$D162,$G$2:$G162,"liaison"))</f>
        <v/>
      </c>
    </row>
    <row r="163" spans="1:8" x14ac:dyDescent="0.2">
      <c r="A163" s="16"/>
      <c r="B163" s="16"/>
      <c r="C163" s="16"/>
      <c r="D163" s="16"/>
      <c r="E163" s="16"/>
      <c r="F163" s="16"/>
      <c r="G163" s="16"/>
      <c r="H163" s="14" t="str">
        <f>IF(OR($G163&lt;&gt;"liaison",$D163=""),"",$D163&amp;"#"&amp;COUNTIFS($D$2:$D163,$D163,$G$2:$G163,"liaison"))</f>
        <v/>
      </c>
    </row>
    <row r="164" spans="1:8" x14ac:dyDescent="0.2">
      <c r="A164" s="16"/>
      <c r="B164" s="16"/>
      <c r="C164" s="16"/>
      <c r="D164" s="16"/>
      <c r="E164" s="16"/>
      <c r="F164" s="16"/>
      <c r="G164" s="16"/>
      <c r="H164" s="14" t="str">
        <f>IF(OR($G164&lt;&gt;"liaison",$D164=""),"",$D164&amp;"#"&amp;COUNTIFS($D$2:$D164,$D164,$G$2:$G164,"liaison"))</f>
        <v/>
      </c>
    </row>
    <row r="165" spans="1:8" x14ac:dyDescent="0.2">
      <c r="A165" s="16"/>
      <c r="B165" s="16"/>
      <c r="C165" s="16"/>
      <c r="D165" s="16"/>
      <c r="E165" s="16"/>
      <c r="F165" s="16"/>
      <c r="G165" s="16"/>
      <c r="H165" s="14" t="str">
        <f>IF(OR($G165&lt;&gt;"liaison",$D165=""),"",$D165&amp;"#"&amp;COUNTIFS($D$2:$D165,$D165,$G$2:$G165,"liaison"))</f>
        <v/>
      </c>
    </row>
    <row r="166" spans="1:8" x14ac:dyDescent="0.2">
      <c r="A166" s="16"/>
      <c r="B166" s="16"/>
      <c r="C166" s="16"/>
      <c r="D166" s="16"/>
      <c r="E166" s="16"/>
      <c r="F166" s="16"/>
      <c r="G166" s="16"/>
      <c r="H166" s="14" t="str">
        <f>IF(OR($G166&lt;&gt;"liaison",$D166=""),"",$D166&amp;"#"&amp;COUNTIFS($D$2:$D166,$D166,$G$2:$G166,"liaison"))</f>
        <v/>
      </c>
    </row>
    <row r="167" spans="1:8" x14ac:dyDescent="0.2">
      <c r="A167" s="16"/>
      <c r="B167" s="16"/>
      <c r="C167" s="16"/>
      <c r="D167" s="16"/>
      <c r="E167" s="16"/>
      <c r="F167" s="16"/>
      <c r="G167" s="16"/>
      <c r="H167" s="14" t="str">
        <f>IF(OR($G167&lt;&gt;"liaison",$D167=""),"",$D167&amp;"#"&amp;COUNTIFS($D$2:$D167,$D167,$G$2:$G167,"liaison"))</f>
        <v/>
      </c>
    </row>
    <row r="168" spans="1:8" x14ac:dyDescent="0.2">
      <c r="A168" s="16"/>
      <c r="B168" s="16"/>
      <c r="C168" s="16"/>
      <c r="D168" s="16"/>
      <c r="E168" s="16"/>
      <c r="F168" s="16"/>
      <c r="G168" s="16"/>
      <c r="H168" s="14" t="str">
        <f>IF(OR($G168&lt;&gt;"liaison",$D168=""),"",$D168&amp;"#"&amp;COUNTIFS($D$2:$D168,$D168,$G$2:$G168,"liaison"))</f>
        <v/>
      </c>
    </row>
    <row r="169" spans="1:8" x14ac:dyDescent="0.2">
      <c r="A169" s="16"/>
      <c r="B169" s="16"/>
      <c r="C169" s="16"/>
      <c r="D169" s="16"/>
      <c r="E169" s="16"/>
      <c r="F169" s="16"/>
      <c r="G169" s="16"/>
      <c r="H169" s="14" t="str">
        <f>IF(OR($G169&lt;&gt;"liaison",$D169=""),"",$D169&amp;"#"&amp;COUNTIFS($D$2:$D169,$D169,$G$2:$G169,"liaison"))</f>
        <v/>
      </c>
    </row>
    <row r="170" spans="1:8" x14ac:dyDescent="0.2">
      <c r="A170" s="16"/>
      <c r="B170" s="16"/>
      <c r="C170" s="16"/>
      <c r="D170" s="16"/>
      <c r="E170" s="16"/>
      <c r="F170" s="16"/>
      <c r="G170" s="16"/>
      <c r="H170" s="14" t="str">
        <f>IF(OR($G170&lt;&gt;"liaison",$D170=""),"",$D170&amp;"#"&amp;COUNTIFS($D$2:$D170,$D170,$G$2:$G170,"liaison"))</f>
        <v/>
      </c>
    </row>
    <row r="171" spans="1:8" x14ac:dyDescent="0.2">
      <c r="A171" s="16"/>
      <c r="B171" s="16"/>
      <c r="C171" s="16"/>
      <c r="D171" s="16"/>
      <c r="E171" s="16"/>
      <c r="F171" s="16"/>
      <c r="G171" s="16"/>
      <c r="H171" s="14" t="str">
        <f>IF(OR($G171&lt;&gt;"liaison",$D171=""),"",$D171&amp;"#"&amp;COUNTIFS($D$2:$D171,$D171,$G$2:$G171,"liaison"))</f>
        <v/>
      </c>
    </row>
    <row r="172" spans="1:8" x14ac:dyDescent="0.2">
      <c r="A172" s="16"/>
      <c r="B172" s="16"/>
      <c r="C172" s="16"/>
      <c r="D172" s="16"/>
      <c r="E172" s="16"/>
      <c r="F172" s="16"/>
      <c r="G172" s="16"/>
      <c r="H172" s="14" t="str">
        <f>IF(OR($G172&lt;&gt;"liaison",$D172=""),"",$D172&amp;"#"&amp;COUNTIFS($D$2:$D172,$D172,$G$2:$G172,"liaison"))</f>
        <v/>
      </c>
    </row>
    <row r="173" spans="1:8" x14ac:dyDescent="0.2">
      <c r="A173" s="16"/>
      <c r="B173" s="16"/>
      <c r="C173" s="16"/>
      <c r="D173" s="16"/>
      <c r="E173" s="16"/>
      <c r="F173" s="16"/>
      <c r="G173" s="16"/>
      <c r="H173" s="14" t="str">
        <f>IF(OR($G173&lt;&gt;"liaison",$D173=""),"",$D173&amp;"#"&amp;COUNTIFS($D$2:$D173,$D173,$G$2:$G173,"liaison"))</f>
        <v/>
      </c>
    </row>
    <row r="174" spans="1:8" x14ac:dyDescent="0.2">
      <c r="A174" s="16"/>
      <c r="B174" s="16"/>
      <c r="C174" s="16"/>
      <c r="D174" s="16"/>
      <c r="E174" s="16"/>
      <c r="F174" s="16"/>
      <c r="G174" s="16"/>
      <c r="H174" s="14" t="str">
        <f>IF(OR($G174&lt;&gt;"liaison",$D174=""),"",$D174&amp;"#"&amp;COUNTIFS($D$2:$D174,$D174,$G$2:$G174,"liaison"))</f>
        <v/>
      </c>
    </row>
    <row r="175" spans="1:8" x14ac:dyDescent="0.2">
      <c r="A175" s="16"/>
      <c r="B175" s="16"/>
      <c r="C175" s="16"/>
      <c r="D175" s="16"/>
      <c r="E175" s="16"/>
      <c r="F175" s="16"/>
      <c r="G175" s="16"/>
      <c r="H175" s="14" t="str">
        <f>IF(OR($G175&lt;&gt;"liaison",$D175=""),"",$D175&amp;"#"&amp;COUNTIFS($D$2:$D175,$D175,$G$2:$G175,"liaison"))</f>
        <v/>
      </c>
    </row>
    <row r="176" spans="1:8" x14ac:dyDescent="0.2">
      <c r="A176" s="16"/>
      <c r="B176" s="16"/>
      <c r="C176" s="16"/>
      <c r="D176" s="16"/>
      <c r="E176" s="16"/>
      <c r="F176" s="16"/>
      <c r="G176" s="16"/>
      <c r="H176" s="14" t="str">
        <f>IF(OR($G176&lt;&gt;"liaison",$D176=""),"",$D176&amp;"#"&amp;COUNTIFS($D$2:$D176,$D176,$G$2:$G176,"liaison"))</f>
        <v/>
      </c>
    </row>
    <row r="177" spans="1:8" x14ac:dyDescent="0.2">
      <c r="A177" s="16"/>
      <c r="B177" s="16"/>
      <c r="C177" s="16"/>
      <c r="D177" s="16"/>
      <c r="E177" s="16"/>
      <c r="F177" s="16"/>
      <c r="G177" s="16"/>
      <c r="H177" s="14" t="str">
        <f>IF(OR($G177&lt;&gt;"liaison",$D177=""),"",$D177&amp;"#"&amp;COUNTIFS($D$2:$D177,$D177,$G$2:$G177,"liaison"))</f>
        <v/>
      </c>
    </row>
    <row r="178" spans="1:8" x14ac:dyDescent="0.2">
      <c r="A178" s="16"/>
      <c r="B178" s="16"/>
      <c r="C178" s="16"/>
      <c r="D178" s="16"/>
      <c r="E178" s="16"/>
      <c r="F178" s="16"/>
      <c r="G178" s="16"/>
      <c r="H178" s="14" t="str">
        <f>IF(OR($G178&lt;&gt;"liaison",$D178=""),"",$D178&amp;"#"&amp;COUNTIFS($D$2:$D178,$D178,$G$2:$G178,"liaison"))</f>
        <v/>
      </c>
    </row>
    <row r="179" spans="1:8" x14ac:dyDescent="0.2">
      <c r="A179" s="16"/>
      <c r="B179" s="16"/>
      <c r="C179" s="16"/>
      <c r="D179" s="16"/>
      <c r="E179" s="16"/>
      <c r="F179" s="16"/>
      <c r="G179" s="16"/>
      <c r="H179" s="14" t="str">
        <f>IF(OR($G179&lt;&gt;"liaison",$D179=""),"",$D179&amp;"#"&amp;COUNTIFS($D$2:$D179,$D179,$G$2:$G179,"liaison"))</f>
        <v/>
      </c>
    </row>
    <row r="180" spans="1:8" x14ac:dyDescent="0.2">
      <c r="A180" s="16"/>
      <c r="B180" s="16"/>
      <c r="C180" s="16"/>
      <c r="D180" s="16"/>
      <c r="E180" s="16"/>
      <c r="F180" s="16"/>
      <c r="G180" s="16"/>
      <c r="H180" s="14" t="str">
        <f>IF(OR($G180&lt;&gt;"liaison",$D180=""),"",$D180&amp;"#"&amp;COUNTIFS($D$2:$D180,$D180,$G$2:$G180,"liaison"))</f>
        <v/>
      </c>
    </row>
    <row r="181" spans="1:8" x14ac:dyDescent="0.2">
      <c r="A181" s="16"/>
      <c r="B181" s="16"/>
      <c r="C181" s="16"/>
      <c r="D181" s="16"/>
      <c r="E181" s="16"/>
      <c r="F181" s="16"/>
      <c r="G181" s="16"/>
      <c r="H181" s="14" t="str">
        <f>IF(OR($G181&lt;&gt;"liaison",$D181=""),"",$D181&amp;"#"&amp;COUNTIFS($D$2:$D181,$D181,$G$2:$G181,"liaison"))</f>
        <v/>
      </c>
    </row>
    <row r="182" spans="1:8" x14ac:dyDescent="0.2">
      <c r="A182" s="16"/>
      <c r="B182" s="16"/>
      <c r="C182" s="16"/>
      <c r="D182" s="16"/>
      <c r="E182" s="16"/>
      <c r="F182" s="16"/>
      <c r="G182" s="16"/>
      <c r="H182" s="14" t="str">
        <f>IF(OR($G182&lt;&gt;"liaison",$D182=""),"",$D182&amp;"#"&amp;COUNTIFS($D$2:$D182,$D182,$G$2:$G182,"liaison"))</f>
        <v/>
      </c>
    </row>
    <row r="183" spans="1:8" x14ac:dyDescent="0.2">
      <c r="A183" s="16"/>
      <c r="B183" s="16"/>
      <c r="C183" s="16"/>
      <c r="D183" s="16"/>
      <c r="E183" s="16"/>
      <c r="F183" s="16"/>
      <c r="G183" s="16"/>
      <c r="H183" s="14" t="str">
        <f>IF(OR($G183&lt;&gt;"liaison",$D183=""),"",$D183&amp;"#"&amp;COUNTIFS($D$2:$D183,$D183,$G$2:$G183,"liaison"))</f>
        <v/>
      </c>
    </row>
    <row r="184" spans="1:8" x14ac:dyDescent="0.2">
      <c r="A184" s="16"/>
      <c r="B184" s="16"/>
      <c r="C184" s="16"/>
      <c r="D184" s="16"/>
      <c r="E184" s="16"/>
      <c r="F184" s="16"/>
      <c r="G184" s="16"/>
      <c r="H184" s="14" t="str">
        <f>IF(OR($G184&lt;&gt;"liaison",$D184=""),"",$D184&amp;"#"&amp;COUNTIFS($D$2:$D184,$D184,$G$2:$G184,"liaison"))</f>
        <v/>
      </c>
    </row>
    <row r="185" spans="1:8" x14ac:dyDescent="0.2">
      <c r="A185" s="16"/>
      <c r="B185" s="16"/>
      <c r="C185" s="16"/>
      <c r="D185" s="16"/>
      <c r="E185" s="16"/>
      <c r="F185" s="16"/>
      <c r="G185" s="16"/>
      <c r="H185" s="14" t="str">
        <f>IF(OR($G185&lt;&gt;"liaison",$D185=""),"",$D185&amp;"#"&amp;COUNTIFS($D$2:$D185,$D185,$G$2:$G185,"liaison"))</f>
        <v/>
      </c>
    </row>
    <row r="186" spans="1:8" x14ac:dyDescent="0.2">
      <c r="A186" s="16"/>
      <c r="B186" s="16"/>
      <c r="C186" s="16"/>
      <c r="D186" s="16"/>
      <c r="E186" s="16"/>
      <c r="F186" s="16"/>
      <c r="G186" s="16"/>
      <c r="H186" s="14" t="str">
        <f>IF(OR($G186&lt;&gt;"liaison",$D186=""),"",$D186&amp;"#"&amp;COUNTIFS($D$2:$D186,$D186,$G$2:$G186,"liaison"))</f>
        <v/>
      </c>
    </row>
    <row r="187" spans="1:8" x14ac:dyDescent="0.2">
      <c r="A187" s="16"/>
      <c r="B187" s="16"/>
      <c r="C187" s="16"/>
      <c r="D187" s="16"/>
      <c r="E187" s="16"/>
      <c r="F187" s="16"/>
      <c r="G187" s="16"/>
      <c r="H187" s="14" t="str">
        <f>IF(OR($G187&lt;&gt;"liaison",$D187=""),"",$D187&amp;"#"&amp;COUNTIFS($D$2:$D187,$D187,$G$2:$G187,"liaison"))</f>
        <v/>
      </c>
    </row>
    <row r="188" spans="1:8" x14ac:dyDescent="0.2">
      <c r="A188" s="16"/>
      <c r="B188" s="16"/>
      <c r="C188" s="16"/>
      <c r="D188" s="16"/>
      <c r="E188" s="16"/>
      <c r="F188" s="16"/>
      <c r="G188" s="16"/>
      <c r="H188" s="14" t="str">
        <f>IF(OR($G188&lt;&gt;"liaison",$D188=""),"",$D188&amp;"#"&amp;COUNTIFS($D$2:$D188,$D188,$G$2:$G188,"liaison"))</f>
        <v/>
      </c>
    </row>
    <row r="189" spans="1:8" x14ac:dyDescent="0.2">
      <c r="A189" s="16"/>
      <c r="B189" s="16"/>
      <c r="C189" s="16"/>
      <c r="D189" s="16"/>
      <c r="E189" s="16"/>
      <c r="F189" s="16"/>
      <c r="G189" s="16"/>
      <c r="H189" s="14" t="str">
        <f>IF(OR($G189&lt;&gt;"liaison",$D189=""),"",$D189&amp;"#"&amp;COUNTIFS($D$2:$D189,$D189,$G$2:$G189,"liaison"))</f>
        <v/>
      </c>
    </row>
    <row r="190" spans="1:8" x14ac:dyDescent="0.2">
      <c r="A190" s="16"/>
      <c r="B190" s="16"/>
      <c r="C190" s="16"/>
      <c r="D190" s="16"/>
      <c r="E190" s="16"/>
      <c r="F190" s="16"/>
      <c r="G190" s="16"/>
      <c r="H190" s="14" t="str">
        <f>IF(OR($G190&lt;&gt;"liaison",$D190=""),"",$D190&amp;"#"&amp;COUNTIFS($D$2:$D190,$D190,$G$2:$G190,"liaison"))</f>
        <v/>
      </c>
    </row>
    <row r="191" spans="1:8" x14ac:dyDescent="0.2">
      <c r="A191" s="16"/>
      <c r="B191" s="16"/>
      <c r="C191" s="16"/>
      <c r="D191" s="16"/>
      <c r="E191" s="16"/>
      <c r="F191" s="16"/>
      <c r="G191" s="16"/>
      <c r="H191" s="14" t="str">
        <f>IF(OR($G191&lt;&gt;"liaison",$D191=""),"",$D191&amp;"#"&amp;COUNTIFS($D$2:$D191,$D191,$G$2:$G191,"liaison"))</f>
        <v/>
      </c>
    </row>
    <row r="192" spans="1:8" x14ac:dyDescent="0.2">
      <c r="A192" s="16"/>
      <c r="B192" s="16"/>
      <c r="C192" s="16"/>
      <c r="D192" s="16"/>
      <c r="E192" s="16"/>
      <c r="F192" s="16"/>
      <c r="G192" s="16"/>
      <c r="H192" s="14" t="str">
        <f>IF(OR($G192&lt;&gt;"liaison",$D192=""),"",$D192&amp;"#"&amp;COUNTIFS($D$2:$D192,$D192,$G$2:$G192,"liaison"))</f>
        <v/>
      </c>
    </row>
    <row r="193" spans="1:8" x14ac:dyDescent="0.2">
      <c r="A193" s="16"/>
      <c r="B193" s="16"/>
      <c r="C193" s="16"/>
      <c r="D193" s="16"/>
      <c r="E193" s="16"/>
      <c r="F193" s="16"/>
      <c r="G193" s="16"/>
      <c r="H193" s="14" t="str">
        <f>IF(OR($G193&lt;&gt;"liaison",$D193=""),"",$D193&amp;"#"&amp;COUNTIFS($D$2:$D193,$D193,$G$2:$G193,"liaison"))</f>
        <v/>
      </c>
    </row>
    <row r="194" spans="1:8" x14ac:dyDescent="0.2">
      <c r="A194" s="16"/>
      <c r="B194" s="16"/>
      <c r="C194" s="16"/>
      <c r="D194" s="16"/>
      <c r="E194" s="16"/>
      <c r="F194" s="16"/>
      <c r="G194" s="16"/>
      <c r="H194" s="14" t="str">
        <f>IF(OR($G194&lt;&gt;"liaison",$D194=""),"",$D194&amp;"#"&amp;COUNTIFS($D$2:$D194,$D194,$G$2:$G194,"liaison"))</f>
        <v/>
      </c>
    </row>
    <row r="195" spans="1:8" x14ac:dyDescent="0.2">
      <c r="A195" s="16"/>
      <c r="B195" s="16"/>
      <c r="C195" s="16"/>
      <c r="D195" s="16"/>
      <c r="E195" s="16"/>
      <c r="F195" s="16"/>
      <c r="G195" s="16"/>
      <c r="H195" s="14" t="str">
        <f>IF(OR($G195&lt;&gt;"liaison",$D195=""),"",$D195&amp;"#"&amp;COUNTIFS($D$2:$D195,$D195,$G$2:$G195,"liaison"))</f>
        <v/>
      </c>
    </row>
    <row r="196" spans="1:8" x14ac:dyDescent="0.2">
      <c r="A196" s="16"/>
      <c r="B196" s="16"/>
      <c r="C196" s="16"/>
      <c r="D196" s="16"/>
      <c r="E196" s="16"/>
      <c r="F196" s="16"/>
      <c r="G196" s="16"/>
      <c r="H196" s="14" t="str">
        <f>IF(OR($G196&lt;&gt;"liaison",$D196=""),"",$D196&amp;"#"&amp;COUNTIFS($D$2:$D196,$D196,$G$2:$G196,"liaison"))</f>
        <v/>
      </c>
    </row>
    <row r="197" spans="1:8" x14ac:dyDescent="0.2">
      <c r="A197" s="16"/>
      <c r="B197" s="16"/>
      <c r="C197" s="16"/>
      <c r="D197" s="16"/>
      <c r="E197" s="16"/>
      <c r="F197" s="16"/>
      <c r="G197" s="16"/>
      <c r="H197" s="14" t="str">
        <f>IF(OR($G197&lt;&gt;"liaison",$D197=""),"",$D197&amp;"#"&amp;COUNTIFS($D$2:$D197,$D197,$G$2:$G197,"liaison"))</f>
        <v/>
      </c>
    </row>
    <row r="198" spans="1:8" x14ac:dyDescent="0.2">
      <c r="A198" s="16"/>
      <c r="B198" s="16"/>
      <c r="C198" s="16"/>
      <c r="D198" s="16"/>
      <c r="E198" s="16"/>
      <c r="F198" s="16"/>
      <c r="G198" s="16"/>
      <c r="H198" s="14" t="str">
        <f>IF(OR($G198&lt;&gt;"liaison",$D198=""),"",$D198&amp;"#"&amp;COUNTIFS($D$2:$D198,$D198,$G$2:$G198,"liaison"))</f>
        <v/>
      </c>
    </row>
    <row r="199" spans="1:8" x14ac:dyDescent="0.2">
      <c r="A199" s="16"/>
      <c r="B199" s="16"/>
      <c r="C199" s="16"/>
      <c r="D199" s="16"/>
      <c r="E199" s="16"/>
      <c r="F199" s="16"/>
      <c r="G199" s="16"/>
      <c r="H199" s="14" t="str">
        <f>IF(OR($G199&lt;&gt;"liaison",$D199=""),"",$D199&amp;"#"&amp;COUNTIFS($D$2:$D199,$D199,$G$2:$G199,"liaison"))</f>
        <v/>
      </c>
    </row>
    <row r="201" spans="1:8" x14ac:dyDescent="0.2">
      <c r="A201" s="17" t="s">
        <v>182</v>
      </c>
    </row>
    <row r="202" spans="1:8" x14ac:dyDescent="0.2">
      <c r="A202" s="17" t="s">
        <v>183</v>
      </c>
    </row>
  </sheetData>
  <dataValidations count="1">
    <dataValidation type="list" allowBlank="1" sqref="G2:G199" xr:uid="{00000000-0002-0000-0100-000000000000}">
      <formula1>"board,liaison,judge,videographer,ras rep,sponsor,volunteer"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100-000001000000}">
          <x14:formula1>
            <xm:f>Teams!$B$2:$B$9</xm:f>
          </x14:formula1>
          <xm:sqref>D2:D199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3"/>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2" width="26" customWidth="1"/>
    <col min="3" max="3" width="10" customWidth="1"/>
    <col min="4" max="5" width="12" customWidth="1"/>
    <col min="6" max="6" width="30" customWidth="1"/>
    <col min="7" max="7" width="22" customWidth="1"/>
  </cols>
  <sheetData>
    <row r="1" spans="1:7" x14ac:dyDescent="0.2">
      <c r="A1" s="12" t="s">
        <v>141</v>
      </c>
      <c r="B1" s="12" t="s">
        <v>184</v>
      </c>
      <c r="C1" s="12" t="s">
        <v>185</v>
      </c>
      <c r="D1" s="12" t="s">
        <v>186</v>
      </c>
      <c r="E1" s="12" t="s">
        <v>187</v>
      </c>
      <c r="F1" s="12" t="s">
        <v>188</v>
      </c>
      <c r="G1" s="12" t="s">
        <v>189</v>
      </c>
    </row>
    <row r="2" spans="1:7" x14ac:dyDescent="0.2">
      <c r="A2" s="18" t="s">
        <v>190</v>
      </c>
      <c r="B2" s="18" t="s">
        <v>158</v>
      </c>
      <c r="C2" s="18" t="s">
        <v>191</v>
      </c>
      <c r="D2" s="19"/>
      <c r="E2" s="20" t="str">
        <f t="shared" ref="E2:E9" si="0">IF($D2="","",IF(COUNTIF($D$2:$D$9,$D2)&gt;1,"DUPLICATE","OK"))</f>
        <v/>
      </c>
      <c r="F2" s="21"/>
      <c r="G2" s="21"/>
    </row>
    <row r="3" spans="1:7" x14ac:dyDescent="0.2">
      <c r="A3" s="18" t="s">
        <v>192</v>
      </c>
      <c r="B3" s="18" t="s">
        <v>193</v>
      </c>
      <c r="C3" s="18" t="s">
        <v>194</v>
      </c>
      <c r="D3" s="19"/>
      <c r="E3" s="20" t="str">
        <f t="shared" si="0"/>
        <v/>
      </c>
      <c r="F3" s="21"/>
      <c r="G3" s="21"/>
    </row>
    <row r="4" spans="1:7" x14ac:dyDescent="0.2">
      <c r="A4" s="18" t="s">
        <v>195</v>
      </c>
      <c r="B4" s="18" t="s">
        <v>196</v>
      </c>
      <c r="C4" s="18" t="s">
        <v>197</v>
      </c>
      <c r="D4" s="19"/>
      <c r="E4" s="20" t="str">
        <f t="shared" si="0"/>
        <v/>
      </c>
      <c r="F4" s="21"/>
      <c r="G4" s="21"/>
    </row>
    <row r="5" spans="1:7" x14ac:dyDescent="0.2">
      <c r="A5" s="18" t="s">
        <v>198</v>
      </c>
      <c r="B5" s="18" t="s">
        <v>199</v>
      </c>
      <c r="C5" s="18" t="s">
        <v>200</v>
      </c>
      <c r="D5" s="19"/>
      <c r="E5" s="20" t="str">
        <f t="shared" si="0"/>
        <v/>
      </c>
      <c r="F5" s="21"/>
      <c r="G5" s="21"/>
    </row>
    <row r="6" spans="1:7" x14ac:dyDescent="0.2">
      <c r="A6" s="18" t="s">
        <v>201</v>
      </c>
      <c r="B6" s="18" t="s">
        <v>202</v>
      </c>
      <c r="C6" s="18" t="s">
        <v>203</v>
      </c>
      <c r="D6" s="19"/>
      <c r="E6" s="20" t="str">
        <f t="shared" si="0"/>
        <v/>
      </c>
      <c r="F6" s="21"/>
      <c r="G6" s="21"/>
    </row>
    <row r="7" spans="1:7" x14ac:dyDescent="0.2">
      <c r="A7" s="18" t="s">
        <v>204</v>
      </c>
      <c r="B7" s="18" t="s">
        <v>205</v>
      </c>
      <c r="C7" s="18" t="s">
        <v>206</v>
      </c>
      <c r="D7" s="19"/>
      <c r="E7" s="20" t="str">
        <f t="shared" si="0"/>
        <v/>
      </c>
      <c r="F7" s="21"/>
      <c r="G7" s="21"/>
    </row>
    <row r="8" spans="1:7" x14ac:dyDescent="0.2">
      <c r="A8" s="18" t="s">
        <v>207</v>
      </c>
      <c r="B8" s="18" t="s">
        <v>208</v>
      </c>
      <c r="C8" s="18" t="s">
        <v>209</v>
      </c>
      <c r="D8" s="19"/>
      <c r="E8" s="20" t="str">
        <f t="shared" si="0"/>
        <v/>
      </c>
      <c r="F8" s="21"/>
      <c r="G8" s="21"/>
    </row>
    <row r="9" spans="1:7" x14ac:dyDescent="0.2">
      <c r="A9" s="18" t="s">
        <v>210</v>
      </c>
      <c r="B9" s="18" t="s">
        <v>211</v>
      </c>
      <c r="C9" s="18" t="s">
        <v>212</v>
      </c>
      <c r="D9" s="19"/>
      <c r="E9" s="20" t="str">
        <f t="shared" si="0"/>
        <v/>
      </c>
      <c r="F9" s="21"/>
      <c r="G9" s="21"/>
    </row>
    <row r="11" spans="1:7" x14ac:dyDescent="0.2">
      <c r="A11" s="17" t="s">
        <v>213</v>
      </c>
    </row>
    <row r="12" spans="1:7" x14ac:dyDescent="0.2">
      <c r="A12" s="17" t="s">
        <v>214</v>
      </c>
    </row>
    <row r="13" spans="1:7" x14ac:dyDescent="0.2">
      <c r="A13" s="17" t="s">
        <v>215</v>
      </c>
    </row>
  </sheetData>
  <dataValidations count="1">
    <dataValidation type="whole" allowBlank="1" showErrorMessage="1" errorTitle="Invalid show order" error="Show Order must be a whole number from 1 to 8." sqref="D2:D9" xr:uid="{00000000-0002-0000-0200-000000000000}">
      <formula1>1</formula1>
      <formula2>8</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61"/>
  <sheetViews>
    <sheetView workbookViewId="0">
      <pane ySplit="1" topLeftCell="A2" activePane="bottomLeft" state="frozen"/>
      <selection pane="bottomLeft"/>
    </sheetView>
  </sheetViews>
  <sheetFormatPr baseColWidth="10" defaultColWidth="8.83203125" defaultRowHeight="15" x14ac:dyDescent="0.2"/>
  <cols>
    <col min="1" max="1" width="16" customWidth="1"/>
    <col min="2" max="2" width="18" customWidth="1"/>
    <col min="3" max="3" width="22" customWidth="1"/>
    <col min="4" max="4" width="16" customWidth="1"/>
    <col min="5" max="5" width="26" customWidth="1"/>
    <col min="6" max="6" width="10" customWidth="1"/>
    <col min="7" max="7" width="30" customWidth="1"/>
    <col min="8" max="8" width="12" customWidth="1"/>
  </cols>
  <sheetData>
    <row r="1" spans="1:8" x14ac:dyDescent="0.2">
      <c r="A1" s="12" t="s">
        <v>216</v>
      </c>
      <c r="B1" s="12" t="s">
        <v>217</v>
      </c>
      <c r="C1" s="12" t="s">
        <v>144</v>
      </c>
      <c r="D1" s="12" t="s">
        <v>145</v>
      </c>
      <c r="E1" s="12" t="s">
        <v>146</v>
      </c>
      <c r="F1" s="12" t="s">
        <v>218</v>
      </c>
      <c r="G1" s="12" t="s">
        <v>219</v>
      </c>
      <c r="H1" s="12" t="s">
        <v>220</v>
      </c>
    </row>
    <row r="2" spans="1:8" x14ac:dyDescent="0.2">
      <c r="A2" s="13" t="s">
        <v>221</v>
      </c>
      <c r="B2" s="13" t="s">
        <v>222</v>
      </c>
      <c r="C2" s="13" t="s">
        <v>158</v>
      </c>
      <c r="D2" s="13" t="s">
        <v>223</v>
      </c>
      <c r="E2" s="13" t="s">
        <v>224</v>
      </c>
      <c r="F2" s="13" t="s">
        <v>225</v>
      </c>
      <c r="G2" s="13" t="s">
        <v>226</v>
      </c>
      <c r="H2" s="13" t="s">
        <v>227</v>
      </c>
    </row>
    <row r="3" spans="1:8" x14ac:dyDescent="0.2">
      <c r="A3" s="15"/>
      <c r="B3" s="16"/>
      <c r="C3" s="16"/>
      <c r="D3" s="16"/>
      <c r="E3" s="16"/>
      <c r="F3" s="16"/>
      <c r="G3" s="16"/>
      <c r="H3" s="16"/>
    </row>
    <row r="4" spans="1:8" x14ac:dyDescent="0.2">
      <c r="A4" s="16"/>
      <c r="B4" s="16"/>
      <c r="C4" s="16"/>
      <c r="D4" s="16"/>
      <c r="E4" s="16"/>
      <c r="F4" s="16"/>
      <c r="G4" s="16"/>
      <c r="H4" s="16"/>
    </row>
    <row r="5" spans="1:8" x14ac:dyDescent="0.2">
      <c r="A5" s="16"/>
      <c r="B5" s="16"/>
      <c r="C5" s="16"/>
      <c r="D5" s="16"/>
      <c r="E5" s="16"/>
      <c r="F5" s="16"/>
      <c r="G5" s="16"/>
      <c r="H5" s="16"/>
    </row>
    <row r="6" spans="1:8" x14ac:dyDescent="0.2">
      <c r="A6" s="16"/>
      <c r="B6" s="16"/>
      <c r="C6" s="16"/>
      <c r="D6" s="16"/>
      <c r="E6" s="16"/>
      <c r="F6" s="16"/>
      <c r="G6" s="16"/>
      <c r="H6" s="16"/>
    </row>
    <row r="7" spans="1:8" x14ac:dyDescent="0.2">
      <c r="A7" s="16"/>
      <c r="B7" s="16"/>
      <c r="C7" s="16"/>
      <c r="D7" s="16"/>
      <c r="E7" s="16"/>
      <c r="F7" s="16"/>
      <c r="G7" s="16"/>
      <c r="H7" s="16"/>
    </row>
    <row r="8" spans="1:8" x14ac:dyDescent="0.2">
      <c r="A8" s="16"/>
      <c r="B8" s="16"/>
      <c r="C8" s="16"/>
      <c r="D8" s="16"/>
      <c r="E8" s="16"/>
      <c r="F8" s="16"/>
      <c r="G8" s="16"/>
      <c r="H8" s="16"/>
    </row>
    <row r="9" spans="1:8" x14ac:dyDescent="0.2">
      <c r="A9" s="16"/>
      <c r="B9" s="16"/>
      <c r="C9" s="16"/>
      <c r="D9" s="16"/>
      <c r="E9" s="16"/>
      <c r="F9" s="16"/>
      <c r="G9" s="16"/>
      <c r="H9" s="16"/>
    </row>
    <row r="10" spans="1:8" x14ac:dyDescent="0.2">
      <c r="A10" s="16"/>
      <c r="B10" s="16"/>
      <c r="C10" s="16"/>
      <c r="D10" s="16"/>
      <c r="E10" s="16"/>
      <c r="F10" s="16"/>
      <c r="G10" s="16"/>
      <c r="H10" s="16"/>
    </row>
    <row r="11" spans="1:8" x14ac:dyDescent="0.2">
      <c r="A11" s="16"/>
      <c r="B11" s="16"/>
      <c r="C11" s="16"/>
      <c r="D11" s="16"/>
      <c r="E11" s="16"/>
      <c r="F11" s="16"/>
      <c r="G11" s="16"/>
      <c r="H11" s="16"/>
    </row>
    <row r="12" spans="1:8" x14ac:dyDescent="0.2">
      <c r="A12" s="16"/>
      <c r="B12" s="16"/>
      <c r="C12" s="16"/>
      <c r="D12" s="16"/>
      <c r="E12" s="16"/>
      <c r="F12" s="16"/>
      <c r="G12" s="16"/>
      <c r="H12" s="16"/>
    </row>
    <row r="13" spans="1:8" x14ac:dyDescent="0.2">
      <c r="A13" s="16"/>
      <c r="B13" s="16"/>
      <c r="C13" s="16"/>
      <c r="D13" s="16"/>
      <c r="E13" s="16"/>
      <c r="F13" s="16"/>
      <c r="G13" s="16"/>
      <c r="H13" s="16"/>
    </row>
    <row r="14" spans="1:8" x14ac:dyDescent="0.2">
      <c r="A14" s="16"/>
      <c r="B14" s="16"/>
      <c r="C14" s="16"/>
      <c r="D14" s="16"/>
      <c r="E14" s="16"/>
      <c r="F14" s="16"/>
      <c r="G14" s="16"/>
      <c r="H14" s="16"/>
    </row>
    <row r="15" spans="1:8" x14ac:dyDescent="0.2">
      <c r="A15" s="16"/>
      <c r="B15" s="16"/>
      <c r="C15" s="16"/>
      <c r="D15" s="16"/>
      <c r="E15" s="16"/>
      <c r="F15" s="16"/>
      <c r="G15" s="16"/>
      <c r="H15" s="16"/>
    </row>
    <row r="16" spans="1:8" x14ac:dyDescent="0.2">
      <c r="A16" s="16"/>
      <c r="B16" s="16"/>
      <c r="C16" s="16"/>
      <c r="D16" s="16"/>
      <c r="E16" s="16"/>
      <c r="F16" s="16"/>
      <c r="G16" s="16"/>
      <c r="H16" s="16"/>
    </row>
    <row r="17" spans="1:8" x14ac:dyDescent="0.2">
      <c r="A17" s="16"/>
      <c r="B17" s="16"/>
      <c r="C17" s="16"/>
      <c r="D17" s="16"/>
      <c r="E17" s="16"/>
      <c r="F17" s="16"/>
      <c r="G17" s="16"/>
      <c r="H17" s="16"/>
    </row>
    <row r="18" spans="1:8" x14ac:dyDescent="0.2">
      <c r="A18" s="16"/>
      <c r="B18" s="16"/>
      <c r="C18" s="16"/>
      <c r="D18" s="16"/>
      <c r="E18" s="16"/>
      <c r="F18" s="16"/>
      <c r="G18" s="16"/>
      <c r="H18" s="16"/>
    </row>
    <row r="19" spans="1:8" x14ac:dyDescent="0.2">
      <c r="A19" s="16"/>
      <c r="B19" s="16"/>
      <c r="C19" s="16"/>
      <c r="D19" s="16"/>
      <c r="E19" s="16"/>
      <c r="F19" s="16"/>
      <c r="G19" s="16"/>
      <c r="H19" s="16"/>
    </row>
    <row r="20" spans="1:8" x14ac:dyDescent="0.2">
      <c r="A20" s="16"/>
      <c r="B20" s="16"/>
      <c r="C20" s="16"/>
      <c r="D20" s="16"/>
      <c r="E20" s="16"/>
      <c r="F20" s="16"/>
      <c r="G20" s="16"/>
      <c r="H20" s="16"/>
    </row>
    <row r="21" spans="1:8" x14ac:dyDescent="0.2">
      <c r="A21" s="16"/>
      <c r="B21" s="16"/>
      <c r="C21" s="16"/>
      <c r="D21" s="16"/>
      <c r="E21" s="16"/>
      <c r="F21" s="16"/>
      <c r="G21" s="16"/>
      <c r="H21" s="16"/>
    </row>
    <row r="22" spans="1:8" x14ac:dyDescent="0.2">
      <c r="A22" s="16"/>
      <c r="B22" s="16"/>
      <c r="C22" s="16"/>
      <c r="D22" s="16"/>
      <c r="E22" s="16"/>
      <c r="F22" s="16"/>
      <c r="G22" s="16"/>
      <c r="H22" s="16"/>
    </row>
    <row r="23" spans="1:8" x14ac:dyDescent="0.2">
      <c r="A23" s="16"/>
      <c r="B23" s="16"/>
      <c r="C23" s="16"/>
      <c r="D23" s="16"/>
      <c r="E23" s="16"/>
      <c r="F23" s="16"/>
      <c r="G23" s="16"/>
      <c r="H23" s="16"/>
    </row>
    <row r="24" spans="1:8" x14ac:dyDescent="0.2">
      <c r="A24" s="16"/>
      <c r="B24" s="16"/>
      <c r="C24" s="16"/>
      <c r="D24" s="16"/>
      <c r="E24" s="16"/>
      <c r="F24" s="16"/>
      <c r="G24" s="16"/>
      <c r="H24" s="16"/>
    </row>
    <row r="25" spans="1:8" x14ac:dyDescent="0.2">
      <c r="A25" s="16"/>
      <c r="B25" s="16"/>
      <c r="C25" s="16"/>
      <c r="D25" s="16"/>
      <c r="E25" s="16"/>
      <c r="F25" s="16"/>
      <c r="G25" s="16"/>
      <c r="H25" s="16"/>
    </row>
    <row r="26" spans="1:8" x14ac:dyDescent="0.2">
      <c r="A26" s="16"/>
      <c r="B26" s="16"/>
      <c r="C26" s="16"/>
      <c r="D26" s="16"/>
      <c r="E26" s="16"/>
      <c r="F26" s="16"/>
      <c r="G26" s="16"/>
      <c r="H26" s="16"/>
    </row>
    <row r="27" spans="1:8" x14ac:dyDescent="0.2">
      <c r="A27" s="16"/>
      <c r="B27" s="16"/>
      <c r="C27" s="16"/>
      <c r="D27" s="16"/>
      <c r="E27" s="16"/>
      <c r="F27" s="16"/>
      <c r="G27" s="16"/>
      <c r="H27" s="16"/>
    </row>
    <row r="28" spans="1:8" x14ac:dyDescent="0.2">
      <c r="A28" s="16"/>
      <c r="B28" s="16"/>
      <c r="C28" s="16"/>
      <c r="D28" s="16"/>
      <c r="E28" s="16"/>
      <c r="F28" s="16"/>
      <c r="G28" s="16"/>
      <c r="H28" s="16"/>
    </row>
    <row r="29" spans="1:8" x14ac:dyDescent="0.2">
      <c r="A29" s="16"/>
      <c r="B29" s="16"/>
      <c r="C29" s="16"/>
      <c r="D29" s="16"/>
      <c r="E29" s="16"/>
      <c r="F29" s="16"/>
      <c r="G29" s="16"/>
      <c r="H29" s="16"/>
    </row>
    <row r="30" spans="1:8" x14ac:dyDescent="0.2">
      <c r="A30" s="16"/>
      <c r="B30" s="16"/>
      <c r="C30" s="16"/>
      <c r="D30" s="16"/>
      <c r="E30" s="16"/>
      <c r="F30" s="16"/>
      <c r="G30" s="16"/>
      <c r="H30" s="16"/>
    </row>
    <row r="31" spans="1:8" x14ac:dyDescent="0.2">
      <c r="A31" s="16"/>
      <c r="B31" s="16"/>
      <c r="C31" s="16"/>
      <c r="D31" s="16"/>
      <c r="E31" s="16"/>
      <c r="F31" s="16"/>
      <c r="G31" s="16"/>
      <c r="H31" s="16"/>
    </row>
    <row r="32" spans="1:8" x14ac:dyDescent="0.2">
      <c r="A32" s="16"/>
      <c r="B32" s="16"/>
      <c r="C32" s="16"/>
      <c r="D32" s="16"/>
      <c r="E32" s="16"/>
      <c r="F32" s="16"/>
      <c r="G32" s="16"/>
      <c r="H32" s="16"/>
    </row>
    <row r="33" spans="1:8" x14ac:dyDescent="0.2">
      <c r="A33" s="16"/>
      <c r="B33" s="16"/>
      <c r="C33" s="16"/>
      <c r="D33" s="16"/>
      <c r="E33" s="16"/>
      <c r="F33" s="16"/>
      <c r="G33" s="16"/>
      <c r="H33" s="16"/>
    </row>
    <row r="34" spans="1:8" x14ac:dyDescent="0.2">
      <c r="A34" s="16"/>
      <c r="B34" s="16"/>
      <c r="C34" s="16"/>
      <c r="D34" s="16"/>
      <c r="E34" s="16"/>
      <c r="F34" s="16"/>
      <c r="G34" s="16"/>
      <c r="H34" s="16"/>
    </row>
    <row r="35" spans="1:8" x14ac:dyDescent="0.2">
      <c r="A35" s="16"/>
      <c r="B35" s="16"/>
      <c r="C35" s="16"/>
      <c r="D35" s="16"/>
      <c r="E35" s="16"/>
      <c r="F35" s="16"/>
      <c r="G35" s="16"/>
      <c r="H35" s="16"/>
    </row>
    <row r="36" spans="1:8" x14ac:dyDescent="0.2">
      <c r="A36" s="16"/>
      <c r="B36" s="16"/>
      <c r="C36" s="16"/>
      <c r="D36" s="16"/>
      <c r="E36" s="16"/>
      <c r="F36" s="16"/>
      <c r="G36" s="16"/>
      <c r="H36" s="16"/>
    </row>
    <row r="37" spans="1:8" x14ac:dyDescent="0.2">
      <c r="A37" s="16"/>
      <c r="B37" s="16"/>
      <c r="C37" s="16"/>
      <c r="D37" s="16"/>
      <c r="E37" s="16"/>
      <c r="F37" s="16"/>
      <c r="G37" s="16"/>
      <c r="H37" s="16"/>
    </row>
    <row r="38" spans="1:8" x14ac:dyDescent="0.2">
      <c r="A38" s="16"/>
      <c r="B38" s="16"/>
      <c r="C38" s="16"/>
      <c r="D38" s="16"/>
      <c r="E38" s="16"/>
      <c r="F38" s="16"/>
      <c r="G38" s="16"/>
      <c r="H38" s="16"/>
    </row>
    <row r="39" spans="1:8" x14ac:dyDescent="0.2">
      <c r="A39" s="16"/>
      <c r="B39" s="16"/>
      <c r="C39" s="16"/>
      <c r="D39" s="16"/>
      <c r="E39" s="16"/>
      <c r="F39" s="16"/>
      <c r="G39" s="16"/>
      <c r="H39" s="16"/>
    </row>
    <row r="40" spans="1:8" x14ac:dyDescent="0.2">
      <c r="A40" s="16"/>
      <c r="B40" s="16"/>
      <c r="C40" s="16"/>
      <c r="D40" s="16"/>
      <c r="E40" s="16"/>
      <c r="F40" s="16"/>
      <c r="G40" s="16"/>
      <c r="H40" s="16"/>
    </row>
    <row r="41" spans="1:8" x14ac:dyDescent="0.2">
      <c r="A41" s="16"/>
      <c r="B41" s="16"/>
      <c r="C41" s="16"/>
      <c r="D41" s="16"/>
      <c r="E41" s="16"/>
      <c r="F41" s="16"/>
      <c r="G41" s="16"/>
      <c r="H41" s="16"/>
    </row>
    <row r="42" spans="1:8" x14ac:dyDescent="0.2">
      <c r="A42" s="16"/>
      <c r="B42" s="16"/>
      <c r="C42" s="16"/>
      <c r="D42" s="16"/>
      <c r="E42" s="16"/>
      <c r="F42" s="16"/>
      <c r="G42" s="16"/>
      <c r="H42" s="16"/>
    </row>
    <row r="43" spans="1:8" x14ac:dyDescent="0.2">
      <c r="A43" s="16"/>
      <c r="B43" s="16"/>
      <c r="C43" s="16"/>
      <c r="D43" s="16"/>
      <c r="E43" s="16"/>
      <c r="F43" s="16"/>
      <c r="G43" s="16"/>
      <c r="H43" s="16"/>
    </row>
    <row r="44" spans="1:8" x14ac:dyDescent="0.2">
      <c r="A44" s="16"/>
      <c r="B44" s="16"/>
      <c r="C44" s="16"/>
      <c r="D44" s="16"/>
      <c r="E44" s="16"/>
      <c r="F44" s="16"/>
      <c r="G44" s="16"/>
      <c r="H44" s="16"/>
    </row>
    <row r="45" spans="1:8" x14ac:dyDescent="0.2">
      <c r="A45" s="16"/>
      <c r="B45" s="16"/>
      <c r="C45" s="16"/>
      <c r="D45" s="16"/>
      <c r="E45" s="16"/>
      <c r="F45" s="16"/>
      <c r="G45" s="16"/>
      <c r="H45" s="16"/>
    </row>
    <row r="46" spans="1:8" x14ac:dyDescent="0.2">
      <c r="A46" s="16"/>
      <c r="B46" s="16"/>
      <c r="C46" s="16"/>
      <c r="D46" s="16"/>
      <c r="E46" s="16"/>
      <c r="F46" s="16"/>
      <c r="G46" s="16"/>
      <c r="H46" s="16"/>
    </row>
    <row r="47" spans="1:8" x14ac:dyDescent="0.2">
      <c r="A47" s="16"/>
      <c r="B47" s="16"/>
      <c r="C47" s="16"/>
      <c r="D47" s="16"/>
      <c r="E47" s="16"/>
      <c r="F47" s="16"/>
      <c r="G47" s="16"/>
      <c r="H47" s="16"/>
    </row>
    <row r="48" spans="1:8" x14ac:dyDescent="0.2">
      <c r="A48" s="16"/>
      <c r="B48" s="16"/>
      <c r="C48" s="16"/>
      <c r="D48" s="16"/>
      <c r="E48" s="16"/>
      <c r="F48" s="16"/>
      <c r="G48" s="16"/>
      <c r="H48" s="16"/>
    </row>
    <row r="49" spans="1:8" x14ac:dyDescent="0.2">
      <c r="A49" s="16"/>
      <c r="B49" s="16"/>
      <c r="C49" s="16"/>
      <c r="D49" s="16"/>
      <c r="E49" s="16"/>
      <c r="F49" s="16"/>
      <c r="G49" s="16"/>
      <c r="H49" s="16"/>
    </row>
    <row r="50" spans="1:8" x14ac:dyDescent="0.2">
      <c r="A50" s="16"/>
      <c r="B50" s="16"/>
      <c r="C50" s="16"/>
      <c r="D50" s="16"/>
      <c r="E50" s="16"/>
      <c r="F50" s="16"/>
      <c r="G50" s="16"/>
      <c r="H50" s="16"/>
    </row>
    <row r="51" spans="1:8" x14ac:dyDescent="0.2">
      <c r="A51" s="16"/>
      <c r="B51" s="16"/>
      <c r="C51" s="16"/>
      <c r="D51" s="16"/>
      <c r="E51" s="16"/>
      <c r="F51" s="16"/>
      <c r="G51" s="16"/>
      <c r="H51" s="16"/>
    </row>
    <row r="52" spans="1:8" x14ac:dyDescent="0.2">
      <c r="A52" s="16"/>
      <c r="B52" s="16"/>
      <c r="C52" s="16"/>
      <c r="D52" s="16"/>
      <c r="E52" s="16"/>
      <c r="F52" s="16"/>
      <c r="G52" s="16"/>
      <c r="H52" s="16"/>
    </row>
    <row r="53" spans="1:8" x14ac:dyDescent="0.2">
      <c r="A53" s="16"/>
      <c r="B53" s="16"/>
      <c r="C53" s="16"/>
      <c r="D53" s="16"/>
      <c r="E53" s="16"/>
      <c r="F53" s="16"/>
      <c r="G53" s="16"/>
      <c r="H53" s="16"/>
    </row>
    <row r="54" spans="1:8" x14ac:dyDescent="0.2">
      <c r="A54" s="16"/>
      <c r="B54" s="16"/>
      <c r="C54" s="16"/>
      <c r="D54" s="16"/>
      <c r="E54" s="16"/>
      <c r="F54" s="16"/>
      <c r="G54" s="16"/>
      <c r="H54" s="16"/>
    </row>
    <row r="55" spans="1:8" x14ac:dyDescent="0.2">
      <c r="A55" s="16"/>
      <c r="B55" s="16"/>
      <c r="C55" s="16"/>
      <c r="D55" s="16"/>
      <c r="E55" s="16"/>
      <c r="F55" s="16"/>
      <c r="G55" s="16"/>
      <c r="H55" s="16"/>
    </row>
    <row r="56" spans="1:8" x14ac:dyDescent="0.2">
      <c r="A56" s="16"/>
      <c r="B56" s="16"/>
      <c r="C56" s="16"/>
      <c r="D56" s="16"/>
      <c r="E56" s="16"/>
      <c r="F56" s="16"/>
      <c r="G56" s="16"/>
      <c r="H56" s="16"/>
    </row>
    <row r="57" spans="1:8" x14ac:dyDescent="0.2">
      <c r="A57" s="16"/>
      <c r="B57" s="16"/>
      <c r="C57" s="16"/>
      <c r="D57" s="16"/>
      <c r="E57" s="16"/>
      <c r="F57" s="16"/>
      <c r="G57" s="16"/>
      <c r="H57" s="16"/>
    </row>
    <row r="58" spans="1:8" x14ac:dyDescent="0.2">
      <c r="A58" s="16"/>
      <c r="B58" s="16"/>
      <c r="C58" s="16"/>
      <c r="D58" s="16"/>
      <c r="E58" s="16"/>
      <c r="F58" s="16"/>
      <c r="G58" s="16"/>
      <c r="H58" s="16"/>
    </row>
    <row r="59" spans="1:8" x14ac:dyDescent="0.2">
      <c r="A59" s="16"/>
      <c r="B59" s="16"/>
      <c r="C59" s="16"/>
      <c r="D59" s="16"/>
      <c r="E59" s="16"/>
      <c r="F59" s="16"/>
      <c r="G59" s="16"/>
      <c r="H59" s="16"/>
    </row>
    <row r="60" spans="1:8" x14ac:dyDescent="0.2">
      <c r="A60" s="16"/>
      <c r="B60" s="16"/>
      <c r="C60" s="16"/>
      <c r="D60" s="16"/>
      <c r="E60" s="16"/>
      <c r="F60" s="16"/>
      <c r="G60" s="16"/>
      <c r="H60" s="16"/>
    </row>
    <row r="61" spans="1:8" x14ac:dyDescent="0.2">
      <c r="A61" s="16"/>
      <c r="B61" s="16"/>
      <c r="C61" s="16"/>
      <c r="D61" s="16"/>
      <c r="E61" s="16"/>
      <c r="F61" s="16"/>
      <c r="G61" s="16"/>
      <c r="H61" s="16"/>
    </row>
    <row r="62" spans="1:8" x14ac:dyDescent="0.2">
      <c r="A62" s="16"/>
      <c r="B62" s="16"/>
      <c r="C62" s="16"/>
      <c r="D62" s="16"/>
      <c r="E62" s="16"/>
      <c r="F62" s="16"/>
      <c r="G62" s="16"/>
      <c r="H62" s="16"/>
    </row>
    <row r="63" spans="1:8" x14ac:dyDescent="0.2">
      <c r="A63" s="16"/>
      <c r="B63" s="16"/>
      <c r="C63" s="16"/>
      <c r="D63" s="16"/>
      <c r="E63" s="16"/>
      <c r="F63" s="16"/>
      <c r="G63" s="16"/>
      <c r="H63" s="16"/>
    </row>
    <row r="64" spans="1:8" x14ac:dyDescent="0.2">
      <c r="A64" s="16"/>
      <c r="B64" s="16"/>
      <c r="C64" s="16"/>
      <c r="D64" s="16"/>
      <c r="E64" s="16"/>
      <c r="F64" s="16"/>
      <c r="G64" s="16"/>
      <c r="H64" s="16"/>
    </row>
    <row r="65" spans="1:8" x14ac:dyDescent="0.2">
      <c r="A65" s="16"/>
      <c r="B65" s="16"/>
      <c r="C65" s="16"/>
      <c r="D65" s="16"/>
      <c r="E65" s="16"/>
      <c r="F65" s="16"/>
      <c r="G65" s="16"/>
      <c r="H65" s="16"/>
    </row>
    <row r="66" spans="1:8" x14ac:dyDescent="0.2">
      <c r="A66" s="16"/>
      <c r="B66" s="16"/>
      <c r="C66" s="16"/>
      <c r="D66" s="16"/>
      <c r="E66" s="16"/>
      <c r="F66" s="16"/>
      <c r="G66" s="16"/>
      <c r="H66" s="16"/>
    </row>
    <row r="67" spans="1:8" x14ac:dyDescent="0.2">
      <c r="A67" s="16"/>
      <c r="B67" s="16"/>
      <c r="C67" s="16"/>
      <c r="D67" s="16"/>
      <c r="E67" s="16"/>
      <c r="F67" s="16"/>
      <c r="G67" s="16"/>
      <c r="H67" s="16"/>
    </row>
    <row r="68" spans="1:8" x14ac:dyDescent="0.2">
      <c r="A68" s="16"/>
      <c r="B68" s="16"/>
      <c r="C68" s="16"/>
      <c r="D68" s="16"/>
      <c r="E68" s="16"/>
      <c r="F68" s="16"/>
      <c r="G68" s="16"/>
      <c r="H68" s="16"/>
    </row>
    <row r="69" spans="1:8" x14ac:dyDescent="0.2">
      <c r="A69" s="16"/>
      <c r="B69" s="16"/>
      <c r="C69" s="16"/>
      <c r="D69" s="16"/>
      <c r="E69" s="16"/>
      <c r="F69" s="16"/>
      <c r="G69" s="16"/>
      <c r="H69" s="16"/>
    </row>
    <row r="70" spans="1:8" x14ac:dyDescent="0.2">
      <c r="A70" s="16"/>
      <c r="B70" s="16"/>
      <c r="C70" s="16"/>
      <c r="D70" s="16"/>
      <c r="E70" s="16"/>
      <c r="F70" s="16"/>
      <c r="G70" s="16"/>
      <c r="H70" s="16"/>
    </row>
    <row r="71" spans="1:8" x14ac:dyDescent="0.2">
      <c r="A71" s="16"/>
      <c r="B71" s="16"/>
      <c r="C71" s="16"/>
      <c r="D71" s="16"/>
      <c r="E71" s="16"/>
      <c r="F71" s="16"/>
      <c r="G71" s="16"/>
      <c r="H71" s="16"/>
    </row>
    <row r="72" spans="1:8" x14ac:dyDescent="0.2">
      <c r="A72" s="16"/>
      <c r="B72" s="16"/>
      <c r="C72" s="16"/>
      <c r="D72" s="16"/>
      <c r="E72" s="16"/>
      <c r="F72" s="16"/>
      <c r="G72" s="16"/>
      <c r="H72" s="16"/>
    </row>
    <row r="73" spans="1:8" x14ac:dyDescent="0.2">
      <c r="A73" s="16"/>
      <c r="B73" s="16"/>
      <c r="C73" s="16"/>
      <c r="D73" s="16"/>
      <c r="E73" s="16"/>
      <c r="F73" s="16"/>
      <c r="G73" s="16"/>
      <c r="H73" s="16"/>
    </row>
    <row r="74" spans="1:8" x14ac:dyDescent="0.2">
      <c r="A74" s="16"/>
      <c r="B74" s="16"/>
      <c r="C74" s="16"/>
      <c r="D74" s="16"/>
      <c r="E74" s="16"/>
      <c r="F74" s="16"/>
      <c r="G74" s="16"/>
      <c r="H74" s="16"/>
    </row>
    <row r="75" spans="1:8" x14ac:dyDescent="0.2">
      <c r="A75" s="16"/>
      <c r="B75" s="16"/>
      <c r="C75" s="16"/>
      <c r="D75" s="16"/>
      <c r="E75" s="16"/>
      <c r="F75" s="16"/>
      <c r="G75" s="16"/>
      <c r="H75" s="16"/>
    </row>
    <row r="76" spans="1:8" x14ac:dyDescent="0.2">
      <c r="A76" s="16"/>
      <c r="B76" s="16"/>
      <c r="C76" s="16"/>
      <c r="D76" s="16"/>
      <c r="E76" s="16"/>
      <c r="F76" s="16"/>
      <c r="G76" s="16"/>
      <c r="H76" s="16"/>
    </row>
    <row r="77" spans="1:8" x14ac:dyDescent="0.2">
      <c r="A77" s="16"/>
      <c r="B77" s="16"/>
      <c r="C77" s="16"/>
      <c r="D77" s="16"/>
      <c r="E77" s="16"/>
      <c r="F77" s="16"/>
      <c r="G77" s="16"/>
      <c r="H77" s="16"/>
    </row>
    <row r="78" spans="1:8" x14ac:dyDescent="0.2">
      <c r="A78" s="16"/>
      <c r="B78" s="16"/>
      <c r="C78" s="16"/>
      <c r="D78" s="16"/>
      <c r="E78" s="16"/>
      <c r="F78" s="16"/>
      <c r="G78" s="16"/>
      <c r="H78" s="16"/>
    </row>
    <row r="79" spans="1:8" x14ac:dyDescent="0.2">
      <c r="A79" s="16"/>
      <c r="B79" s="16"/>
      <c r="C79" s="16"/>
      <c r="D79" s="16"/>
      <c r="E79" s="16"/>
      <c r="F79" s="16"/>
      <c r="G79" s="16"/>
      <c r="H79" s="16"/>
    </row>
    <row r="80" spans="1:8" x14ac:dyDescent="0.2">
      <c r="A80" s="16"/>
      <c r="B80" s="16"/>
      <c r="C80" s="16"/>
      <c r="D80" s="16"/>
      <c r="E80" s="16"/>
      <c r="F80" s="16"/>
      <c r="G80" s="16"/>
      <c r="H80" s="16"/>
    </row>
    <row r="81" spans="1:8" x14ac:dyDescent="0.2">
      <c r="A81" s="16"/>
      <c r="B81" s="16"/>
      <c r="C81" s="16"/>
      <c r="D81" s="16"/>
      <c r="E81" s="16"/>
      <c r="F81" s="16"/>
      <c r="G81" s="16"/>
      <c r="H81" s="16"/>
    </row>
    <row r="82" spans="1:8" x14ac:dyDescent="0.2">
      <c r="A82" s="16"/>
      <c r="B82" s="16"/>
      <c r="C82" s="16"/>
      <c r="D82" s="16"/>
      <c r="E82" s="16"/>
      <c r="F82" s="16"/>
      <c r="G82" s="16"/>
      <c r="H82" s="16"/>
    </row>
    <row r="83" spans="1:8" x14ac:dyDescent="0.2">
      <c r="A83" s="16"/>
      <c r="B83" s="16"/>
      <c r="C83" s="16"/>
      <c r="D83" s="16"/>
      <c r="E83" s="16"/>
      <c r="F83" s="16"/>
      <c r="G83" s="16"/>
      <c r="H83" s="16"/>
    </row>
    <row r="84" spans="1:8" x14ac:dyDescent="0.2">
      <c r="A84" s="16"/>
      <c r="B84" s="16"/>
      <c r="C84" s="16"/>
      <c r="D84" s="16"/>
      <c r="E84" s="16"/>
      <c r="F84" s="16"/>
      <c r="G84" s="16"/>
      <c r="H84" s="16"/>
    </row>
    <row r="85" spans="1:8" x14ac:dyDescent="0.2">
      <c r="A85" s="16"/>
      <c r="B85" s="16"/>
      <c r="C85" s="16"/>
      <c r="D85" s="16"/>
      <c r="E85" s="16"/>
      <c r="F85" s="16"/>
      <c r="G85" s="16"/>
      <c r="H85" s="16"/>
    </row>
    <row r="86" spans="1:8" x14ac:dyDescent="0.2">
      <c r="A86" s="16"/>
      <c r="B86" s="16"/>
      <c r="C86" s="16"/>
      <c r="D86" s="16"/>
      <c r="E86" s="16"/>
      <c r="F86" s="16"/>
      <c r="G86" s="16"/>
      <c r="H86" s="16"/>
    </row>
    <row r="87" spans="1:8" x14ac:dyDescent="0.2">
      <c r="A87" s="16"/>
      <c r="B87" s="16"/>
      <c r="C87" s="16"/>
      <c r="D87" s="16"/>
      <c r="E87" s="16"/>
      <c r="F87" s="16"/>
      <c r="G87" s="16"/>
      <c r="H87" s="16"/>
    </row>
    <row r="88" spans="1:8" x14ac:dyDescent="0.2">
      <c r="A88" s="16"/>
      <c r="B88" s="16"/>
      <c r="C88" s="16"/>
      <c r="D88" s="16"/>
      <c r="E88" s="16"/>
      <c r="F88" s="16"/>
      <c r="G88" s="16"/>
      <c r="H88" s="16"/>
    </row>
    <row r="89" spans="1:8" x14ac:dyDescent="0.2">
      <c r="A89" s="16"/>
      <c r="B89" s="16"/>
      <c r="C89" s="16"/>
      <c r="D89" s="16"/>
      <c r="E89" s="16"/>
      <c r="F89" s="16"/>
      <c r="G89" s="16"/>
      <c r="H89" s="16"/>
    </row>
    <row r="90" spans="1:8" x14ac:dyDescent="0.2">
      <c r="A90" s="16"/>
      <c r="B90" s="16"/>
      <c r="C90" s="16"/>
      <c r="D90" s="16"/>
      <c r="E90" s="16"/>
      <c r="F90" s="16"/>
      <c r="G90" s="16"/>
      <c r="H90" s="16"/>
    </row>
    <row r="91" spans="1:8" x14ac:dyDescent="0.2">
      <c r="A91" s="16"/>
      <c r="B91" s="16"/>
      <c r="C91" s="16"/>
      <c r="D91" s="16"/>
      <c r="E91" s="16"/>
      <c r="F91" s="16"/>
      <c r="G91" s="16"/>
      <c r="H91" s="16"/>
    </row>
    <row r="92" spans="1:8" x14ac:dyDescent="0.2">
      <c r="A92" s="16"/>
      <c r="B92" s="16"/>
      <c r="C92" s="16"/>
      <c r="D92" s="16"/>
      <c r="E92" s="16"/>
      <c r="F92" s="16"/>
      <c r="G92" s="16"/>
      <c r="H92" s="16"/>
    </row>
    <row r="93" spans="1:8" x14ac:dyDescent="0.2">
      <c r="A93" s="16"/>
      <c r="B93" s="16"/>
      <c r="C93" s="16"/>
      <c r="D93" s="16"/>
      <c r="E93" s="16"/>
      <c r="F93" s="16"/>
      <c r="G93" s="16"/>
      <c r="H93" s="16"/>
    </row>
    <row r="94" spans="1:8" x14ac:dyDescent="0.2">
      <c r="A94" s="16"/>
      <c r="B94" s="16"/>
      <c r="C94" s="16"/>
      <c r="D94" s="16"/>
      <c r="E94" s="16"/>
      <c r="F94" s="16"/>
      <c r="G94" s="16"/>
      <c r="H94" s="16"/>
    </row>
    <row r="95" spans="1:8" x14ac:dyDescent="0.2">
      <c r="A95" s="16"/>
      <c r="B95" s="16"/>
      <c r="C95" s="16"/>
      <c r="D95" s="16"/>
      <c r="E95" s="16"/>
      <c r="F95" s="16"/>
      <c r="G95" s="16"/>
      <c r="H95" s="16"/>
    </row>
    <row r="96" spans="1:8" x14ac:dyDescent="0.2">
      <c r="A96" s="16"/>
      <c r="B96" s="16"/>
      <c r="C96" s="16"/>
      <c r="D96" s="16"/>
      <c r="E96" s="16"/>
      <c r="F96" s="16"/>
      <c r="G96" s="16"/>
      <c r="H96" s="16"/>
    </row>
    <row r="97" spans="1:8" x14ac:dyDescent="0.2">
      <c r="A97" s="16"/>
      <c r="B97" s="16"/>
      <c r="C97" s="16"/>
      <c r="D97" s="16"/>
      <c r="E97" s="16"/>
      <c r="F97" s="16"/>
      <c r="G97" s="16"/>
      <c r="H97" s="16"/>
    </row>
    <row r="98" spans="1:8" x14ac:dyDescent="0.2">
      <c r="A98" s="16"/>
      <c r="B98" s="16"/>
      <c r="C98" s="16"/>
      <c r="D98" s="16"/>
      <c r="E98" s="16"/>
      <c r="F98" s="16"/>
      <c r="G98" s="16"/>
      <c r="H98" s="16"/>
    </row>
    <row r="99" spans="1:8" x14ac:dyDescent="0.2">
      <c r="A99" s="16"/>
      <c r="B99" s="16"/>
      <c r="C99" s="16"/>
      <c r="D99" s="16"/>
      <c r="E99" s="16"/>
      <c r="F99" s="16"/>
      <c r="G99" s="16"/>
      <c r="H99" s="16"/>
    </row>
    <row r="100" spans="1:8" x14ac:dyDescent="0.2">
      <c r="A100" s="16"/>
      <c r="B100" s="16"/>
      <c r="C100" s="16"/>
      <c r="D100" s="16"/>
      <c r="E100" s="16"/>
      <c r="F100" s="16"/>
      <c r="G100" s="16"/>
      <c r="H100" s="16"/>
    </row>
    <row r="101" spans="1:8" x14ac:dyDescent="0.2">
      <c r="A101" s="16"/>
      <c r="B101" s="16"/>
      <c r="C101" s="16"/>
      <c r="D101" s="16"/>
      <c r="E101" s="16"/>
      <c r="F101" s="16"/>
      <c r="G101" s="16"/>
      <c r="H101" s="16"/>
    </row>
    <row r="102" spans="1:8" x14ac:dyDescent="0.2">
      <c r="A102" s="16"/>
      <c r="B102" s="16"/>
      <c r="C102" s="16"/>
      <c r="D102" s="16"/>
      <c r="E102" s="16"/>
      <c r="F102" s="16"/>
      <c r="G102" s="16"/>
      <c r="H102" s="16"/>
    </row>
    <row r="103" spans="1:8" x14ac:dyDescent="0.2">
      <c r="A103" s="16"/>
      <c r="B103" s="16"/>
      <c r="C103" s="16"/>
      <c r="D103" s="16"/>
      <c r="E103" s="16"/>
      <c r="F103" s="16"/>
      <c r="G103" s="16"/>
      <c r="H103" s="16"/>
    </row>
    <row r="104" spans="1:8" x14ac:dyDescent="0.2">
      <c r="A104" s="16"/>
      <c r="B104" s="16"/>
      <c r="C104" s="16"/>
      <c r="D104" s="16"/>
      <c r="E104" s="16"/>
      <c r="F104" s="16"/>
      <c r="G104" s="16"/>
      <c r="H104" s="16"/>
    </row>
    <row r="105" spans="1:8" x14ac:dyDescent="0.2">
      <c r="A105" s="16"/>
      <c r="B105" s="16"/>
      <c r="C105" s="16"/>
      <c r="D105" s="16"/>
      <c r="E105" s="16"/>
      <c r="F105" s="16"/>
      <c r="G105" s="16"/>
      <c r="H105" s="16"/>
    </row>
    <row r="106" spans="1:8" x14ac:dyDescent="0.2">
      <c r="A106" s="16"/>
      <c r="B106" s="16"/>
      <c r="C106" s="16"/>
      <c r="D106" s="16"/>
      <c r="E106" s="16"/>
      <c r="F106" s="16"/>
      <c r="G106" s="16"/>
      <c r="H106" s="16"/>
    </row>
    <row r="107" spans="1:8" x14ac:dyDescent="0.2">
      <c r="A107" s="16"/>
      <c r="B107" s="16"/>
      <c r="C107" s="16"/>
      <c r="D107" s="16"/>
      <c r="E107" s="16"/>
      <c r="F107" s="16"/>
      <c r="G107" s="16"/>
      <c r="H107" s="16"/>
    </row>
    <row r="108" spans="1:8" x14ac:dyDescent="0.2">
      <c r="A108" s="16"/>
      <c r="B108" s="16"/>
      <c r="C108" s="16"/>
      <c r="D108" s="16"/>
      <c r="E108" s="16"/>
      <c r="F108" s="16"/>
      <c r="G108" s="16"/>
      <c r="H108" s="16"/>
    </row>
    <row r="109" spans="1:8" x14ac:dyDescent="0.2">
      <c r="A109" s="16"/>
      <c r="B109" s="16"/>
      <c r="C109" s="16"/>
      <c r="D109" s="16"/>
      <c r="E109" s="16"/>
      <c r="F109" s="16"/>
      <c r="G109" s="16"/>
      <c r="H109" s="16"/>
    </row>
    <row r="110" spans="1:8" x14ac:dyDescent="0.2">
      <c r="A110" s="16"/>
      <c r="B110" s="16"/>
      <c r="C110" s="16"/>
      <c r="D110" s="16"/>
      <c r="E110" s="16"/>
      <c r="F110" s="16"/>
      <c r="G110" s="16"/>
      <c r="H110" s="16"/>
    </row>
    <row r="111" spans="1:8" x14ac:dyDescent="0.2">
      <c r="A111" s="16"/>
      <c r="B111" s="16"/>
      <c r="C111" s="16"/>
      <c r="D111" s="16"/>
      <c r="E111" s="16"/>
      <c r="F111" s="16"/>
      <c r="G111" s="16"/>
      <c r="H111" s="16"/>
    </row>
    <row r="112" spans="1:8" x14ac:dyDescent="0.2">
      <c r="A112" s="16"/>
      <c r="B112" s="16"/>
      <c r="C112" s="16"/>
      <c r="D112" s="16"/>
      <c r="E112" s="16"/>
      <c r="F112" s="16"/>
      <c r="G112" s="16"/>
      <c r="H112" s="16"/>
    </row>
    <row r="113" spans="1:8" x14ac:dyDescent="0.2">
      <c r="A113" s="16"/>
      <c r="B113" s="16"/>
      <c r="C113" s="16"/>
      <c r="D113" s="16"/>
      <c r="E113" s="16"/>
      <c r="F113" s="16"/>
      <c r="G113" s="16"/>
      <c r="H113" s="16"/>
    </row>
    <row r="114" spans="1:8" x14ac:dyDescent="0.2">
      <c r="A114" s="16"/>
      <c r="B114" s="16"/>
      <c r="C114" s="16"/>
      <c r="D114" s="16"/>
      <c r="E114" s="16"/>
      <c r="F114" s="16"/>
      <c r="G114" s="16"/>
      <c r="H114" s="16"/>
    </row>
    <row r="115" spans="1:8" x14ac:dyDescent="0.2">
      <c r="A115" s="16"/>
      <c r="B115" s="16"/>
      <c r="C115" s="16"/>
      <c r="D115" s="16"/>
      <c r="E115" s="16"/>
      <c r="F115" s="16"/>
      <c r="G115" s="16"/>
      <c r="H115" s="16"/>
    </row>
    <row r="116" spans="1:8" x14ac:dyDescent="0.2">
      <c r="A116" s="16"/>
      <c r="B116" s="16"/>
      <c r="C116" s="16"/>
      <c r="D116" s="16"/>
      <c r="E116" s="16"/>
      <c r="F116" s="16"/>
      <c r="G116" s="16"/>
      <c r="H116" s="16"/>
    </row>
    <row r="117" spans="1:8" x14ac:dyDescent="0.2">
      <c r="A117" s="16"/>
      <c r="B117" s="16"/>
      <c r="C117" s="16"/>
      <c r="D117" s="16"/>
      <c r="E117" s="16"/>
      <c r="F117" s="16"/>
      <c r="G117" s="16"/>
      <c r="H117" s="16"/>
    </row>
    <row r="118" spans="1:8" x14ac:dyDescent="0.2">
      <c r="A118" s="16"/>
      <c r="B118" s="16"/>
      <c r="C118" s="16"/>
      <c r="D118" s="16"/>
      <c r="E118" s="16"/>
      <c r="F118" s="16"/>
      <c r="G118" s="16"/>
      <c r="H118" s="16"/>
    </row>
    <row r="119" spans="1:8" x14ac:dyDescent="0.2">
      <c r="A119" s="16"/>
      <c r="B119" s="16"/>
      <c r="C119" s="16"/>
      <c r="D119" s="16"/>
      <c r="E119" s="16"/>
      <c r="F119" s="16"/>
      <c r="G119" s="16"/>
      <c r="H119" s="16"/>
    </row>
    <row r="120" spans="1:8" x14ac:dyDescent="0.2">
      <c r="A120" s="16"/>
      <c r="B120" s="16"/>
      <c r="C120" s="16"/>
      <c r="D120" s="16"/>
      <c r="E120" s="16"/>
      <c r="F120" s="16"/>
      <c r="G120" s="16"/>
      <c r="H120" s="16"/>
    </row>
    <row r="121" spans="1:8" x14ac:dyDescent="0.2">
      <c r="A121" s="16"/>
      <c r="B121" s="16"/>
      <c r="C121" s="16"/>
      <c r="D121" s="16"/>
      <c r="E121" s="16"/>
      <c r="F121" s="16"/>
      <c r="G121" s="16"/>
      <c r="H121" s="16"/>
    </row>
    <row r="122" spans="1:8" x14ac:dyDescent="0.2">
      <c r="A122" s="16"/>
      <c r="B122" s="16"/>
      <c r="C122" s="16"/>
      <c r="D122" s="16"/>
      <c r="E122" s="16"/>
      <c r="F122" s="16"/>
      <c r="G122" s="16"/>
      <c r="H122" s="16"/>
    </row>
    <row r="123" spans="1:8" x14ac:dyDescent="0.2">
      <c r="A123" s="16"/>
      <c r="B123" s="16"/>
      <c r="C123" s="16"/>
      <c r="D123" s="16"/>
      <c r="E123" s="16"/>
      <c r="F123" s="16"/>
      <c r="G123" s="16"/>
      <c r="H123" s="16"/>
    </row>
    <row r="124" spans="1:8" x14ac:dyDescent="0.2">
      <c r="A124" s="16"/>
      <c r="B124" s="16"/>
      <c r="C124" s="16"/>
      <c r="D124" s="16"/>
      <c r="E124" s="16"/>
      <c r="F124" s="16"/>
      <c r="G124" s="16"/>
      <c r="H124" s="16"/>
    </row>
    <row r="125" spans="1:8" x14ac:dyDescent="0.2">
      <c r="A125" s="16"/>
      <c r="B125" s="16"/>
      <c r="C125" s="16"/>
      <c r="D125" s="16"/>
      <c r="E125" s="16"/>
      <c r="F125" s="16"/>
      <c r="G125" s="16"/>
      <c r="H125" s="16"/>
    </row>
    <row r="126" spans="1:8" x14ac:dyDescent="0.2">
      <c r="A126" s="16"/>
      <c r="B126" s="16"/>
      <c r="C126" s="16"/>
      <c r="D126" s="16"/>
      <c r="E126" s="16"/>
      <c r="F126" s="16"/>
      <c r="G126" s="16"/>
      <c r="H126" s="16"/>
    </row>
    <row r="127" spans="1:8" x14ac:dyDescent="0.2">
      <c r="A127" s="16"/>
      <c r="B127" s="16"/>
      <c r="C127" s="16"/>
      <c r="D127" s="16"/>
      <c r="E127" s="16"/>
      <c r="F127" s="16"/>
      <c r="G127" s="16"/>
      <c r="H127" s="16"/>
    </row>
    <row r="128" spans="1:8" x14ac:dyDescent="0.2">
      <c r="A128" s="16"/>
      <c r="B128" s="16"/>
      <c r="C128" s="16"/>
      <c r="D128" s="16"/>
      <c r="E128" s="16"/>
      <c r="F128" s="16"/>
      <c r="G128" s="16"/>
      <c r="H128" s="16"/>
    </row>
    <row r="129" spans="1:8" x14ac:dyDescent="0.2">
      <c r="A129" s="16"/>
      <c r="B129" s="16"/>
      <c r="C129" s="16"/>
      <c r="D129" s="16"/>
      <c r="E129" s="16"/>
      <c r="F129" s="16"/>
      <c r="G129" s="16"/>
      <c r="H129" s="16"/>
    </row>
    <row r="130" spans="1:8" x14ac:dyDescent="0.2">
      <c r="A130" s="16"/>
      <c r="B130" s="16"/>
      <c r="C130" s="16"/>
      <c r="D130" s="16"/>
      <c r="E130" s="16"/>
      <c r="F130" s="16"/>
      <c r="G130" s="16"/>
      <c r="H130" s="16"/>
    </row>
    <row r="131" spans="1:8" x14ac:dyDescent="0.2">
      <c r="A131" s="16"/>
      <c r="B131" s="16"/>
      <c r="C131" s="16"/>
      <c r="D131" s="16"/>
      <c r="E131" s="16"/>
      <c r="F131" s="16"/>
      <c r="G131" s="16"/>
      <c r="H131" s="16"/>
    </row>
    <row r="132" spans="1:8" x14ac:dyDescent="0.2">
      <c r="A132" s="16"/>
      <c r="B132" s="16"/>
      <c r="C132" s="16"/>
      <c r="D132" s="16"/>
      <c r="E132" s="16"/>
      <c r="F132" s="16"/>
      <c r="G132" s="16"/>
      <c r="H132" s="16"/>
    </row>
    <row r="133" spans="1:8" x14ac:dyDescent="0.2">
      <c r="A133" s="16"/>
      <c r="B133" s="16"/>
      <c r="C133" s="16"/>
      <c r="D133" s="16"/>
      <c r="E133" s="16"/>
      <c r="F133" s="16"/>
      <c r="G133" s="16"/>
      <c r="H133" s="16"/>
    </row>
    <row r="134" spans="1:8" x14ac:dyDescent="0.2">
      <c r="A134" s="16"/>
      <c r="B134" s="16"/>
      <c r="C134" s="16"/>
      <c r="D134" s="16"/>
      <c r="E134" s="16"/>
      <c r="F134" s="16"/>
      <c r="G134" s="16"/>
      <c r="H134" s="16"/>
    </row>
    <row r="135" spans="1:8" x14ac:dyDescent="0.2">
      <c r="A135" s="16"/>
      <c r="B135" s="16"/>
      <c r="C135" s="16"/>
      <c r="D135" s="16"/>
      <c r="E135" s="16"/>
      <c r="F135" s="16"/>
      <c r="G135" s="16"/>
      <c r="H135" s="16"/>
    </row>
    <row r="136" spans="1:8" x14ac:dyDescent="0.2">
      <c r="A136" s="16"/>
      <c r="B136" s="16"/>
      <c r="C136" s="16"/>
      <c r="D136" s="16"/>
      <c r="E136" s="16"/>
      <c r="F136" s="16"/>
      <c r="G136" s="16"/>
      <c r="H136" s="16"/>
    </row>
    <row r="137" spans="1:8" x14ac:dyDescent="0.2">
      <c r="A137" s="16"/>
      <c r="B137" s="16"/>
      <c r="C137" s="16"/>
      <c r="D137" s="16"/>
      <c r="E137" s="16"/>
      <c r="F137" s="16"/>
      <c r="G137" s="16"/>
      <c r="H137" s="16"/>
    </row>
    <row r="138" spans="1:8" x14ac:dyDescent="0.2">
      <c r="A138" s="16"/>
      <c r="B138" s="16"/>
      <c r="C138" s="16"/>
      <c r="D138" s="16"/>
      <c r="E138" s="16"/>
      <c r="F138" s="16"/>
      <c r="G138" s="16"/>
      <c r="H138" s="16"/>
    </row>
    <row r="139" spans="1:8" x14ac:dyDescent="0.2">
      <c r="A139" s="16"/>
      <c r="B139" s="16"/>
      <c r="C139" s="16"/>
      <c r="D139" s="16"/>
      <c r="E139" s="16"/>
      <c r="F139" s="16"/>
      <c r="G139" s="16"/>
      <c r="H139" s="16"/>
    </row>
    <row r="140" spans="1:8" x14ac:dyDescent="0.2">
      <c r="A140" s="16"/>
      <c r="B140" s="16"/>
      <c r="C140" s="16"/>
      <c r="D140" s="16"/>
      <c r="E140" s="16"/>
      <c r="F140" s="16"/>
      <c r="G140" s="16"/>
      <c r="H140" s="16"/>
    </row>
    <row r="141" spans="1:8" x14ac:dyDescent="0.2">
      <c r="A141" s="16"/>
      <c r="B141" s="16"/>
      <c r="C141" s="16"/>
      <c r="D141" s="16"/>
      <c r="E141" s="16"/>
      <c r="F141" s="16"/>
      <c r="G141" s="16"/>
      <c r="H141" s="16"/>
    </row>
    <row r="142" spans="1:8" x14ac:dyDescent="0.2">
      <c r="A142" s="16"/>
      <c r="B142" s="16"/>
      <c r="C142" s="16"/>
      <c r="D142" s="16"/>
      <c r="E142" s="16"/>
      <c r="F142" s="16"/>
      <c r="G142" s="16"/>
      <c r="H142" s="16"/>
    </row>
    <row r="143" spans="1:8" x14ac:dyDescent="0.2">
      <c r="A143" s="16"/>
      <c r="B143" s="16"/>
      <c r="C143" s="16"/>
      <c r="D143" s="16"/>
      <c r="E143" s="16"/>
      <c r="F143" s="16"/>
      <c r="G143" s="16"/>
      <c r="H143" s="16"/>
    </row>
    <row r="144" spans="1:8" x14ac:dyDescent="0.2">
      <c r="A144" s="16"/>
      <c r="B144" s="16"/>
      <c r="C144" s="16"/>
      <c r="D144" s="16"/>
      <c r="E144" s="16"/>
      <c r="F144" s="16"/>
      <c r="G144" s="16"/>
      <c r="H144" s="16"/>
    </row>
    <row r="145" spans="1:8" x14ac:dyDescent="0.2">
      <c r="A145" s="16"/>
      <c r="B145" s="16"/>
      <c r="C145" s="16"/>
      <c r="D145" s="16"/>
      <c r="E145" s="16"/>
      <c r="F145" s="16"/>
      <c r="G145" s="16"/>
      <c r="H145" s="16"/>
    </row>
    <row r="146" spans="1:8" x14ac:dyDescent="0.2">
      <c r="A146" s="16"/>
      <c r="B146" s="16"/>
      <c r="C146" s="16"/>
      <c r="D146" s="16"/>
      <c r="E146" s="16"/>
      <c r="F146" s="16"/>
      <c r="G146" s="16"/>
      <c r="H146" s="16"/>
    </row>
    <row r="147" spans="1:8" x14ac:dyDescent="0.2">
      <c r="A147" s="16"/>
      <c r="B147" s="16"/>
      <c r="C147" s="16"/>
      <c r="D147" s="16"/>
      <c r="E147" s="16"/>
      <c r="F147" s="16"/>
      <c r="G147" s="16"/>
      <c r="H147" s="16"/>
    </row>
    <row r="148" spans="1:8" x14ac:dyDescent="0.2">
      <c r="A148" s="16"/>
      <c r="B148" s="16"/>
      <c r="C148" s="16"/>
      <c r="D148" s="16"/>
      <c r="E148" s="16"/>
      <c r="F148" s="16"/>
      <c r="G148" s="16"/>
      <c r="H148" s="16"/>
    </row>
    <row r="149" spans="1:8" x14ac:dyDescent="0.2">
      <c r="A149" s="16"/>
      <c r="B149" s="16"/>
      <c r="C149" s="16"/>
      <c r="D149" s="16"/>
      <c r="E149" s="16"/>
      <c r="F149" s="16"/>
      <c r="G149" s="16"/>
      <c r="H149" s="16"/>
    </row>
    <row r="150" spans="1:8" x14ac:dyDescent="0.2">
      <c r="A150" s="16"/>
      <c r="B150" s="16"/>
      <c r="C150" s="16"/>
      <c r="D150" s="16"/>
      <c r="E150" s="16"/>
      <c r="F150" s="16"/>
      <c r="G150" s="16"/>
      <c r="H150" s="16"/>
    </row>
    <row r="151" spans="1:8" x14ac:dyDescent="0.2">
      <c r="A151" s="16"/>
      <c r="B151" s="16"/>
      <c r="C151" s="16"/>
      <c r="D151" s="16"/>
      <c r="E151" s="16"/>
      <c r="F151" s="16"/>
      <c r="G151" s="16"/>
      <c r="H151" s="16"/>
    </row>
    <row r="152" spans="1:8" x14ac:dyDescent="0.2">
      <c r="A152" s="16"/>
      <c r="B152" s="16"/>
      <c r="C152" s="16"/>
      <c r="D152" s="16"/>
      <c r="E152" s="16"/>
      <c r="F152" s="16"/>
      <c r="G152" s="16"/>
      <c r="H152" s="16"/>
    </row>
    <row r="153" spans="1:8" x14ac:dyDescent="0.2">
      <c r="A153" s="16"/>
      <c r="B153" s="16"/>
      <c r="C153" s="16"/>
      <c r="D153" s="16"/>
      <c r="E153" s="16"/>
      <c r="F153" s="16"/>
      <c r="G153" s="16"/>
      <c r="H153" s="16"/>
    </row>
    <row r="154" spans="1:8" x14ac:dyDescent="0.2">
      <c r="A154" s="16"/>
      <c r="B154" s="16"/>
      <c r="C154" s="16"/>
      <c r="D154" s="16"/>
      <c r="E154" s="16"/>
      <c r="F154" s="16"/>
      <c r="G154" s="16"/>
      <c r="H154" s="16"/>
    </row>
    <row r="155" spans="1:8" x14ac:dyDescent="0.2">
      <c r="A155" s="16"/>
      <c r="B155" s="16"/>
      <c r="C155" s="16"/>
      <c r="D155" s="16"/>
      <c r="E155" s="16"/>
      <c r="F155" s="16"/>
      <c r="G155" s="16"/>
      <c r="H155" s="16"/>
    </row>
    <row r="156" spans="1:8" x14ac:dyDescent="0.2">
      <c r="A156" s="16"/>
      <c r="B156" s="16"/>
      <c r="C156" s="16"/>
      <c r="D156" s="16"/>
      <c r="E156" s="16"/>
      <c r="F156" s="16"/>
      <c r="G156" s="16"/>
      <c r="H156" s="16"/>
    </row>
    <row r="157" spans="1:8" x14ac:dyDescent="0.2">
      <c r="A157" s="16"/>
      <c r="B157" s="16"/>
      <c r="C157" s="16"/>
      <c r="D157" s="16"/>
      <c r="E157" s="16"/>
      <c r="F157" s="16"/>
      <c r="G157" s="16"/>
      <c r="H157" s="16"/>
    </row>
    <row r="158" spans="1:8" x14ac:dyDescent="0.2">
      <c r="A158" s="16"/>
      <c r="B158" s="16"/>
      <c r="C158" s="16"/>
      <c r="D158" s="16"/>
      <c r="E158" s="16"/>
      <c r="F158" s="16"/>
      <c r="G158" s="16"/>
      <c r="H158" s="16"/>
    </row>
    <row r="159" spans="1:8" x14ac:dyDescent="0.2">
      <c r="A159" s="16"/>
      <c r="B159" s="16"/>
      <c r="C159" s="16"/>
      <c r="D159" s="16"/>
      <c r="E159" s="16"/>
      <c r="F159" s="16"/>
      <c r="G159" s="16"/>
      <c r="H159" s="16"/>
    </row>
    <row r="160" spans="1:8" x14ac:dyDescent="0.2">
      <c r="A160" s="16"/>
      <c r="B160" s="16"/>
      <c r="C160" s="16"/>
      <c r="D160" s="16"/>
      <c r="E160" s="16"/>
      <c r="F160" s="16"/>
      <c r="G160" s="16"/>
      <c r="H160" s="16"/>
    </row>
    <row r="161" spans="1:8" x14ac:dyDescent="0.2">
      <c r="A161" s="16"/>
      <c r="B161" s="16"/>
      <c r="C161" s="16"/>
      <c r="D161" s="16"/>
      <c r="E161" s="16"/>
      <c r="F161" s="16"/>
      <c r="G161" s="16"/>
      <c r="H161" s="16"/>
    </row>
    <row r="162" spans="1:8" x14ac:dyDescent="0.2">
      <c r="A162" s="16"/>
      <c r="B162" s="16"/>
      <c r="C162" s="16"/>
      <c r="D162" s="16"/>
      <c r="E162" s="16"/>
      <c r="F162" s="16"/>
      <c r="G162" s="16"/>
      <c r="H162" s="16"/>
    </row>
    <row r="163" spans="1:8" x14ac:dyDescent="0.2">
      <c r="A163" s="16"/>
      <c r="B163" s="16"/>
      <c r="C163" s="16"/>
      <c r="D163" s="16"/>
      <c r="E163" s="16"/>
      <c r="F163" s="16"/>
      <c r="G163" s="16"/>
      <c r="H163" s="16"/>
    </row>
    <row r="164" spans="1:8" x14ac:dyDescent="0.2">
      <c r="A164" s="16"/>
      <c r="B164" s="16"/>
      <c r="C164" s="16"/>
      <c r="D164" s="16"/>
      <c r="E164" s="16"/>
      <c r="F164" s="16"/>
      <c r="G164" s="16"/>
      <c r="H164" s="16"/>
    </row>
    <row r="165" spans="1:8" x14ac:dyDescent="0.2">
      <c r="A165" s="16"/>
      <c r="B165" s="16"/>
      <c r="C165" s="16"/>
      <c r="D165" s="16"/>
      <c r="E165" s="16"/>
      <c r="F165" s="16"/>
      <c r="G165" s="16"/>
      <c r="H165" s="16"/>
    </row>
    <row r="166" spans="1:8" x14ac:dyDescent="0.2">
      <c r="A166" s="16"/>
      <c r="B166" s="16"/>
      <c r="C166" s="16"/>
      <c r="D166" s="16"/>
      <c r="E166" s="16"/>
      <c r="F166" s="16"/>
      <c r="G166" s="16"/>
      <c r="H166" s="16"/>
    </row>
    <row r="167" spans="1:8" x14ac:dyDescent="0.2">
      <c r="A167" s="16"/>
      <c r="B167" s="16"/>
      <c r="C167" s="16"/>
      <c r="D167" s="16"/>
      <c r="E167" s="16"/>
      <c r="F167" s="16"/>
      <c r="G167" s="16"/>
      <c r="H167" s="16"/>
    </row>
    <row r="168" spans="1:8" x14ac:dyDescent="0.2">
      <c r="A168" s="16"/>
      <c r="B168" s="16"/>
      <c r="C168" s="16"/>
      <c r="D168" s="16"/>
      <c r="E168" s="16"/>
      <c r="F168" s="16"/>
      <c r="G168" s="16"/>
      <c r="H168" s="16"/>
    </row>
    <row r="169" spans="1:8" x14ac:dyDescent="0.2">
      <c r="A169" s="16"/>
      <c r="B169" s="16"/>
      <c r="C169" s="16"/>
      <c r="D169" s="16"/>
      <c r="E169" s="16"/>
      <c r="F169" s="16"/>
      <c r="G169" s="16"/>
      <c r="H169" s="16"/>
    </row>
    <row r="170" spans="1:8" x14ac:dyDescent="0.2">
      <c r="A170" s="16"/>
      <c r="B170" s="16"/>
      <c r="C170" s="16"/>
      <c r="D170" s="16"/>
      <c r="E170" s="16"/>
      <c r="F170" s="16"/>
      <c r="G170" s="16"/>
      <c r="H170" s="16"/>
    </row>
    <row r="171" spans="1:8" x14ac:dyDescent="0.2">
      <c r="A171" s="16"/>
      <c r="B171" s="16"/>
      <c r="C171" s="16"/>
      <c r="D171" s="16"/>
      <c r="E171" s="16"/>
      <c r="F171" s="16"/>
      <c r="G171" s="16"/>
      <c r="H171" s="16"/>
    </row>
    <row r="172" spans="1:8" x14ac:dyDescent="0.2">
      <c r="A172" s="16"/>
      <c r="B172" s="16"/>
      <c r="C172" s="16"/>
      <c r="D172" s="16"/>
      <c r="E172" s="16"/>
      <c r="F172" s="16"/>
      <c r="G172" s="16"/>
      <c r="H172" s="16"/>
    </row>
    <row r="173" spans="1:8" x14ac:dyDescent="0.2">
      <c r="A173" s="16"/>
      <c r="B173" s="16"/>
      <c r="C173" s="16"/>
      <c r="D173" s="16"/>
      <c r="E173" s="16"/>
      <c r="F173" s="16"/>
      <c r="G173" s="16"/>
      <c r="H173" s="16"/>
    </row>
    <row r="174" spans="1:8" x14ac:dyDescent="0.2">
      <c r="A174" s="16"/>
      <c r="B174" s="16"/>
      <c r="C174" s="16"/>
      <c r="D174" s="16"/>
      <c r="E174" s="16"/>
      <c r="F174" s="16"/>
      <c r="G174" s="16"/>
      <c r="H174" s="16"/>
    </row>
    <row r="175" spans="1:8" x14ac:dyDescent="0.2">
      <c r="A175" s="16"/>
      <c r="B175" s="16"/>
      <c r="C175" s="16"/>
      <c r="D175" s="16"/>
      <c r="E175" s="16"/>
      <c r="F175" s="16"/>
      <c r="G175" s="16"/>
      <c r="H175" s="16"/>
    </row>
    <row r="176" spans="1:8" x14ac:dyDescent="0.2">
      <c r="A176" s="16"/>
      <c r="B176" s="16"/>
      <c r="C176" s="16"/>
      <c r="D176" s="16"/>
      <c r="E176" s="16"/>
      <c r="F176" s="16"/>
      <c r="G176" s="16"/>
      <c r="H176" s="16"/>
    </row>
    <row r="177" spans="1:8" x14ac:dyDescent="0.2">
      <c r="A177" s="16"/>
      <c r="B177" s="16"/>
      <c r="C177" s="16"/>
      <c r="D177" s="16"/>
      <c r="E177" s="16"/>
      <c r="F177" s="16"/>
      <c r="G177" s="16"/>
      <c r="H177" s="16"/>
    </row>
    <row r="178" spans="1:8" x14ac:dyDescent="0.2">
      <c r="A178" s="16"/>
      <c r="B178" s="16"/>
      <c r="C178" s="16"/>
      <c r="D178" s="16"/>
      <c r="E178" s="16"/>
      <c r="F178" s="16"/>
      <c r="G178" s="16"/>
      <c r="H178" s="16"/>
    </row>
    <row r="179" spans="1:8" x14ac:dyDescent="0.2">
      <c r="A179" s="16"/>
      <c r="B179" s="16"/>
      <c r="C179" s="16"/>
      <c r="D179" s="16"/>
      <c r="E179" s="16"/>
      <c r="F179" s="16"/>
      <c r="G179" s="16"/>
      <c r="H179" s="16"/>
    </row>
    <row r="180" spans="1:8" x14ac:dyDescent="0.2">
      <c r="A180" s="16"/>
      <c r="B180" s="16"/>
      <c r="C180" s="16"/>
      <c r="D180" s="16"/>
      <c r="E180" s="16"/>
      <c r="F180" s="16"/>
      <c r="G180" s="16"/>
      <c r="H180" s="16"/>
    </row>
    <row r="181" spans="1:8" x14ac:dyDescent="0.2">
      <c r="A181" s="16"/>
      <c r="B181" s="16"/>
      <c r="C181" s="16"/>
      <c r="D181" s="16"/>
      <c r="E181" s="16"/>
      <c r="F181" s="16"/>
      <c r="G181" s="16"/>
      <c r="H181" s="16"/>
    </row>
    <row r="182" spans="1:8" x14ac:dyDescent="0.2">
      <c r="A182" s="16"/>
      <c r="B182" s="16"/>
      <c r="C182" s="16"/>
      <c r="D182" s="16"/>
      <c r="E182" s="16"/>
      <c r="F182" s="16"/>
      <c r="G182" s="16"/>
      <c r="H182" s="16"/>
    </row>
    <row r="183" spans="1:8" x14ac:dyDescent="0.2">
      <c r="A183" s="16"/>
      <c r="B183" s="16"/>
      <c r="C183" s="16"/>
      <c r="D183" s="16"/>
      <c r="E183" s="16"/>
      <c r="F183" s="16"/>
      <c r="G183" s="16"/>
      <c r="H183" s="16"/>
    </row>
    <row r="184" spans="1:8" x14ac:dyDescent="0.2">
      <c r="A184" s="16"/>
      <c r="B184" s="16"/>
      <c r="C184" s="16"/>
      <c r="D184" s="16"/>
      <c r="E184" s="16"/>
      <c r="F184" s="16"/>
      <c r="G184" s="16"/>
      <c r="H184" s="16"/>
    </row>
    <row r="185" spans="1:8" x14ac:dyDescent="0.2">
      <c r="A185" s="16"/>
      <c r="B185" s="16"/>
      <c r="C185" s="16"/>
      <c r="D185" s="16"/>
      <c r="E185" s="16"/>
      <c r="F185" s="16"/>
      <c r="G185" s="16"/>
      <c r="H185" s="16"/>
    </row>
    <row r="186" spans="1:8" x14ac:dyDescent="0.2">
      <c r="A186" s="16"/>
      <c r="B186" s="16"/>
      <c r="C186" s="16"/>
      <c r="D186" s="16"/>
      <c r="E186" s="16"/>
      <c r="F186" s="16"/>
      <c r="G186" s="16"/>
      <c r="H186" s="16"/>
    </row>
    <row r="187" spans="1:8" x14ac:dyDescent="0.2">
      <c r="A187" s="16"/>
      <c r="B187" s="16"/>
      <c r="C187" s="16"/>
      <c r="D187" s="16"/>
      <c r="E187" s="16"/>
      <c r="F187" s="16"/>
      <c r="G187" s="16"/>
      <c r="H187" s="16"/>
    </row>
    <row r="188" spans="1:8" x14ac:dyDescent="0.2">
      <c r="A188" s="16"/>
      <c r="B188" s="16"/>
      <c r="C188" s="16"/>
      <c r="D188" s="16"/>
      <c r="E188" s="16"/>
      <c r="F188" s="16"/>
      <c r="G188" s="16"/>
      <c r="H188" s="16"/>
    </row>
    <row r="189" spans="1:8" x14ac:dyDescent="0.2">
      <c r="A189" s="16"/>
      <c r="B189" s="16"/>
      <c r="C189" s="16"/>
      <c r="D189" s="16"/>
      <c r="E189" s="16"/>
      <c r="F189" s="16"/>
      <c r="G189" s="16"/>
      <c r="H189" s="16"/>
    </row>
    <row r="190" spans="1:8" x14ac:dyDescent="0.2">
      <c r="A190" s="16"/>
      <c r="B190" s="16"/>
      <c r="C190" s="16"/>
      <c r="D190" s="16"/>
      <c r="E190" s="16"/>
      <c r="F190" s="16"/>
      <c r="G190" s="16"/>
      <c r="H190" s="16"/>
    </row>
    <row r="191" spans="1:8" x14ac:dyDescent="0.2">
      <c r="A191" s="16"/>
      <c r="B191" s="16"/>
      <c r="C191" s="16"/>
      <c r="D191" s="16"/>
      <c r="E191" s="16"/>
      <c r="F191" s="16"/>
      <c r="G191" s="16"/>
      <c r="H191" s="16"/>
    </row>
    <row r="192" spans="1:8" x14ac:dyDescent="0.2">
      <c r="A192" s="16"/>
      <c r="B192" s="16"/>
      <c r="C192" s="16"/>
      <c r="D192" s="16"/>
      <c r="E192" s="16"/>
      <c r="F192" s="16"/>
      <c r="G192" s="16"/>
      <c r="H192" s="16"/>
    </row>
    <row r="193" spans="1:8" x14ac:dyDescent="0.2">
      <c r="A193" s="16"/>
      <c r="B193" s="16"/>
      <c r="C193" s="16"/>
      <c r="D193" s="16"/>
      <c r="E193" s="16"/>
      <c r="F193" s="16"/>
      <c r="G193" s="16"/>
      <c r="H193" s="16"/>
    </row>
    <row r="194" spans="1:8" x14ac:dyDescent="0.2">
      <c r="A194" s="16"/>
      <c r="B194" s="16"/>
      <c r="C194" s="16"/>
      <c r="D194" s="16"/>
      <c r="E194" s="16"/>
      <c r="F194" s="16"/>
      <c r="G194" s="16"/>
      <c r="H194" s="16"/>
    </row>
    <row r="195" spans="1:8" x14ac:dyDescent="0.2">
      <c r="A195" s="16"/>
      <c r="B195" s="16"/>
      <c r="C195" s="16"/>
      <c r="D195" s="16"/>
      <c r="E195" s="16"/>
      <c r="F195" s="16"/>
      <c r="G195" s="16"/>
      <c r="H195" s="16"/>
    </row>
    <row r="196" spans="1:8" x14ac:dyDescent="0.2">
      <c r="A196" s="16"/>
      <c r="B196" s="16"/>
      <c r="C196" s="16"/>
      <c r="D196" s="16"/>
      <c r="E196" s="16"/>
      <c r="F196" s="16"/>
      <c r="G196" s="16"/>
      <c r="H196" s="16"/>
    </row>
    <row r="197" spans="1:8" x14ac:dyDescent="0.2">
      <c r="A197" s="16"/>
      <c r="B197" s="16"/>
      <c r="C197" s="16"/>
      <c r="D197" s="16"/>
      <c r="E197" s="16"/>
      <c r="F197" s="16"/>
      <c r="G197" s="16"/>
      <c r="H197" s="16"/>
    </row>
    <row r="198" spans="1:8" x14ac:dyDescent="0.2">
      <c r="A198" s="16"/>
      <c r="B198" s="16"/>
      <c r="C198" s="16"/>
      <c r="D198" s="16"/>
      <c r="E198" s="16"/>
      <c r="F198" s="16"/>
      <c r="G198" s="16"/>
      <c r="H198" s="16"/>
    </row>
    <row r="199" spans="1:8" x14ac:dyDescent="0.2">
      <c r="A199" s="16"/>
      <c r="B199" s="16"/>
      <c r="C199" s="16"/>
      <c r="D199" s="16"/>
      <c r="E199" s="16"/>
      <c r="F199" s="16"/>
      <c r="G199" s="16"/>
      <c r="H199" s="16"/>
    </row>
    <row r="200" spans="1:8" x14ac:dyDescent="0.2">
      <c r="A200" s="16"/>
      <c r="B200" s="16"/>
      <c r="C200" s="16"/>
      <c r="D200" s="16"/>
      <c r="E200" s="16"/>
      <c r="F200" s="16"/>
      <c r="G200" s="16"/>
      <c r="H200" s="16"/>
    </row>
    <row r="201" spans="1:8" x14ac:dyDescent="0.2">
      <c r="A201" s="16"/>
      <c r="B201" s="16"/>
      <c r="C201" s="16"/>
      <c r="D201" s="16"/>
      <c r="E201" s="16"/>
      <c r="F201" s="16"/>
      <c r="G201" s="16"/>
      <c r="H201" s="16"/>
    </row>
    <row r="202" spans="1:8" x14ac:dyDescent="0.2">
      <c r="A202" s="16"/>
      <c r="B202" s="16"/>
      <c r="C202" s="16"/>
      <c r="D202" s="16"/>
      <c r="E202" s="16"/>
      <c r="F202" s="16"/>
      <c r="G202" s="16"/>
      <c r="H202" s="16"/>
    </row>
    <row r="203" spans="1:8" x14ac:dyDescent="0.2">
      <c r="A203" s="16"/>
      <c r="B203" s="16"/>
      <c r="C203" s="16"/>
      <c r="D203" s="16"/>
      <c r="E203" s="16"/>
      <c r="F203" s="16"/>
      <c r="G203" s="16"/>
      <c r="H203" s="16"/>
    </row>
    <row r="204" spans="1:8" x14ac:dyDescent="0.2">
      <c r="A204" s="16"/>
      <c r="B204" s="16"/>
      <c r="C204" s="16"/>
      <c r="D204" s="16"/>
      <c r="E204" s="16"/>
      <c r="F204" s="16"/>
      <c r="G204" s="16"/>
      <c r="H204" s="16"/>
    </row>
    <row r="205" spans="1:8" x14ac:dyDescent="0.2">
      <c r="A205" s="16"/>
      <c r="B205" s="16"/>
      <c r="C205" s="16"/>
      <c r="D205" s="16"/>
      <c r="E205" s="16"/>
      <c r="F205" s="16"/>
      <c r="G205" s="16"/>
      <c r="H205" s="16"/>
    </row>
    <row r="206" spans="1:8" x14ac:dyDescent="0.2">
      <c r="A206" s="16"/>
      <c r="B206" s="16"/>
      <c r="C206" s="16"/>
      <c r="D206" s="16"/>
      <c r="E206" s="16"/>
      <c r="F206" s="16"/>
      <c r="G206" s="16"/>
      <c r="H206" s="16"/>
    </row>
    <row r="207" spans="1:8" x14ac:dyDescent="0.2">
      <c r="A207" s="16"/>
      <c r="B207" s="16"/>
      <c r="C207" s="16"/>
      <c r="D207" s="16"/>
      <c r="E207" s="16"/>
      <c r="F207" s="16"/>
      <c r="G207" s="16"/>
      <c r="H207" s="16"/>
    </row>
    <row r="208" spans="1:8" x14ac:dyDescent="0.2">
      <c r="A208" s="16"/>
      <c r="B208" s="16"/>
      <c r="C208" s="16"/>
      <c r="D208" s="16"/>
      <c r="E208" s="16"/>
      <c r="F208" s="16"/>
      <c r="G208" s="16"/>
      <c r="H208" s="16"/>
    </row>
    <row r="209" spans="1:8" x14ac:dyDescent="0.2">
      <c r="A209" s="16"/>
      <c r="B209" s="16"/>
      <c r="C209" s="16"/>
      <c r="D209" s="16"/>
      <c r="E209" s="16"/>
      <c r="F209" s="16"/>
      <c r="G209" s="16"/>
      <c r="H209" s="16"/>
    </row>
    <row r="210" spans="1:8" x14ac:dyDescent="0.2">
      <c r="A210" s="16"/>
      <c r="B210" s="16"/>
      <c r="C210" s="16"/>
      <c r="D210" s="16"/>
      <c r="E210" s="16"/>
      <c r="F210" s="16"/>
      <c r="G210" s="16"/>
      <c r="H210" s="16"/>
    </row>
    <row r="211" spans="1:8" x14ac:dyDescent="0.2">
      <c r="A211" s="16"/>
      <c r="B211" s="16"/>
      <c r="C211" s="16"/>
      <c r="D211" s="16"/>
      <c r="E211" s="16"/>
      <c r="F211" s="16"/>
      <c r="G211" s="16"/>
      <c r="H211" s="16"/>
    </row>
    <row r="212" spans="1:8" x14ac:dyDescent="0.2">
      <c r="A212" s="16"/>
      <c r="B212" s="16"/>
      <c r="C212" s="16"/>
      <c r="D212" s="16"/>
      <c r="E212" s="16"/>
      <c r="F212" s="16"/>
      <c r="G212" s="16"/>
      <c r="H212" s="16"/>
    </row>
    <row r="213" spans="1:8" x14ac:dyDescent="0.2">
      <c r="A213" s="16"/>
      <c r="B213" s="16"/>
      <c r="C213" s="16"/>
      <c r="D213" s="16"/>
      <c r="E213" s="16"/>
      <c r="F213" s="16"/>
      <c r="G213" s="16"/>
      <c r="H213" s="16"/>
    </row>
    <row r="214" spans="1:8" x14ac:dyDescent="0.2">
      <c r="A214" s="16"/>
      <c r="B214" s="16"/>
      <c r="C214" s="16"/>
      <c r="D214" s="16"/>
      <c r="E214" s="16"/>
      <c r="F214" s="16"/>
      <c r="G214" s="16"/>
      <c r="H214" s="16"/>
    </row>
    <row r="215" spans="1:8" x14ac:dyDescent="0.2">
      <c r="A215" s="16"/>
      <c r="B215" s="16"/>
      <c r="C215" s="16"/>
      <c r="D215" s="16"/>
      <c r="E215" s="16"/>
      <c r="F215" s="16"/>
      <c r="G215" s="16"/>
      <c r="H215" s="16"/>
    </row>
    <row r="216" spans="1:8" x14ac:dyDescent="0.2">
      <c r="A216" s="16"/>
      <c r="B216" s="16"/>
      <c r="C216" s="16"/>
      <c r="D216" s="16"/>
      <c r="E216" s="16"/>
      <c r="F216" s="16"/>
      <c r="G216" s="16"/>
      <c r="H216" s="16"/>
    </row>
    <row r="217" spans="1:8" x14ac:dyDescent="0.2">
      <c r="A217" s="16"/>
      <c r="B217" s="16"/>
      <c r="C217" s="16"/>
      <c r="D217" s="16"/>
      <c r="E217" s="16"/>
      <c r="F217" s="16"/>
      <c r="G217" s="16"/>
      <c r="H217" s="16"/>
    </row>
    <row r="218" spans="1:8" x14ac:dyDescent="0.2">
      <c r="A218" s="16"/>
      <c r="B218" s="16"/>
      <c r="C218" s="16"/>
      <c r="D218" s="16"/>
      <c r="E218" s="16"/>
      <c r="F218" s="16"/>
      <c r="G218" s="16"/>
      <c r="H218" s="16"/>
    </row>
    <row r="219" spans="1:8" x14ac:dyDescent="0.2">
      <c r="A219" s="16"/>
      <c r="B219" s="16"/>
      <c r="C219" s="16"/>
      <c r="D219" s="16"/>
      <c r="E219" s="16"/>
      <c r="F219" s="16"/>
      <c r="G219" s="16"/>
      <c r="H219" s="16"/>
    </row>
    <row r="220" spans="1:8" x14ac:dyDescent="0.2">
      <c r="A220" s="16"/>
      <c r="B220" s="16"/>
      <c r="C220" s="16"/>
      <c r="D220" s="16"/>
      <c r="E220" s="16"/>
      <c r="F220" s="16"/>
      <c r="G220" s="16"/>
      <c r="H220" s="16"/>
    </row>
    <row r="221" spans="1:8" x14ac:dyDescent="0.2">
      <c r="A221" s="16"/>
      <c r="B221" s="16"/>
      <c r="C221" s="16"/>
      <c r="D221" s="16"/>
      <c r="E221" s="16"/>
      <c r="F221" s="16"/>
      <c r="G221" s="16"/>
      <c r="H221" s="16"/>
    </row>
    <row r="222" spans="1:8" x14ac:dyDescent="0.2">
      <c r="A222" s="16"/>
      <c r="B222" s="16"/>
      <c r="C222" s="16"/>
      <c r="D222" s="16"/>
      <c r="E222" s="16"/>
      <c r="F222" s="16"/>
      <c r="G222" s="16"/>
      <c r="H222" s="16"/>
    </row>
    <row r="223" spans="1:8" x14ac:dyDescent="0.2">
      <c r="A223" s="16"/>
      <c r="B223" s="16"/>
      <c r="C223" s="16"/>
      <c r="D223" s="16"/>
      <c r="E223" s="16"/>
      <c r="F223" s="16"/>
      <c r="G223" s="16"/>
      <c r="H223" s="16"/>
    </row>
    <row r="224" spans="1:8" x14ac:dyDescent="0.2">
      <c r="A224" s="16"/>
      <c r="B224" s="16"/>
      <c r="C224" s="16"/>
      <c r="D224" s="16"/>
      <c r="E224" s="16"/>
      <c r="F224" s="16"/>
      <c r="G224" s="16"/>
      <c r="H224" s="16"/>
    </row>
    <row r="225" spans="1:8" x14ac:dyDescent="0.2">
      <c r="A225" s="16"/>
      <c r="B225" s="16"/>
      <c r="C225" s="16"/>
      <c r="D225" s="16"/>
      <c r="E225" s="16"/>
      <c r="F225" s="16"/>
      <c r="G225" s="16"/>
      <c r="H225" s="16"/>
    </row>
    <row r="226" spans="1:8" x14ac:dyDescent="0.2">
      <c r="A226" s="16"/>
      <c r="B226" s="16"/>
      <c r="C226" s="16"/>
      <c r="D226" s="16"/>
      <c r="E226" s="16"/>
      <c r="F226" s="16"/>
      <c r="G226" s="16"/>
      <c r="H226" s="16"/>
    </row>
    <row r="227" spans="1:8" x14ac:dyDescent="0.2">
      <c r="A227" s="16"/>
      <c r="B227" s="16"/>
      <c r="C227" s="16"/>
      <c r="D227" s="16"/>
      <c r="E227" s="16"/>
      <c r="F227" s="16"/>
      <c r="G227" s="16"/>
      <c r="H227" s="16"/>
    </row>
    <row r="228" spans="1:8" x14ac:dyDescent="0.2">
      <c r="A228" s="16"/>
      <c r="B228" s="16"/>
      <c r="C228" s="16"/>
      <c r="D228" s="16"/>
      <c r="E228" s="16"/>
      <c r="F228" s="16"/>
      <c r="G228" s="16"/>
      <c r="H228" s="16"/>
    </row>
    <row r="229" spans="1:8" x14ac:dyDescent="0.2">
      <c r="A229" s="16"/>
      <c r="B229" s="16"/>
      <c r="C229" s="16"/>
      <c r="D229" s="16"/>
      <c r="E229" s="16"/>
      <c r="F229" s="16"/>
      <c r="G229" s="16"/>
      <c r="H229" s="16"/>
    </row>
    <row r="230" spans="1:8" x14ac:dyDescent="0.2">
      <c r="A230" s="16"/>
      <c r="B230" s="16"/>
      <c r="C230" s="16"/>
      <c r="D230" s="16"/>
      <c r="E230" s="16"/>
      <c r="F230" s="16"/>
      <c r="G230" s="16"/>
      <c r="H230" s="16"/>
    </row>
    <row r="231" spans="1:8" x14ac:dyDescent="0.2">
      <c r="A231" s="16"/>
      <c r="B231" s="16"/>
      <c r="C231" s="16"/>
      <c r="D231" s="16"/>
      <c r="E231" s="16"/>
      <c r="F231" s="16"/>
      <c r="G231" s="16"/>
      <c r="H231" s="16"/>
    </row>
    <row r="232" spans="1:8" x14ac:dyDescent="0.2">
      <c r="A232" s="16"/>
      <c r="B232" s="16"/>
      <c r="C232" s="16"/>
      <c r="D232" s="16"/>
      <c r="E232" s="16"/>
      <c r="F232" s="16"/>
      <c r="G232" s="16"/>
      <c r="H232" s="16"/>
    </row>
    <row r="233" spans="1:8" x14ac:dyDescent="0.2">
      <c r="A233" s="16"/>
      <c r="B233" s="16"/>
      <c r="C233" s="16"/>
      <c r="D233" s="16"/>
      <c r="E233" s="16"/>
      <c r="F233" s="16"/>
      <c r="G233" s="16"/>
      <c r="H233" s="16"/>
    </row>
    <row r="234" spans="1:8" x14ac:dyDescent="0.2">
      <c r="A234" s="16"/>
      <c r="B234" s="16"/>
      <c r="C234" s="16"/>
      <c r="D234" s="16"/>
      <c r="E234" s="16"/>
      <c r="F234" s="16"/>
      <c r="G234" s="16"/>
      <c r="H234" s="16"/>
    </row>
    <row r="235" spans="1:8" x14ac:dyDescent="0.2">
      <c r="A235" s="16"/>
      <c r="B235" s="16"/>
      <c r="C235" s="16"/>
      <c r="D235" s="16"/>
      <c r="E235" s="16"/>
      <c r="F235" s="16"/>
      <c r="G235" s="16"/>
      <c r="H235" s="16"/>
    </row>
    <row r="236" spans="1:8" x14ac:dyDescent="0.2">
      <c r="A236" s="16"/>
      <c r="B236" s="16"/>
      <c r="C236" s="16"/>
      <c r="D236" s="16"/>
      <c r="E236" s="16"/>
      <c r="F236" s="16"/>
      <c r="G236" s="16"/>
      <c r="H236" s="16"/>
    </row>
    <row r="237" spans="1:8" x14ac:dyDescent="0.2">
      <c r="A237" s="16"/>
      <c r="B237" s="16"/>
      <c r="C237" s="16"/>
      <c r="D237" s="16"/>
      <c r="E237" s="16"/>
      <c r="F237" s="16"/>
      <c r="G237" s="16"/>
      <c r="H237" s="16"/>
    </row>
    <row r="238" spans="1:8" x14ac:dyDescent="0.2">
      <c r="A238" s="16"/>
      <c r="B238" s="16"/>
      <c r="C238" s="16"/>
      <c r="D238" s="16"/>
      <c r="E238" s="16"/>
      <c r="F238" s="16"/>
      <c r="G238" s="16"/>
      <c r="H238" s="16"/>
    </row>
    <row r="239" spans="1:8" x14ac:dyDescent="0.2">
      <c r="A239" s="16"/>
      <c r="B239" s="16"/>
      <c r="C239" s="16"/>
      <c r="D239" s="16"/>
      <c r="E239" s="16"/>
      <c r="F239" s="16"/>
      <c r="G239" s="16"/>
      <c r="H239" s="16"/>
    </row>
    <row r="240" spans="1:8" x14ac:dyDescent="0.2">
      <c r="A240" s="16"/>
      <c r="B240" s="16"/>
      <c r="C240" s="16"/>
      <c r="D240" s="16"/>
      <c r="E240" s="16"/>
      <c r="F240" s="16"/>
      <c r="G240" s="16"/>
      <c r="H240" s="16"/>
    </row>
    <row r="241" spans="1:8" x14ac:dyDescent="0.2">
      <c r="A241" s="16"/>
      <c r="B241" s="16"/>
      <c r="C241" s="16"/>
      <c r="D241" s="16"/>
      <c r="E241" s="16"/>
      <c r="F241" s="16"/>
      <c r="G241" s="16"/>
      <c r="H241" s="16"/>
    </row>
    <row r="242" spans="1:8" x14ac:dyDescent="0.2">
      <c r="A242" s="16"/>
      <c r="B242" s="16"/>
      <c r="C242" s="16"/>
      <c r="D242" s="16"/>
      <c r="E242" s="16"/>
      <c r="F242" s="16"/>
      <c r="G242" s="16"/>
      <c r="H242" s="16"/>
    </row>
    <row r="243" spans="1:8" x14ac:dyDescent="0.2">
      <c r="A243" s="16"/>
      <c r="B243" s="16"/>
      <c r="C243" s="16"/>
      <c r="D243" s="16"/>
      <c r="E243" s="16"/>
      <c r="F243" s="16"/>
      <c r="G243" s="16"/>
      <c r="H243" s="16"/>
    </row>
    <row r="244" spans="1:8" x14ac:dyDescent="0.2">
      <c r="A244" s="16"/>
      <c r="B244" s="16"/>
      <c r="C244" s="16"/>
      <c r="D244" s="16"/>
      <c r="E244" s="16"/>
      <c r="F244" s="16"/>
      <c r="G244" s="16"/>
      <c r="H244" s="16"/>
    </row>
    <row r="245" spans="1:8" x14ac:dyDescent="0.2">
      <c r="A245" s="16"/>
      <c r="B245" s="16"/>
      <c r="C245" s="16"/>
      <c r="D245" s="16"/>
      <c r="E245" s="16"/>
      <c r="F245" s="16"/>
      <c r="G245" s="16"/>
      <c r="H245" s="16"/>
    </row>
    <row r="246" spans="1:8" x14ac:dyDescent="0.2">
      <c r="A246" s="16"/>
      <c r="B246" s="16"/>
      <c r="C246" s="16"/>
      <c r="D246" s="16"/>
      <c r="E246" s="16"/>
      <c r="F246" s="16"/>
      <c r="G246" s="16"/>
      <c r="H246" s="16"/>
    </row>
    <row r="247" spans="1:8" x14ac:dyDescent="0.2">
      <c r="A247" s="16"/>
      <c r="B247" s="16"/>
      <c r="C247" s="16"/>
      <c r="D247" s="16"/>
      <c r="E247" s="16"/>
      <c r="F247" s="16"/>
      <c r="G247" s="16"/>
      <c r="H247" s="16"/>
    </row>
    <row r="248" spans="1:8" x14ac:dyDescent="0.2">
      <c r="A248" s="16"/>
      <c r="B248" s="16"/>
      <c r="C248" s="16"/>
      <c r="D248" s="16"/>
      <c r="E248" s="16"/>
      <c r="F248" s="16"/>
      <c r="G248" s="16"/>
      <c r="H248" s="16"/>
    </row>
    <row r="249" spans="1:8" x14ac:dyDescent="0.2">
      <c r="A249" s="16"/>
      <c r="B249" s="16"/>
      <c r="C249" s="16"/>
      <c r="D249" s="16"/>
      <c r="E249" s="16"/>
      <c r="F249" s="16"/>
      <c r="G249" s="16"/>
      <c r="H249" s="16"/>
    </row>
    <row r="250" spans="1:8" x14ac:dyDescent="0.2">
      <c r="A250" s="16"/>
      <c r="B250" s="16"/>
      <c r="C250" s="16"/>
      <c r="D250" s="16"/>
      <c r="E250" s="16"/>
      <c r="F250" s="16"/>
      <c r="G250" s="16"/>
      <c r="H250" s="16"/>
    </row>
    <row r="251" spans="1:8" x14ac:dyDescent="0.2">
      <c r="A251" s="16"/>
      <c r="B251" s="16"/>
      <c r="C251" s="16"/>
      <c r="D251" s="16"/>
      <c r="E251" s="16"/>
      <c r="F251" s="16"/>
      <c r="G251" s="16"/>
      <c r="H251" s="16"/>
    </row>
    <row r="252" spans="1:8" x14ac:dyDescent="0.2">
      <c r="A252" s="16"/>
      <c r="B252" s="16"/>
      <c r="C252" s="16"/>
      <c r="D252" s="16"/>
      <c r="E252" s="16"/>
      <c r="F252" s="16"/>
      <c r="G252" s="16"/>
      <c r="H252" s="16"/>
    </row>
    <row r="253" spans="1:8" x14ac:dyDescent="0.2">
      <c r="A253" s="16"/>
      <c r="B253" s="16"/>
      <c r="C253" s="16"/>
      <c r="D253" s="16"/>
      <c r="E253" s="16"/>
      <c r="F253" s="16"/>
      <c r="G253" s="16"/>
      <c r="H253" s="16"/>
    </row>
    <row r="254" spans="1:8" x14ac:dyDescent="0.2">
      <c r="A254" s="16"/>
      <c r="B254" s="16"/>
      <c r="C254" s="16"/>
      <c r="D254" s="16"/>
      <c r="E254" s="16"/>
      <c r="F254" s="16"/>
      <c r="G254" s="16"/>
      <c r="H254" s="16"/>
    </row>
    <row r="255" spans="1:8" x14ac:dyDescent="0.2">
      <c r="A255" s="16"/>
      <c r="B255" s="16"/>
      <c r="C255" s="16"/>
      <c r="D255" s="16"/>
      <c r="E255" s="16"/>
      <c r="F255" s="16"/>
      <c r="G255" s="16"/>
      <c r="H255" s="16"/>
    </row>
    <row r="256" spans="1:8" x14ac:dyDescent="0.2">
      <c r="A256" s="16"/>
      <c r="B256" s="16"/>
      <c r="C256" s="16"/>
      <c r="D256" s="16"/>
      <c r="E256" s="16"/>
      <c r="F256" s="16"/>
      <c r="G256" s="16"/>
      <c r="H256" s="16"/>
    </row>
    <row r="257" spans="1:8" x14ac:dyDescent="0.2">
      <c r="A257" s="16"/>
      <c r="B257" s="16"/>
      <c r="C257" s="16"/>
      <c r="D257" s="16"/>
      <c r="E257" s="16"/>
      <c r="F257" s="16"/>
      <c r="G257" s="16"/>
      <c r="H257" s="16"/>
    </row>
    <row r="258" spans="1:8" x14ac:dyDescent="0.2">
      <c r="A258" s="16"/>
      <c r="B258" s="16"/>
      <c r="C258" s="16"/>
      <c r="D258" s="16"/>
      <c r="E258" s="16"/>
      <c r="F258" s="16"/>
      <c r="G258" s="16"/>
      <c r="H258" s="16"/>
    </row>
    <row r="259" spans="1:8" x14ac:dyDescent="0.2">
      <c r="A259" s="16"/>
      <c r="B259" s="16"/>
      <c r="C259" s="16"/>
      <c r="D259" s="16"/>
      <c r="E259" s="16"/>
      <c r="F259" s="16"/>
      <c r="G259" s="16"/>
      <c r="H259" s="16"/>
    </row>
    <row r="261" spans="1:8" x14ac:dyDescent="0.2">
      <c r="A261" s="17" t="s">
        <v>228</v>
      </c>
    </row>
  </sheetData>
  <dataValidations count="2">
    <dataValidation type="list" allowBlank="1" sqref="F2:F259" xr:uid="{00000000-0002-0000-0300-000001000000}">
      <formula1>"Yes,No"</formula1>
    </dataValidation>
    <dataValidation type="list" allowBlank="1" sqref="H2:H259" xr:uid="{00000000-0002-0000-0300-000002000000}">
      <formula1>"XS,S,M,L,XL,XXL"</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300-000000000000}">
          <x14:formula1>
            <xm:f>Teams!$B$2:$B$9</xm:f>
          </x14:formula1>
          <xm:sqref>C2:C259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K131"/>
  <sheetViews>
    <sheetView workbookViewId="0">
      <pane xSplit="3" ySplit="2" topLeftCell="D3" activePane="bottomRight" state="frozen"/>
      <selection pane="topRight"/>
      <selection pane="bottomLeft"/>
      <selection pane="bottomRight"/>
    </sheetView>
  </sheetViews>
  <sheetFormatPr baseColWidth="10" defaultColWidth="8.83203125" defaultRowHeight="15" x14ac:dyDescent="0.2"/>
  <cols>
    <col min="1" max="1" width="20" customWidth="1"/>
    <col min="2" max="2" width="22" customWidth="1"/>
    <col min="3" max="3" width="10" customWidth="1"/>
    <col min="4" max="63" width="5.5" customWidth="1"/>
  </cols>
  <sheetData>
    <row r="1" spans="1:63" x14ac:dyDescent="0.2">
      <c r="A1" s="12" t="s">
        <v>143</v>
      </c>
      <c r="B1" s="12" t="s">
        <v>229</v>
      </c>
      <c r="C1" s="12" t="s">
        <v>141</v>
      </c>
      <c r="D1" s="46">
        <f>Instructions!$C$14-1</f>
        <v>46240</v>
      </c>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6">
        <f>Instructions!$C$14</f>
        <v>46241</v>
      </c>
      <c r="BA1" s="47"/>
      <c r="BB1" s="47"/>
      <c r="BC1" s="47"/>
      <c r="BD1" s="47"/>
      <c r="BE1" s="47"/>
      <c r="BF1" s="47"/>
      <c r="BG1" s="47"/>
      <c r="BH1" s="47"/>
      <c r="BI1" s="47"/>
      <c r="BJ1" s="47"/>
      <c r="BK1" s="47"/>
    </row>
    <row r="2" spans="1:63" ht="58" customHeight="1" x14ac:dyDescent="0.2">
      <c r="A2" s="22"/>
      <c r="B2" s="22"/>
      <c r="C2" s="22"/>
      <c r="D2" s="23">
        <v>0.5</v>
      </c>
      <c r="E2" s="23">
        <v>0.51041666666666663</v>
      </c>
      <c r="F2" s="23">
        <v>0.52083333333333337</v>
      </c>
      <c r="G2" s="23">
        <v>0.53125</v>
      </c>
      <c r="H2" s="23">
        <v>0.54166666666666663</v>
      </c>
      <c r="I2" s="23">
        <v>0.55208333333333337</v>
      </c>
      <c r="J2" s="23">
        <v>0.5625</v>
      </c>
      <c r="K2" s="23">
        <v>0.57291666666666663</v>
      </c>
      <c r="L2" s="23">
        <v>0.58333333333333337</v>
      </c>
      <c r="M2" s="23">
        <v>0.59375</v>
      </c>
      <c r="N2" s="23">
        <v>0.60416666666666663</v>
      </c>
      <c r="O2" s="23">
        <v>0.61458333333333337</v>
      </c>
      <c r="P2" s="23">
        <v>0.625</v>
      </c>
      <c r="Q2" s="23">
        <v>0.63541666666666663</v>
      </c>
      <c r="R2" s="23">
        <v>0.64583333333333337</v>
      </c>
      <c r="S2" s="23">
        <v>0.65625</v>
      </c>
      <c r="T2" s="23">
        <v>0.66666666666666663</v>
      </c>
      <c r="U2" s="23">
        <v>0.67708333333333337</v>
      </c>
      <c r="V2" s="23">
        <v>0.6875</v>
      </c>
      <c r="W2" s="23">
        <v>0.69791666666666663</v>
      </c>
      <c r="X2" s="23">
        <v>0.70833333333333337</v>
      </c>
      <c r="Y2" s="23">
        <v>0.71875</v>
      </c>
      <c r="Z2" s="23">
        <v>0.72916666666666663</v>
      </c>
      <c r="AA2" s="23">
        <v>0.73958333333333337</v>
      </c>
      <c r="AB2" s="23">
        <v>0.75</v>
      </c>
      <c r="AC2" s="23">
        <v>0.76041666666666663</v>
      </c>
      <c r="AD2" s="23">
        <v>0.77083333333333337</v>
      </c>
      <c r="AE2" s="23">
        <v>0.78125</v>
      </c>
      <c r="AF2" s="23">
        <v>0.79166666666666663</v>
      </c>
      <c r="AG2" s="23">
        <v>0.80208333333333337</v>
      </c>
      <c r="AH2" s="23">
        <v>0.8125</v>
      </c>
      <c r="AI2" s="23">
        <v>0.82291666666666663</v>
      </c>
      <c r="AJ2" s="23">
        <v>0.83333333333333337</v>
      </c>
      <c r="AK2" s="23">
        <v>0.84375</v>
      </c>
      <c r="AL2" s="23">
        <v>0.85416666666666663</v>
      </c>
      <c r="AM2" s="23">
        <v>0.86458333333333337</v>
      </c>
      <c r="AN2" s="23">
        <v>0.875</v>
      </c>
      <c r="AO2" s="23">
        <v>0.88541666666666663</v>
      </c>
      <c r="AP2" s="23">
        <v>0.89583333333333337</v>
      </c>
      <c r="AQ2" s="23">
        <v>0.90625</v>
      </c>
      <c r="AR2" s="23">
        <v>0.91666666666666663</v>
      </c>
      <c r="AS2" s="23">
        <v>0.92708333333333337</v>
      </c>
      <c r="AT2" s="23">
        <v>0.9375</v>
      </c>
      <c r="AU2" s="23">
        <v>0.94791666666666663</v>
      </c>
      <c r="AV2" s="23">
        <v>0.95833333333333337</v>
      </c>
      <c r="AW2" s="23">
        <v>0.96875</v>
      </c>
      <c r="AX2" s="23">
        <v>0.97916666666666663</v>
      </c>
      <c r="AY2" s="23">
        <v>0.98958333333333337</v>
      </c>
      <c r="AZ2" s="23">
        <v>0</v>
      </c>
      <c r="BA2" s="23">
        <v>1.041666666666667E-2</v>
      </c>
      <c r="BB2" s="23">
        <v>2.0833333333333329E-2</v>
      </c>
      <c r="BC2" s="23">
        <v>3.125E-2</v>
      </c>
      <c r="BD2" s="23">
        <v>4.1666666666666657E-2</v>
      </c>
      <c r="BE2" s="23">
        <v>5.2083333333333343E-2</v>
      </c>
      <c r="BF2" s="23">
        <v>6.25E-2</v>
      </c>
      <c r="BG2" s="23">
        <v>7.2916666666666671E-2</v>
      </c>
      <c r="BH2" s="23">
        <v>8.3333333333333329E-2</v>
      </c>
      <c r="BI2" s="23">
        <v>9.375E-2</v>
      </c>
      <c r="BJ2" s="23">
        <v>0.1041666666666667</v>
      </c>
      <c r="BK2" s="23">
        <v>0.1145833333333333</v>
      </c>
    </row>
    <row r="3" spans="1:63" ht="18" customHeight="1" x14ac:dyDescent="0.2">
      <c r="A3" s="43" t="s">
        <v>78</v>
      </c>
      <c r="B3" s="44"/>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5"/>
    </row>
    <row r="4" spans="1:63" ht="34" customHeight="1" x14ac:dyDescent="0.2">
      <c r="A4" s="39" t="s">
        <v>151</v>
      </c>
      <c r="B4" s="24"/>
      <c r="C4" s="20" t="str">
        <f>IF(TRIM($B4)="","",IFERROR(INDEX(People!$A$2:$A$199,MATCH(TRIM($B4),People!$B$2:$B$199,0)),IFERROR(INDEX(Teams!$A$2:$A$9,MATCH(TRIM($B4),Teams!$B$2:$B$9,0)),"?? CHECK NAME")))</f>
        <v/>
      </c>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c r="BG4" s="25"/>
      <c r="BH4" s="25"/>
      <c r="BI4" s="25"/>
      <c r="BJ4" s="25"/>
      <c r="BK4" s="25"/>
    </row>
    <row r="5" spans="1:63" ht="34" customHeight="1" x14ac:dyDescent="0.2">
      <c r="A5" s="40"/>
      <c r="B5" s="24"/>
      <c r="C5" s="20" t="str">
        <f>IF(TRIM($B5)="","",IFERROR(INDEX(People!$A$2:$A$199,MATCH(TRIM($B5),People!$B$2:$B$199,0)),IFERROR(INDEX(Teams!$A$2:$A$9,MATCH(TRIM($B5),Teams!$B$2:$B$9,0)),"?? CHECK NAME")))</f>
        <v/>
      </c>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row>
    <row r="6" spans="1:63" ht="34" customHeight="1" x14ac:dyDescent="0.2">
      <c r="A6" s="40"/>
      <c r="B6" s="24"/>
      <c r="C6" s="20" t="str">
        <f>IF(TRIM($B6)="","",IFERROR(INDEX(People!$A$2:$A$199,MATCH(TRIM($B6),People!$B$2:$B$199,0)),IFERROR(INDEX(Teams!$A$2:$A$9,MATCH(TRIM($B6),Teams!$B$2:$B$9,0)),"?? CHECK NAME")))</f>
        <v/>
      </c>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25"/>
    </row>
    <row r="7" spans="1:63" ht="34" customHeight="1" x14ac:dyDescent="0.2">
      <c r="A7" s="40"/>
      <c r="B7" s="24"/>
      <c r="C7" s="20" t="str">
        <f>IF(TRIM($B7)="","",IFERROR(INDEX(People!$A$2:$A$199,MATCH(TRIM($B7),People!$B$2:$B$199,0)),IFERROR(INDEX(Teams!$A$2:$A$9,MATCH(TRIM($B7),Teams!$B$2:$B$9,0)),"?? CHECK NAME")))</f>
        <v/>
      </c>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row>
    <row r="8" spans="1:63" ht="34" customHeight="1" x14ac:dyDescent="0.2">
      <c r="A8" s="41"/>
      <c r="B8" s="24"/>
      <c r="C8" s="20" t="str">
        <f>IF(TRIM($B8)="","",IFERROR(INDEX(People!$A$2:$A$199,MATCH(TRIM($B8),People!$B$2:$B$199,0)),IFERROR(INDEX(Teams!$A$2:$A$9,MATCH(TRIM($B8),Teams!$B$2:$B$9,0)),"?? CHECK NAME")))</f>
        <v/>
      </c>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row>
    <row r="9" spans="1:63" ht="34" customHeight="1" x14ac:dyDescent="0.2">
      <c r="A9" s="39" t="s">
        <v>230</v>
      </c>
      <c r="B9" s="24"/>
      <c r="C9" s="20" t="str">
        <f>IF(TRIM($B9)="","",IFERROR(INDEX(People!$A$2:$A$199,MATCH(TRIM($B9),People!$B$2:$B$199,0)),IFERROR(INDEX(Teams!$A$2:$A$9,MATCH(TRIM($B9),Teams!$B$2:$B$9,0)),"?? CHECK NAME")))</f>
        <v/>
      </c>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row>
    <row r="10" spans="1:63" ht="34" customHeight="1" x14ac:dyDescent="0.2">
      <c r="A10" s="40"/>
      <c r="B10" s="24"/>
      <c r="C10" s="20" t="str">
        <f>IF(TRIM($B10)="","",IFERROR(INDEX(People!$A$2:$A$199,MATCH(TRIM($B10),People!$B$2:$B$199,0)),IFERROR(INDEX(Teams!$A$2:$A$9,MATCH(TRIM($B10),Teams!$B$2:$B$9,0)),"?? CHECK NAME")))</f>
        <v/>
      </c>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row>
    <row r="11" spans="1:63" ht="34" customHeight="1" x14ac:dyDescent="0.2">
      <c r="A11" s="40"/>
      <c r="B11" s="24"/>
      <c r="C11" s="20" t="str">
        <f>IF(TRIM($B11)="","",IFERROR(INDEX(People!$A$2:$A$199,MATCH(TRIM($B11),People!$B$2:$B$199,0)),IFERROR(INDEX(Teams!$A$2:$A$9,MATCH(TRIM($B11),Teams!$B$2:$B$9,0)),"?? CHECK NAME")))</f>
        <v/>
      </c>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row>
    <row r="12" spans="1:63" ht="34" customHeight="1" x14ac:dyDescent="0.2">
      <c r="A12" s="40"/>
      <c r="B12" s="24"/>
      <c r="C12" s="20" t="str">
        <f>IF(TRIM($B12)="","",IFERROR(INDEX(People!$A$2:$A$199,MATCH(TRIM($B12),People!$B$2:$B$199,0)),IFERROR(INDEX(Teams!$A$2:$A$9,MATCH(TRIM($B12),Teams!$B$2:$B$9,0)),"?? CHECK NAME")))</f>
        <v/>
      </c>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row>
    <row r="13" spans="1:63" ht="34" customHeight="1" x14ac:dyDescent="0.2">
      <c r="A13" s="41"/>
      <c r="B13" s="24"/>
      <c r="C13" s="20" t="str">
        <f>IF(TRIM($B13)="","",IFERROR(INDEX(People!$A$2:$A$199,MATCH(TRIM($B13),People!$B$2:$B$199,0)),IFERROR(INDEX(Teams!$A$2:$A$9,MATCH(TRIM($B13),Teams!$B$2:$B$9,0)),"?? CHECK NAME")))</f>
        <v/>
      </c>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row>
    <row r="14" spans="1:63" ht="34" customHeight="1" x14ac:dyDescent="0.2">
      <c r="A14" s="39" t="s">
        <v>231</v>
      </c>
      <c r="B14" s="24"/>
      <c r="C14" s="20" t="str">
        <f>IF(TRIM($B14)="","",IFERROR(INDEX(People!$A$2:$A$199,MATCH(TRIM($B14),People!$B$2:$B$199,0)),IFERROR(INDEX(Teams!$A$2:$A$9,MATCH(TRIM($B14),Teams!$B$2:$B$9,0)),"?? CHECK NAME")))</f>
        <v/>
      </c>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row>
    <row r="15" spans="1:63" ht="34" customHeight="1" x14ac:dyDescent="0.2">
      <c r="A15" s="40"/>
      <c r="B15" s="24"/>
      <c r="C15" s="20" t="str">
        <f>IF(TRIM($B15)="","",IFERROR(INDEX(People!$A$2:$A$199,MATCH(TRIM($B15),People!$B$2:$B$199,0)),IFERROR(INDEX(Teams!$A$2:$A$9,MATCH(TRIM($B15),Teams!$B$2:$B$9,0)),"?? CHECK NAME")))</f>
        <v/>
      </c>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row>
    <row r="16" spans="1:63" ht="34" customHeight="1" x14ac:dyDescent="0.2">
      <c r="A16" s="40"/>
      <c r="B16" s="24"/>
      <c r="C16" s="20" t="str">
        <f>IF(TRIM($B16)="","",IFERROR(INDEX(People!$A$2:$A$199,MATCH(TRIM($B16),People!$B$2:$B$199,0)),IFERROR(INDEX(Teams!$A$2:$A$9,MATCH(TRIM($B16),Teams!$B$2:$B$9,0)),"?? CHECK NAME")))</f>
        <v/>
      </c>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row>
    <row r="17" spans="1:63" ht="34" customHeight="1" x14ac:dyDescent="0.2">
      <c r="A17" s="40"/>
      <c r="B17" s="24"/>
      <c r="C17" s="20" t="str">
        <f>IF(TRIM($B17)="","",IFERROR(INDEX(People!$A$2:$A$199,MATCH(TRIM($B17),People!$B$2:$B$199,0)),IFERROR(INDEX(Teams!$A$2:$A$9,MATCH(TRIM($B17),Teams!$B$2:$B$9,0)),"?? CHECK NAME")))</f>
        <v/>
      </c>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row>
    <row r="18" spans="1:63" ht="34" customHeight="1" x14ac:dyDescent="0.2">
      <c r="A18" s="41"/>
      <c r="B18" s="24"/>
      <c r="C18" s="20" t="str">
        <f>IF(TRIM($B18)="","",IFERROR(INDEX(People!$A$2:$A$199,MATCH(TRIM($B18),People!$B$2:$B$199,0)),IFERROR(INDEX(Teams!$A$2:$A$9,MATCH(TRIM($B18),Teams!$B$2:$B$9,0)),"?? CHECK NAME")))</f>
        <v/>
      </c>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row>
    <row r="19" spans="1:63" ht="34" customHeight="1" x14ac:dyDescent="0.2">
      <c r="A19" s="39" t="s">
        <v>232</v>
      </c>
      <c r="B19" s="24"/>
      <c r="C19" s="20" t="str">
        <f>IF(TRIM($B19)="","",IFERROR(INDEX(People!$A$2:$A$199,MATCH(TRIM($B19),People!$B$2:$B$199,0)),IFERROR(INDEX(Teams!$A$2:$A$9,MATCH(TRIM($B19),Teams!$B$2:$B$9,0)),"?? CHECK NAME")))</f>
        <v/>
      </c>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row>
    <row r="20" spans="1:63" ht="34" customHeight="1" x14ac:dyDescent="0.2">
      <c r="A20" s="40"/>
      <c r="B20" s="24"/>
      <c r="C20" s="20" t="str">
        <f>IF(TRIM($B20)="","",IFERROR(INDEX(People!$A$2:$A$199,MATCH(TRIM($B20),People!$B$2:$B$199,0)),IFERROR(INDEX(Teams!$A$2:$A$9,MATCH(TRIM($B20),Teams!$B$2:$B$9,0)),"?? CHECK NAME")))</f>
        <v/>
      </c>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row>
    <row r="21" spans="1:63" ht="34" customHeight="1" x14ac:dyDescent="0.2">
      <c r="A21" s="40"/>
      <c r="B21" s="24"/>
      <c r="C21" s="20" t="str">
        <f>IF(TRIM($B21)="","",IFERROR(INDEX(People!$A$2:$A$199,MATCH(TRIM($B21),People!$B$2:$B$199,0)),IFERROR(INDEX(Teams!$A$2:$A$9,MATCH(TRIM($B21),Teams!$B$2:$B$9,0)),"?? CHECK NAME")))</f>
        <v/>
      </c>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row>
    <row r="22" spans="1:63" ht="34" customHeight="1" x14ac:dyDescent="0.2">
      <c r="A22" s="40"/>
      <c r="B22" s="24"/>
      <c r="C22" s="20" t="str">
        <f>IF(TRIM($B22)="","",IFERROR(INDEX(People!$A$2:$A$199,MATCH(TRIM($B22),People!$B$2:$B$199,0)),IFERROR(INDEX(Teams!$A$2:$A$9,MATCH(TRIM($B22),Teams!$B$2:$B$9,0)),"?? CHECK NAME")))</f>
        <v/>
      </c>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row>
    <row r="23" spans="1:63" ht="34" customHeight="1" x14ac:dyDescent="0.2">
      <c r="A23" s="41"/>
      <c r="B23" s="24"/>
      <c r="C23" s="20" t="str">
        <f>IF(TRIM($B23)="","",IFERROR(INDEX(People!$A$2:$A$199,MATCH(TRIM($B23),People!$B$2:$B$199,0)),IFERROR(INDEX(Teams!$A$2:$A$9,MATCH(TRIM($B23),Teams!$B$2:$B$9,0)),"?? CHECK NAME")))</f>
        <v/>
      </c>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row>
    <row r="24" spans="1:63" ht="34" customHeight="1" x14ac:dyDescent="0.2">
      <c r="A24" s="39" t="s">
        <v>233</v>
      </c>
      <c r="B24" s="24"/>
      <c r="C24" s="20" t="str">
        <f>IF(TRIM($B24)="","",IFERROR(INDEX(People!$A$2:$A$199,MATCH(TRIM($B24),People!$B$2:$B$199,0)),IFERROR(INDEX(Teams!$A$2:$A$9,MATCH(TRIM($B24),Teams!$B$2:$B$9,0)),"?? CHECK NAME")))</f>
        <v/>
      </c>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row>
    <row r="25" spans="1:63" ht="34" customHeight="1" x14ac:dyDescent="0.2">
      <c r="A25" s="40"/>
      <c r="B25" s="24"/>
      <c r="C25" s="20" t="str">
        <f>IF(TRIM($B25)="","",IFERROR(INDEX(People!$A$2:$A$199,MATCH(TRIM($B25),People!$B$2:$B$199,0)),IFERROR(INDEX(Teams!$A$2:$A$9,MATCH(TRIM($B25),Teams!$B$2:$B$9,0)),"?? CHECK NAME")))</f>
        <v/>
      </c>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row>
    <row r="26" spans="1:63" ht="34" customHeight="1" x14ac:dyDescent="0.2">
      <c r="A26" s="40"/>
      <c r="B26" s="24"/>
      <c r="C26" s="20" t="str">
        <f>IF(TRIM($B26)="","",IFERROR(INDEX(People!$A$2:$A$199,MATCH(TRIM($B26),People!$B$2:$B$199,0)),IFERROR(INDEX(Teams!$A$2:$A$9,MATCH(TRIM($B26),Teams!$B$2:$B$9,0)),"?? CHECK NAME")))</f>
        <v/>
      </c>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row>
    <row r="27" spans="1:63" ht="34" customHeight="1" x14ac:dyDescent="0.2">
      <c r="A27" s="40"/>
      <c r="B27" s="24"/>
      <c r="C27" s="20" t="str">
        <f>IF(TRIM($B27)="","",IFERROR(INDEX(People!$A$2:$A$199,MATCH(TRIM($B27),People!$B$2:$B$199,0)),IFERROR(INDEX(Teams!$A$2:$A$9,MATCH(TRIM($B27),Teams!$B$2:$B$9,0)),"?? CHECK NAME")))</f>
        <v/>
      </c>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row>
    <row r="28" spans="1:63" ht="34" customHeight="1" x14ac:dyDescent="0.2">
      <c r="A28" s="41"/>
      <c r="B28" s="24"/>
      <c r="C28" s="20" t="str">
        <f>IF(TRIM($B28)="","",IFERROR(INDEX(People!$A$2:$A$199,MATCH(TRIM($B28),People!$B$2:$B$199,0)),IFERROR(INDEX(Teams!$A$2:$A$9,MATCH(TRIM($B28),Teams!$B$2:$B$9,0)),"?? CHECK NAME")))</f>
        <v/>
      </c>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row>
    <row r="29" spans="1:63" ht="34" customHeight="1" x14ac:dyDescent="0.2">
      <c r="A29" s="39" t="s">
        <v>234</v>
      </c>
      <c r="B29" s="24"/>
      <c r="C29" s="20" t="str">
        <f>IF(TRIM($B29)="","",IFERROR(INDEX(People!$A$2:$A$199,MATCH(TRIM($B29),People!$B$2:$B$199,0)),IFERROR(INDEX(Teams!$A$2:$A$9,MATCH(TRIM($B29),Teams!$B$2:$B$9,0)),"?? CHECK NAME")))</f>
        <v/>
      </c>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row>
    <row r="30" spans="1:63" ht="34" customHeight="1" x14ac:dyDescent="0.2">
      <c r="A30" s="40"/>
      <c r="B30" s="24"/>
      <c r="C30" s="20" t="str">
        <f>IF(TRIM($B30)="","",IFERROR(INDEX(People!$A$2:$A$199,MATCH(TRIM($B30),People!$B$2:$B$199,0)),IFERROR(INDEX(Teams!$A$2:$A$9,MATCH(TRIM($B30),Teams!$B$2:$B$9,0)),"?? CHECK NAME")))</f>
        <v/>
      </c>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row>
    <row r="31" spans="1:63" ht="34" customHeight="1" x14ac:dyDescent="0.2">
      <c r="A31" s="40"/>
      <c r="B31" s="24"/>
      <c r="C31" s="20" t="str">
        <f>IF(TRIM($B31)="","",IFERROR(INDEX(People!$A$2:$A$199,MATCH(TRIM($B31),People!$B$2:$B$199,0)),IFERROR(INDEX(Teams!$A$2:$A$9,MATCH(TRIM($B31),Teams!$B$2:$B$9,0)),"?? CHECK NAME")))</f>
        <v/>
      </c>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row>
    <row r="32" spans="1:63" ht="34" customHeight="1" x14ac:dyDescent="0.2">
      <c r="A32" s="40"/>
      <c r="B32" s="24"/>
      <c r="C32" s="20" t="str">
        <f>IF(TRIM($B32)="","",IFERROR(INDEX(People!$A$2:$A$199,MATCH(TRIM($B32),People!$B$2:$B$199,0)),IFERROR(INDEX(Teams!$A$2:$A$9,MATCH(TRIM($B32),Teams!$B$2:$B$9,0)),"?? CHECK NAME")))</f>
        <v/>
      </c>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row>
    <row r="33" spans="1:63" ht="34" customHeight="1" x14ac:dyDescent="0.2">
      <c r="A33" s="41"/>
      <c r="B33" s="24"/>
      <c r="C33" s="20" t="str">
        <f>IF(TRIM($B33)="","",IFERROR(INDEX(People!$A$2:$A$199,MATCH(TRIM($B33),People!$B$2:$B$199,0)),IFERROR(INDEX(Teams!$A$2:$A$9,MATCH(TRIM($B33),Teams!$B$2:$B$9,0)),"?? CHECK NAME")))</f>
        <v/>
      </c>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row>
    <row r="34" spans="1:63" ht="34" customHeight="1" x14ac:dyDescent="0.2">
      <c r="A34" s="39" t="s">
        <v>235</v>
      </c>
      <c r="B34" s="24"/>
      <c r="C34" s="20" t="str">
        <f>IF(TRIM($B34)="","",IFERROR(INDEX(People!$A$2:$A$199,MATCH(TRIM($B34),People!$B$2:$B$199,0)),IFERROR(INDEX(Teams!$A$2:$A$9,MATCH(TRIM($B34),Teams!$B$2:$B$9,0)),"?? CHECK NAME")))</f>
        <v/>
      </c>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row>
    <row r="35" spans="1:63" ht="34" customHeight="1" x14ac:dyDescent="0.2">
      <c r="A35" s="40"/>
      <c r="B35" s="24"/>
      <c r="C35" s="20" t="str">
        <f>IF(TRIM($B35)="","",IFERROR(INDEX(People!$A$2:$A$199,MATCH(TRIM($B35),People!$B$2:$B$199,0)),IFERROR(INDEX(Teams!$A$2:$A$9,MATCH(TRIM($B35),Teams!$B$2:$B$9,0)),"?? CHECK NAME")))</f>
        <v/>
      </c>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row>
    <row r="36" spans="1:63" ht="34" customHeight="1" x14ac:dyDescent="0.2">
      <c r="A36" s="40"/>
      <c r="B36" s="24"/>
      <c r="C36" s="20" t="str">
        <f>IF(TRIM($B36)="","",IFERROR(INDEX(People!$A$2:$A$199,MATCH(TRIM($B36),People!$B$2:$B$199,0)),IFERROR(INDEX(Teams!$A$2:$A$9,MATCH(TRIM($B36),Teams!$B$2:$B$9,0)),"?? CHECK NAME")))</f>
        <v/>
      </c>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row>
    <row r="37" spans="1:63" ht="34" customHeight="1" x14ac:dyDescent="0.2">
      <c r="A37" s="40"/>
      <c r="B37" s="24"/>
      <c r="C37" s="20" t="str">
        <f>IF(TRIM($B37)="","",IFERROR(INDEX(People!$A$2:$A$199,MATCH(TRIM($B37),People!$B$2:$B$199,0)),IFERROR(INDEX(Teams!$A$2:$A$9,MATCH(TRIM($B37),Teams!$B$2:$B$9,0)),"?? CHECK NAME")))</f>
        <v/>
      </c>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row>
    <row r="38" spans="1:63" ht="34" customHeight="1" x14ac:dyDescent="0.2">
      <c r="A38" s="41"/>
      <c r="B38" s="24"/>
      <c r="C38" s="20" t="str">
        <f>IF(TRIM($B38)="","",IFERROR(INDEX(People!$A$2:$A$199,MATCH(TRIM($B38),People!$B$2:$B$199,0)),IFERROR(INDEX(Teams!$A$2:$A$9,MATCH(TRIM($B38),Teams!$B$2:$B$9,0)),"?? CHECK NAME")))</f>
        <v/>
      </c>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row>
    <row r="39" spans="1:63" ht="34" customHeight="1" x14ac:dyDescent="0.2">
      <c r="A39" s="39" t="s">
        <v>236</v>
      </c>
      <c r="B39" s="24"/>
      <c r="C39" s="20" t="str">
        <f>IF(TRIM($B39)="","",IFERROR(INDEX(People!$A$2:$A$199,MATCH(TRIM($B39),People!$B$2:$B$199,0)),IFERROR(INDEX(Teams!$A$2:$A$9,MATCH(TRIM($B39),Teams!$B$2:$B$9,0)),"?? CHECK NAME")))</f>
        <v/>
      </c>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row>
    <row r="40" spans="1:63" ht="34" customHeight="1" x14ac:dyDescent="0.2">
      <c r="A40" s="40"/>
      <c r="B40" s="24"/>
      <c r="C40" s="20" t="str">
        <f>IF(TRIM($B40)="","",IFERROR(INDEX(People!$A$2:$A$199,MATCH(TRIM($B40),People!$B$2:$B$199,0)),IFERROR(INDEX(Teams!$A$2:$A$9,MATCH(TRIM($B40),Teams!$B$2:$B$9,0)),"?? CHECK NAME")))</f>
        <v/>
      </c>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row>
    <row r="41" spans="1:63" ht="34" customHeight="1" x14ac:dyDescent="0.2">
      <c r="A41" s="40"/>
      <c r="B41" s="24"/>
      <c r="C41" s="20" t="str">
        <f>IF(TRIM($B41)="","",IFERROR(INDEX(People!$A$2:$A$199,MATCH(TRIM($B41),People!$B$2:$B$199,0)),IFERROR(INDEX(Teams!$A$2:$A$9,MATCH(TRIM($B41),Teams!$B$2:$B$9,0)),"?? CHECK NAME")))</f>
        <v/>
      </c>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row>
    <row r="42" spans="1:63" ht="34" customHeight="1" x14ac:dyDescent="0.2">
      <c r="A42" s="40"/>
      <c r="B42" s="24"/>
      <c r="C42" s="20" t="str">
        <f>IF(TRIM($B42)="","",IFERROR(INDEX(People!$A$2:$A$199,MATCH(TRIM($B42),People!$B$2:$B$199,0)),IFERROR(INDEX(Teams!$A$2:$A$9,MATCH(TRIM($B42),Teams!$B$2:$B$9,0)),"?? CHECK NAME")))</f>
        <v/>
      </c>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row>
    <row r="43" spans="1:63" ht="34" customHeight="1" x14ac:dyDescent="0.2">
      <c r="A43" s="41"/>
      <c r="B43" s="24"/>
      <c r="C43" s="20" t="str">
        <f>IF(TRIM($B43)="","",IFERROR(INDEX(People!$A$2:$A$199,MATCH(TRIM($B43),People!$B$2:$B$199,0)),IFERROR(INDEX(Teams!$A$2:$A$9,MATCH(TRIM($B43),Teams!$B$2:$B$9,0)),"?? CHECK NAME")))</f>
        <v/>
      </c>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row>
    <row r="44" spans="1:63" ht="34" customHeight="1" x14ac:dyDescent="0.2">
      <c r="A44" s="39" t="s">
        <v>178</v>
      </c>
      <c r="B44" s="24"/>
      <c r="C44" s="20" t="str">
        <f>IF(TRIM($B44)="","",IFERROR(INDEX(People!$A$2:$A$199,MATCH(TRIM($B44),People!$B$2:$B$199,0)),IFERROR(INDEX(Teams!$A$2:$A$9,MATCH(TRIM($B44),Teams!$B$2:$B$9,0)),"?? CHECK NAME")))</f>
        <v/>
      </c>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row>
    <row r="45" spans="1:63" ht="34" customHeight="1" x14ac:dyDescent="0.2">
      <c r="A45" s="40"/>
      <c r="B45" s="24"/>
      <c r="C45" s="20" t="str">
        <f>IF(TRIM($B45)="","",IFERROR(INDEX(People!$A$2:$A$199,MATCH(TRIM($B45),People!$B$2:$B$199,0)),IFERROR(INDEX(Teams!$A$2:$A$9,MATCH(TRIM($B45),Teams!$B$2:$B$9,0)),"?? CHECK NAME")))</f>
        <v/>
      </c>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row>
    <row r="46" spans="1:63" ht="34" customHeight="1" x14ac:dyDescent="0.2">
      <c r="A46" s="40"/>
      <c r="B46" s="24"/>
      <c r="C46" s="20" t="str">
        <f>IF(TRIM($B46)="","",IFERROR(INDEX(People!$A$2:$A$199,MATCH(TRIM($B46),People!$B$2:$B$199,0)),IFERROR(INDEX(Teams!$A$2:$A$9,MATCH(TRIM($B46),Teams!$B$2:$B$9,0)),"?? CHECK NAME")))</f>
        <v/>
      </c>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row>
    <row r="47" spans="1:63" ht="34" customHeight="1" x14ac:dyDescent="0.2">
      <c r="A47" s="40"/>
      <c r="B47" s="24"/>
      <c r="C47" s="20" t="str">
        <f>IF(TRIM($B47)="","",IFERROR(INDEX(People!$A$2:$A$199,MATCH(TRIM($B47),People!$B$2:$B$199,0)),IFERROR(INDEX(Teams!$A$2:$A$9,MATCH(TRIM($B47),Teams!$B$2:$B$9,0)),"?? CHECK NAME")))</f>
        <v/>
      </c>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row>
    <row r="48" spans="1:63" ht="34" customHeight="1" x14ac:dyDescent="0.2">
      <c r="A48" s="41"/>
      <c r="B48" s="24"/>
      <c r="C48" s="20" t="str">
        <f>IF(TRIM($B48)="","",IFERROR(INDEX(People!$A$2:$A$199,MATCH(TRIM($B48),People!$B$2:$B$199,0)),IFERROR(INDEX(Teams!$A$2:$A$9,MATCH(TRIM($B48),Teams!$B$2:$B$9,0)),"?? CHECK NAME")))</f>
        <v/>
      </c>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row>
    <row r="49" spans="1:63" ht="34" customHeight="1" x14ac:dyDescent="0.2">
      <c r="A49" s="39" t="s">
        <v>172</v>
      </c>
      <c r="B49" s="24"/>
      <c r="C49" s="20" t="str">
        <f>IF(TRIM($B49)="","",IFERROR(INDEX(People!$A$2:$A$199,MATCH(TRIM($B49),People!$B$2:$B$199,0)),IFERROR(INDEX(Teams!$A$2:$A$9,MATCH(TRIM($B49),Teams!$B$2:$B$9,0)),"?? CHECK NAME")))</f>
        <v/>
      </c>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row>
    <row r="50" spans="1:63" ht="34" customHeight="1" x14ac:dyDescent="0.2">
      <c r="A50" s="40"/>
      <c r="B50" s="24"/>
      <c r="C50" s="20" t="str">
        <f>IF(TRIM($B50)="","",IFERROR(INDEX(People!$A$2:$A$199,MATCH(TRIM($B50),People!$B$2:$B$199,0)),IFERROR(INDEX(Teams!$A$2:$A$9,MATCH(TRIM($B50),Teams!$B$2:$B$9,0)),"?? CHECK NAME")))</f>
        <v/>
      </c>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row>
    <row r="51" spans="1:63" ht="34" customHeight="1" x14ac:dyDescent="0.2">
      <c r="A51" s="40"/>
      <c r="B51" s="24"/>
      <c r="C51" s="20" t="str">
        <f>IF(TRIM($B51)="","",IFERROR(INDEX(People!$A$2:$A$199,MATCH(TRIM($B51),People!$B$2:$B$199,0)),IFERROR(INDEX(Teams!$A$2:$A$9,MATCH(TRIM($B51),Teams!$B$2:$B$9,0)),"?? CHECK NAME")))</f>
        <v/>
      </c>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row>
    <row r="52" spans="1:63" ht="34" customHeight="1" x14ac:dyDescent="0.2">
      <c r="A52" s="40"/>
      <c r="B52" s="24"/>
      <c r="C52" s="20" t="str">
        <f>IF(TRIM($B52)="","",IFERROR(INDEX(People!$A$2:$A$199,MATCH(TRIM($B52),People!$B$2:$B$199,0)),IFERROR(INDEX(Teams!$A$2:$A$9,MATCH(TRIM($B52),Teams!$B$2:$B$9,0)),"?? CHECK NAME")))</f>
        <v/>
      </c>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row>
    <row r="53" spans="1:63" ht="34" customHeight="1" x14ac:dyDescent="0.2">
      <c r="A53" s="41"/>
      <c r="B53" s="24"/>
      <c r="C53" s="20" t="str">
        <f>IF(TRIM($B53)="","",IFERROR(INDEX(People!$A$2:$A$199,MATCH(TRIM($B53),People!$B$2:$B$199,0)),IFERROR(INDEX(Teams!$A$2:$A$9,MATCH(TRIM($B53),Teams!$B$2:$B$9,0)),"?? CHECK NAME")))</f>
        <v/>
      </c>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row>
    <row r="54" spans="1:63" ht="34" customHeight="1" x14ac:dyDescent="0.2">
      <c r="A54" s="39" t="s">
        <v>237</v>
      </c>
      <c r="B54" s="24"/>
      <c r="C54" s="20" t="str">
        <f>IF(TRIM($B54)="","",IFERROR(INDEX(People!$A$2:$A$199,MATCH(TRIM($B54),People!$B$2:$B$199,0)),IFERROR(INDEX(Teams!$A$2:$A$9,MATCH(TRIM($B54),Teams!$B$2:$B$9,0)),"?? CHECK NAME")))</f>
        <v/>
      </c>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row>
    <row r="55" spans="1:63" ht="34" customHeight="1" x14ac:dyDescent="0.2">
      <c r="A55" s="40"/>
      <c r="B55" s="24"/>
      <c r="C55" s="20" t="str">
        <f>IF(TRIM($B55)="","",IFERROR(INDEX(People!$A$2:$A$199,MATCH(TRIM($B55),People!$B$2:$B$199,0)),IFERROR(INDEX(Teams!$A$2:$A$9,MATCH(TRIM($B55),Teams!$B$2:$B$9,0)),"?? CHECK NAME")))</f>
        <v/>
      </c>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row>
    <row r="56" spans="1:63" ht="34" customHeight="1" x14ac:dyDescent="0.2">
      <c r="A56" s="40"/>
      <c r="B56" s="24"/>
      <c r="C56" s="20" t="str">
        <f>IF(TRIM($B56)="","",IFERROR(INDEX(People!$A$2:$A$199,MATCH(TRIM($B56),People!$B$2:$B$199,0)),IFERROR(INDEX(Teams!$A$2:$A$9,MATCH(TRIM($B56),Teams!$B$2:$B$9,0)),"?? CHECK NAME")))</f>
        <v/>
      </c>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row>
    <row r="57" spans="1:63" ht="34" customHeight="1" x14ac:dyDescent="0.2">
      <c r="A57" s="40"/>
      <c r="B57" s="24"/>
      <c r="C57" s="20" t="str">
        <f>IF(TRIM($B57)="","",IFERROR(INDEX(People!$A$2:$A$199,MATCH(TRIM($B57),People!$B$2:$B$199,0)),IFERROR(INDEX(Teams!$A$2:$A$9,MATCH(TRIM($B57),Teams!$B$2:$B$9,0)),"?? CHECK NAME")))</f>
        <v/>
      </c>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row>
    <row r="58" spans="1:63" ht="34" customHeight="1" x14ac:dyDescent="0.2">
      <c r="A58" s="41"/>
      <c r="B58" s="24"/>
      <c r="C58" s="20" t="str">
        <f>IF(TRIM($B58)="","",IFERROR(INDEX(People!$A$2:$A$199,MATCH(TRIM($B58),People!$B$2:$B$199,0)),IFERROR(INDEX(Teams!$A$2:$A$9,MATCH(TRIM($B58),Teams!$B$2:$B$9,0)),"?? CHECK NAME")))</f>
        <v/>
      </c>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row>
    <row r="59" spans="1:63" ht="34" customHeight="1" x14ac:dyDescent="0.2">
      <c r="A59" s="39" t="s">
        <v>238</v>
      </c>
      <c r="B59" s="24"/>
      <c r="C59" s="20" t="str">
        <f>IF(TRIM($B59)="","",IFERROR(INDEX(People!$A$2:$A$199,MATCH(TRIM($B59),People!$B$2:$B$199,0)),IFERROR(INDEX(Teams!$A$2:$A$9,MATCH(TRIM($B59),Teams!$B$2:$B$9,0)),"?? CHECK NAME")))</f>
        <v/>
      </c>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row>
    <row r="60" spans="1:63" ht="34" customHeight="1" x14ac:dyDescent="0.2">
      <c r="A60" s="40"/>
      <c r="B60" s="24"/>
      <c r="C60" s="20" t="str">
        <f>IF(TRIM($B60)="","",IFERROR(INDEX(People!$A$2:$A$199,MATCH(TRIM($B60),People!$B$2:$B$199,0)),IFERROR(INDEX(Teams!$A$2:$A$9,MATCH(TRIM($B60),Teams!$B$2:$B$9,0)),"?? CHECK NAME")))</f>
        <v/>
      </c>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row>
    <row r="61" spans="1:63" ht="34" customHeight="1" x14ac:dyDescent="0.2">
      <c r="A61" s="40"/>
      <c r="B61" s="24"/>
      <c r="C61" s="20" t="str">
        <f>IF(TRIM($B61)="","",IFERROR(INDEX(People!$A$2:$A$199,MATCH(TRIM($B61),People!$B$2:$B$199,0)),IFERROR(INDEX(Teams!$A$2:$A$9,MATCH(TRIM($B61),Teams!$B$2:$B$9,0)),"?? CHECK NAME")))</f>
        <v/>
      </c>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c r="BJ61" s="25"/>
      <c r="BK61" s="25"/>
    </row>
    <row r="62" spans="1:63" ht="34" customHeight="1" x14ac:dyDescent="0.2">
      <c r="A62" s="40"/>
      <c r="B62" s="24"/>
      <c r="C62" s="20" t="str">
        <f>IF(TRIM($B62)="","",IFERROR(INDEX(People!$A$2:$A$199,MATCH(TRIM($B62),People!$B$2:$B$199,0)),IFERROR(INDEX(Teams!$A$2:$A$9,MATCH(TRIM($B62),Teams!$B$2:$B$9,0)),"?? CHECK NAME")))</f>
        <v/>
      </c>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row>
    <row r="63" spans="1:63" ht="34" customHeight="1" x14ac:dyDescent="0.2">
      <c r="A63" s="41"/>
      <c r="B63" s="24"/>
      <c r="C63" s="20" t="str">
        <f>IF(TRIM($B63)="","",IFERROR(INDEX(People!$A$2:$A$199,MATCH(TRIM($B63),People!$B$2:$B$199,0)),IFERROR(INDEX(Teams!$A$2:$A$9,MATCH(TRIM($B63),Teams!$B$2:$B$9,0)),"?? CHECK NAME")))</f>
        <v/>
      </c>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row>
    <row r="64" spans="1:63" ht="34" customHeight="1" x14ac:dyDescent="0.2">
      <c r="A64" s="39" t="s">
        <v>239</v>
      </c>
      <c r="B64" s="24"/>
      <c r="C64" s="20" t="str">
        <f>IF(TRIM($B64)="","",IFERROR(INDEX(People!$A$2:$A$199,MATCH(TRIM($B64),People!$B$2:$B$199,0)),IFERROR(INDEX(Teams!$A$2:$A$9,MATCH(TRIM($B64),Teams!$B$2:$B$9,0)),"?? CHECK NAME")))</f>
        <v/>
      </c>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c r="BD64" s="25"/>
      <c r="BE64" s="25"/>
      <c r="BF64" s="25"/>
      <c r="BG64" s="25"/>
      <c r="BH64" s="25"/>
      <c r="BI64" s="25"/>
      <c r="BJ64" s="25"/>
      <c r="BK64" s="25"/>
    </row>
    <row r="65" spans="1:63" ht="34" customHeight="1" x14ac:dyDescent="0.2">
      <c r="A65" s="40"/>
      <c r="B65" s="24"/>
      <c r="C65" s="20" t="str">
        <f>IF(TRIM($B65)="","",IFERROR(INDEX(People!$A$2:$A$199,MATCH(TRIM($B65),People!$B$2:$B$199,0)),IFERROR(INDEX(Teams!$A$2:$A$9,MATCH(TRIM($B65),Teams!$B$2:$B$9,0)),"?? CHECK NAME")))</f>
        <v/>
      </c>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row>
    <row r="66" spans="1:63" ht="34" customHeight="1" x14ac:dyDescent="0.2">
      <c r="A66" s="40"/>
      <c r="B66" s="24"/>
      <c r="C66" s="20" t="str">
        <f>IF(TRIM($B66)="","",IFERROR(INDEX(People!$A$2:$A$199,MATCH(TRIM($B66),People!$B$2:$B$199,0)),IFERROR(INDEX(Teams!$A$2:$A$9,MATCH(TRIM($B66),Teams!$B$2:$B$9,0)),"?? CHECK NAME")))</f>
        <v/>
      </c>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row>
    <row r="67" spans="1:63" ht="34" customHeight="1" x14ac:dyDescent="0.2">
      <c r="A67" s="40"/>
      <c r="B67" s="24"/>
      <c r="C67" s="20" t="str">
        <f>IF(TRIM($B67)="","",IFERROR(INDEX(People!$A$2:$A$199,MATCH(TRIM($B67),People!$B$2:$B$199,0)),IFERROR(INDEX(Teams!$A$2:$A$9,MATCH(TRIM($B67),Teams!$B$2:$B$9,0)),"?? CHECK NAME")))</f>
        <v/>
      </c>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row>
    <row r="68" spans="1:63" ht="34" customHeight="1" x14ac:dyDescent="0.2">
      <c r="A68" s="41"/>
      <c r="B68" s="24"/>
      <c r="C68" s="20" t="str">
        <f>IF(TRIM($B68)="","",IFERROR(INDEX(People!$A$2:$A$199,MATCH(TRIM($B68),People!$B$2:$B$199,0)),IFERROR(INDEX(Teams!$A$2:$A$9,MATCH(TRIM($B68),Teams!$B$2:$B$9,0)),"?? CHECK NAME")))</f>
        <v/>
      </c>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row>
    <row r="69" spans="1:63" ht="18" customHeight="1" x14ac:dyDescent="0.2">
      <c r="A69" s="43" t="s">
        <v>240</v>
      </c>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5"/>
    </row>
    <row r="70" spans="1:63" ht="34" customHeight="1" x14ac:dyDescent="0.2">
      <c r="A70" s="10" t="s">
        <v>144</v>
      </c>
      <c r="B70" s="26" t="s">
        <v>158</v>
      </c>
      <c r="C70" s="20" t="str">
        <f>IF(TRIM($B70)="","",IFERROR(INDEX(People!$A$2:$A$199,MATCH(TRIM($B70),People!$B$2:$B$199,0)),IFERROR(INDEX(Teams!$A$2:$A$9,MATCH(TRIM($B70),Teams!$B$2:$B$9,0)),"?? CHECK NAME")))</f>
        <v>TM-UNC</v>
      </c>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row>
    <row r="71" spans="1:63" ht="34" customHeight="1" x14ac:dyDescent="0.2">
      <c r="A71" s="10" t="s">
        <v>144</v>
      </c>
      <c r="B71" s="26" t="s">
        <v>193</v>
      </c>
      <c r="C71" s="20" t="str">
        <f>IF(TRIM($B71)="","",IFERROR(INDEX(People!$A$2:$A$199,MATCH(TRIM($B71),People!$B$2:$B$199,0)),IFERROR(INDEX(Teams!$A$2:$A$9,MATCH(TRIM($B71),Teams!$B$2:$B$9,0)),"?? CHECK NAME")))</f>
        <v>TM-ILL</v>
      </c>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row>
    <row r="72" spans="1:63" ht="34" customHeight="1" x14ac:dyDescent="0.2">
      <c r="A72" s="10" t="s">
        <v>144</v>
      </c>
      <c r="B72" s="26" t="s">
        <v>196</v>
      </c>
      <c r="C72" s="20" t="str">
        <f>IF(TRIM($B72)="","",IFERROR(INDEX(People!$A$2:$A$199,MATCH(TRIM($B72),People!$B$2:$B$199,0)),IFERROR(INDEX(Teams!$A$2:$A$9,MATCH(TRIM($B72),Teams!$B$2:$B$9,0)),"?? CHECK NAME")))</f>
        <v>TM-UTD</v>
      </c>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row>
    <row r="73" spans="1:63" ht="34" customHeight="1" x14ac:dyDescent="0.2">
      <c r="A73" s="10" t="s">
        <v>144</v>
      </c>
      <c r="B73" s="26" t="s">
        <v>199</v>
      </c>
      <c r="C73" s="20" t="str">
        <f>IF(TRIM($B73)="","",IFERROR(INDEX(People!$A$2:$A$199,MATCH(TRIM($B73),People!$B$2:$B$199,0)),IFERROR(INDEX(Teams!$A$2:$A$9,MATCH(TRIM($B73),Teams!$B$2:$B$9,0)),"?? CHECK NAME")))</f>
        <v>TM-UVA</v>
      </c>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row>
    <row r="74" spans="1:63" ht="34" customHeight="1" x14ac:dyDescent="0.2">
      <c r="A74" s="10" t="s">
        <v>144</v>
      </c>
      <c r="B74" s="26" t="s">
        <v>202</v>
      </c>
      <c r="C74" s="20" t="str">
        <f>IF(TRIM($B74)="","",IFERROR(INDEX(People!$A$2:$A$199,MATCH(TRIM($B74),People!$B$2:$B$199,0)),IFERROR(INDEX(Teams!$A$2:$A$9,MATCH(TRIM($B74),Teams!$B$2:$B$9,0)),"?? CHECK NAME")))</f>
        <v>TM-UMD</v>
      </c>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row>
    <row r="75" spans="1:63" ht="34" customHeight="1" x14ac:dyDescent="0.2">
      <c r="A75" s="10" t="s">
        <v>144</v>
      </c>
      <c r="B75" s="26" t="s">
        <v>205</v>
      </c>
      <c r="C75" s="20" t="str">
        <f>IF(TRIM($B75)="","",IFERROR(INDEX(People!$A$2:$A$199,MATCH(TRIM($B75),People!$B$2:$B$199,0)),IFERROR(INDEX(Teams!$A$2:$A$9,MATCH(TRIM($B75),Teams!$B$2:$B$9,0)),"?? CHECK NAME")))</f>
        <v>TM-UMI</v>
      </c>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row>
    <row r="76" spans="1:63" ht="34" customHeight="1" x14ac:dyDescent="0.2">
      <c r="A76" s="10" t="s">
        <v>144</v>
      </c>
      <c r="B76" s="26" t="s">
        <v>208</v>
      </c>
      <c r="C76" s="20" t="str">
        <f>IF(TRIM($B76)="","",IFERROR(INDEX(People!$A$2:$A$199,MATCH(TRIM($B76),People!$B$2:$B$199,0)),IFERROR(INDEX(Teams!$A$2:$A$9,MATCH(TRIM($B76),Teams!$B$2:$B$9,0)),"?? CHECK NAME")))</f>
        <v>TM-MSU</v>
      </c>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row>
    <row r="77" spans="1:63" ht="34" customHeight="1" x14ac:dyDescent="0.2">
      <c r="A77" s="10" t="s">
        <v>144</v>
      </c>
      <c r="B77" s="26" t="s">
        <v>211</v>
      </c>
      <c r="C77" s="20" t="str">
        <f>IF(TRIM($B77)="","",IFERROR(INDEX(People!$A$2:$A$199,MATCH(TRIM($B77),People!$B$2:$B$199,0)),IFERROR(INDEX(Teams!$A$2:$A$9,MATCH(TRIM($B77),Teams!$B$2:$B$9,0)),"?? CHECK NAME")))</f>
        <v>TM-GT</v>
      </c>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row>
    <row r="78" spans="1:63" ht="18" customHeight="1" x14ac:dyDescent="0.2">
      <c r="A78" s="43" t="s">
        <v>241</v>
      </c>
      <c r="B78" s="44"/>
      <c r="C78" s="44"/>
      <c r="D78" s="44"/>
      <c r="E78" s="44"/>
      <c r="F78" s="44"/>
      <c r="G78" s="44"/>
      <c r="H78" s="44"/>
      <c r="I78" s="44"/>
      <c r="J78" s="44"/>
      <c r="K78" s="44"/>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5"/>
    </row>
    <row r="79" spans="1:63" ht="34" customHeight="1" x14ac:dyDescent="0.2">
      <c r="A79" s="10" t="s">
        <v>242</v>
      </c>
      <c r="B79" s="11" t="s">
        <v>243</v>
      </c>
      <c r="C79" s="20" t="s">
        <v>244</v>
      </c>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c r="AV79" s="27"/>
      <c r="AW79" s="27"/>
      <c r="AX79" s="27"/>
      <c r="AY79" s="27"/>
      <c r="AZ79" s="27"/>
      <c r="BA79" s="27"/>
      <c r="BB79" s="27"/>
      <c r="BC79" s="27"/>
      <c r="BD79" s="27"/>
      <c r="BE79" s="27"/>
      <c r="BF79" s="27"/>
      <c r="BG79" s="27"/>
      <c r="BH79" s="27"/>
      <c r="BI79" s="27"/>
      <c r="BJ79" s="27"/>
      <c r="BK79" s="27"/>
    </row>
    <row r="80" spans="1:63" ht="34" customHeight="1" x14ac:dyDescent="0.2">
      <c r="A80" s="10" t="s">
        <v>245</v>
      </c>
      <c r="B80" s="11" t="s">
        <v>246</v>
      </c>
      <c r="C80" s="20" t="s">
        <v>247</v>
      </c>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row>
    <row r="81" spans="1:63" ht="34" customHeight="1" x14ac:dyDescent="0.2">
      <c r="A81" s="39" t="s">
        <v>248</v>
      </c>
      <c r="B81" s="24"/>
      <c r="C81" s="20" t="str">
        <f>IF(TRIM($B81)="","",IFERROR(INDEX(People!$A$2:$A$199,MATCH(TRIM($B81),People!$B$2:$B$199,0)),IFERROR(INDEX(Teams!$A$2:$A$9,MATCH(TRIM($B81),Teams!$B$2:$B$9,0)),"?? CHECK NAME")))</f>
        <v/>
      </c>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row>
    <row r="82" spans="1:63" ht="34" customHeight="1" x14ac:dyDescent="0.2">
      <c r="A82" s="40"/>
      <c r="B82" s="24"/>
      <c r="C82" s="20" t="str">
        <f>IF(TRIM($B82)="","",IFERROR(INDEX(People!$A$2:$A$199,MATCH(TRIM($B82),People!$B$2:$B$199,0)),IFERROR(INDEX(Teams!$A$2:$A$9,MATCH(TRIM($B82),Teams!$B$2:$B$9,0)),"?? CHECK NAME")))</f>
        <v/>
      </c>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row>
    <row r="83" spans="1:63" ht="34" customHeight="1" x14ac:dyDescent="0.2">
      <c r="A83" s="40"/>
      <c r="B83" s="24"/>
      <c r="C83" s="20" t="str">
        <f>IF(TRIM($B83)="","",IFERROR(INDEX(People!$A$2:$A$199,MATCH(TRIM($B83),People!$B$2:$B$199,0)),IFERROR(INDEX(Teams!$A$2:$A$9,MATCH(TRIM($B83),Teams!$B$2:$B$9,0)),"?? CHECK NAME")))</f>
        <v/>
      </c>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row>
    <row r="84" spans="1:63" ht="34" customHeight="1" x14ac:dyDescent="0.2">
      <c r="A84" s="40"/>
      <c r="B84" s="24"/>
      <c r="C84" s="20" t="str">
        <f>IF(TRIM($B84)="","",IFERROR(INDEX(People!$A$2:$A$199,MATCH(TRIM($B84),People!$B$2:$B$199,0)),IFERROR(INDEX(Teams!$A$2:$A$9,MATCH(TRIM($B84),Teams!$B$2:$B$9,0)),"?? CHECK NAME")))</f>
        <v/>
      </c>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row>
    <row r="85" spans="1:63" ht="34" customHeight="1" x14ac:dyDescent="0.2">
      <c r="A85" s="41"/>
      <c r="B85" s="24"/>
      <c r="C85" s="20" t="str">
        <f>IF(TRIM($B85)="","",IFERROR(INDEX(People!$A$2:$A$199,MATCH(TRIM($B85),People!$B$2:$B$199,0)),IFERROR(INDEX(Teams!$A$2:$A$9,MATCH(TRIM($B85),Teams!$B$2:$B$9,0)),"?? CHECK NAME")))</f>
        <v/>
      </c>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c r="BK85" s="25"/>
    </row>
    <row r="86" spans="1:63" ht="18" customHeight="1" x14ac:dyDescent="0.2">
      <c r="A86" s="43" t="s">
        <v>249</v>
      </c>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5"/>
    </row>
    <row r="87" spans="1:63" ht="34" customHeight="1" x14ac:dyDescent="0.2">
      <c r="A87" s="42" t="s">
        <v>158</v>
      </c>
      <c r="B87" s="28" t="str">
        <f>IFERROR(INDEX(People!$B$2:$B$199,MATCH($A$87&amp;"#"&amp;1,People!$H$2:$H$199,0)),"")</f>
        <v>Example Liaison One</v>
      </c>
      <c r="C87" s="20" t="str">
        <f>IF(TRIM($B87)="","",IFERROR(INDEX(People!$A$2:$A$199,MATCH(TRIM($B87),People!$B$2:$B$199,0)),"?? CHECK NAME"))</f>
        <v>LIA-01</v>
      </c>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row>
    <row r="88" spans="1:63" ht="34" customHeight="1" x14ac:dyDescent="0.2">
      <c r="A88" s="40"/>
      <c r="B88" s="28" t="str">
        <f>IFERROR(INDEX(People!$B$2:$B$199,MATCH($A$87&amp;"#"&amp;2,People!$H$2:$H$199,0)),"")</f>
        <v>Example Liaison Two</v>
      </c>
      <c r="C88" s="20" t="str">
        <f>IF(TRIM($B88)="","",IFERROR(INDEX(People!$A$2:$A$199,MATCH(TRIM($B88),People!$B$2:$B$199,0)),"?? CHECK NAME"))</f>
        <v>LIA-02</v>
      </c>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row>
    <row r="89" spans="1:63" ht="34" customHeight="1" x14ac:dyDescent="0.2">
      <c r="A89" s="40"/>
      <c r="B89" s="28" t="str">
        <f>IFERROR(INDEX(People!$B$2:$B$199,MATCH($A$87&amp;"#"&amp;3,People!$H$2:$H$199,0)),"")</f>
        <v>Example Liaison Three</v>
      </c>
      <c r="C89" s="20" t="str">
        <f>IF(TRIM($B89)="","",IFERROR(INDEX(People!$A$2:$A$199,MATCH(TRIM($B89),People!$B$2:$B$199,0)),"?? CHECK NAME"))</f>
        <v>LIA-03</v>
      </c>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row>
    <row r="90" spans="1:63" ht="34" customHeight="1" x14ac:dyDescent="0.2">
      <c r="A90" s="40"/>
      <c r="B90" s="28" t="str">
        <f>IFERROR(INDEX(People!$B$2:$B$199,MATCH($A$87&amp;"#"&amp;4,People!$H$2:$H$199,0)),"")</f>
        <v/>
      </c>
      <c r="C90" s="20" t="str">
        <f>IF(TRIM($B90)="","",IFERROR(INDEX(People!$A$2:$A$199,MATCH(TRIM($B90),People!$B$2:$B$199,0)),"?? CHECK NAME"))</f>
        <v/>
      </c>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5"/>
      <c r="BK90" s="25"/>
    </row>
    <row r="91" spans="1:63" ht="34" customHeight="1" x14ac:dyDescent="0.2">
      <c r="A91" s="41"/>
      <c r="B91" s="28" t="str">
        <f>IFERROR(INDEX(People!$B$2:$B$199,MATCH($A$87&amp;"#"&amp;5,People!$H$2:$H$199,0)),"")</f>
        <v/>
      </c>
      <c r="C91" s="20" t="str">
        <f>IF(TRIM($B91)="","",IFERROR(INDEX(People!$A$2:$A$199,MATCH(TRIM($B91),People!$B$2:$B$199,0)),"?? CHECK NAME"))</f>
        <v/>
      </c>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row>
    <row r="92" spans="1:63" ht="34" customHeight="1" x14ac:dyDescent="0.2">
      <c r="A92" s="42" t="s">
        <v>193</v>
      </c>
      <c r="B92" s="28" t="str">
        <f>IFERROR(INDEX(People!$B$2:$B$199,MATCH($A$92&amp;"#"&amp;1,People!$H$2:$H$199,0)),"")</f>
        <v/>
      </c>
      <c r="C92" s="20" t="str">
        <f>IF(TRIM($B92)="","",IFERROR(INDEX(People!$A$2:$A$199,MATCH(TRIM($B92),People!$B$2:$B$199,0)),"?? CHECK NAME"))</f>
        <v/>
      </c>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row>
    <row r="93" spans="1:63" ht="34" customHeight="1" x14ac:dyDescent="0.2">
      <c r="A93" s="40"/>
      <c r="B93" s="28" t="str">
        <f>IFERROR(INDEX(People!$B$2:$B$199,MATCH($A$92&amp;"#"&amp;2,People!$H$2:$H$199,0)),"")</f>
        <v/>
      </c>
      <c r="C93" s="20" t="str">
        <f>IF(TRIM($B93)="","",IFERROR(INDEX(People!$A$2:$A$199,MATCH(TRIM($B93),People!$B$2:$B$199,0)),"?? CHECK NAME"))</f>
        <v/>
      </c>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c r="BK93" s="25"/>
    </row>
    <row r="94" spans="1:63" ht="34" customHeight="1" x14ac:dyDescent="0.2">
      <c r="A94" s="40"/>
      <c r="B94" s="28" t="str">
        <f>IFERROR(INDEX(People!$B$2:$B$199,MATCH($A$92&amp;"#"&amp;3,People!$H$2:$H$199,0)),"")</f>
        <v/>
      </c>
      <c r="C94" s="20" t="str">
        <f>IF(TRIM($B94)="","",IFERROR(INDEX(People!$A$2:$A$199,MATCH(TRIM($B94),People!$B$2:$B$199,0)),"?? CHECK NAME"))</f>
        <v/>
      </c>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c r="BK94" s="25"/>
    </row>
    <row r="95" spans="1:63" ht="34" customHeight="1" x14ac:dyDescent="0.2">
      <c r="A95" s="40"/>
      <c r="B95" s="28" t="str">
        <f>IFERROR(INDEX(People!$B$2:$B$199,MATCH($A$92&amp;"#"&amp;4,People!$H$2:$H$199,0)),"")</f>
        <v/>
      </c>
      <c r="C95" s="20" t="str">
        <f>IF(TRIM($B95)="","",IFERROR(INDEX(People!$A$2:$A$199,MATCH(TRIM($B95),People!$B$2:$B$199,0)),"?? CHECK NAME"))</f>
        <v/>
      </c>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c r="BK95" s="25"/>
    </row>
    <row r="96" spans="1:63" ht="34" customHeight="1" x14ac:dyDescent="0.2">
      <c r="A96" s="41"/>
      <c r="B96" s="28" t="str">
        <f>IFERROR(INDEX(People!$B$2:$B$199,MATCH($A$92&amp;"#"&amp;5,People!$H$2:$H$199,0)),"")</f>
        <v/>
      </c>
      <c r="C96" s="20" t="str">
        <f>IF(TRIM($B96)="","",IFERROR(INDEX(People!$A$2:$A$199,MATCH(TRIM($B96),People!$B$2:$B$199,0)),"?? CHECK NAME"))</f>
        <v/>
      </c>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c r="BK96" s="25"/>
    </row>
    <row r="97" spans="1:63" ht="34" customHeight="1" x14ac:dyDescent="0.2">
      <c r="A97" s="42" t="s">
        <v>196</v>
      </c>
      <c r="B97" s="28" t="str">
        <f>IFERROR(INDEX(People!$B$2:$B$199,MATCH($A$97&amp;"#"&amp;1,People!$H$2:$H$199,0)),"")</f>
        <v/>
      </c>
      <c r="C97" s="20" t="str">
        <f>IF(TRIM($B97)="","",IFERROR(INDEX(People!$A$2:$A$199,MATCH(TRIM($B97),People!$B$2:$B$199,0)),"?? CHECK NAME"))</f>
        <v/>
      </c>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row>
    <row r="98" spans="1:63" ht="34" customHeight="1" x14ac:dyDescent="0.2">
      <c r="A98" s="40"/>
      <c r="B98" s="28" t="str">
        <f>IFERROR(INDEX(People!$B$2:$B$199,MATCH($A$97&amp;"#"&amp;2,People!$H$2:$H$199,0)),"")</f>
        <v/>
      </c>
      <c r="C98" s="20" t="str">
        <f>IF(TRIM($B98)="","",IFERROR(INDEX(People!$A$2:$A$199,MATCH(TRIM($B98),People!$B$2:$B$199,0)),"?? CHECK NAME"))</f>
        <v/>
      </c>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row>
    <row r="99" spans="1:63" ht="34" customHeight="1" x14ac:dyDescent="0.2">
      <c r="A99" s="40"/>
      <c r="B99" s="28" t="str">
        <f>IFERROR(INDEX(People!$B$2:$B$199,MATCH($A$97&amp;"#"&amp;3,People!$H$2:$H$199,0)),"")</f>
        <v/>
      </c>
      <c r="C99" s="20" t="str">
        <f>IF(TRIM($B99)="","",IFERROR(INDEX(People!$A$2:$A$199,MATCH(TRIM($B99),People!$B$2:$B$199,0)),"?? CHECK NAME"))</f>
        <v/>
      </c>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row>
    <row r="100" spans="1:63" ht="34" customHeight="1" x14ac:dyDescent="0.2">
      <c r="A100" s="40"/>
      <c r="B100" s="28" t="str">
        <f>IFERROR(INDEX(People!$B$2:$B$199,MATCH($A$97&amp;"#"&amp;4,People!$H$2:$H$199,0)),"")</f>
        <v/>
      </c>
      <c r="C100" s="20" t="str">
        <f>IF(TRIM($B100)="","",IFERROR(INDEX(People!$A$2:$A$199,MATCH(TRIM($B100),People!$B$2:$B$199,0)),"?? CHECK NAME"))</f>
        <v/>
      </c>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row>
    <row r="101" spans="1:63" ht="34" customHeight="1" x14ac:dyDescent="0.2">
      <c r="A101" s="41"/>
      <c r="B101" s="28" t="str">
        <f>IFERROR(INDEX(People!$B$2:$B$199,MATCH($A$97&amp;"#"&amp;5,People!$H$2:$H$199,0)),"")</f>
        <v/>
      </c>
      <c r="C101" s="20" t="str">
        <f>IF(TRIM($B101)="","",IFERROR(INDEX(People!$A$2:$A$199,MATCH(TRIM($B101),People!$B$2:$B$199,0)),"?? CHECK NAME"))</f>
        <v/>
      </c>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row>
    <row r="102" spans="1:63" ht="34" customHeight="1" x14ac:dyDescent="0.2">
      <c r="A102" s="42" t="s">
        <v>199</v>
      </c>
      <c r="B102" s="28" t="str">
        <f>IFERROR(INDEX(People!$B$2:$B$199,MATCH($A$102&amp;"#"&amp;1,People!$H$2:$H$199,0)),"")</f>
        <v/>
      </c>
      <c r="C102" s="20" t="str">
        <f>IF(TRIM($B102)="","",IFERROR(INDEX(People!$A$2:$A$199,MATCH(TRIM($B102),People!$B$2:$B$199,0)),"?? CHECK NAME"))</f>
        <v/>
      </c>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row>
    <row r="103" spans="1:63" ht="34" customHeight="1" x14ac:dyDescent="0.2">
      <c r="A103" s="40"/>
      <c r="B103" s="28" t="str">
        <f>IFERROR(INDEX(People!$B$2:$B$199,MATCH($A$102&amp;"#"&amp;2,People!$H$2:$H$199,0)),"")</f>
        <v/>
      </c>
      <c r="C103" s="20" t="str">
        <f>IF(TRIM($B103)="","",IFERROR(INDEX(People!$A$2:$A$199,MATCH(TRIM($B103),People!$B$2:$B$199,0)),"?? CHECK NAME"))</f>
        <v/>
      </c>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5"/>
      <c r="BJ103" s="25"/>
      <c r="BK103" s="25"/>
    </row>
    <row r="104" spans="1:63" ht="34" customHeight="1" x14ac:dyDescent="0.2">
      <c r="A104" s="40"/>
      <c r="B104" s="28" t="str">
        <f>IFERROR(INDEX(People!$B$2:$B$199,MATCH($A$102&amp;"#"&amp;3,People!$H$2:$H$199,0)),"")</f>
        <v/>
      </c>
      <c r="C104" s="20" t="str">
        <f>IF(TRIM($B104)="","",IFERROR(INDEX(People!$A$2:$A$199,MATCH(TRIM($B104),People!$B$2:$B$199,0)),"?? CHECK NAME"))</f>
        <v/>
      </c>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c r="BF104" s="25"/>
      <c r="BG104" s="25"/>
      <c r="BH104" s="25"/>
      <c r="BI104" s="25"/>
      <c r="BJ104" s="25"/>
      <c r="BK104" s="25"/>
    </row>
    <row r="105" spans="1:63" ht="34" customHeight="1" x14ac:dyDescent="0.2">
      <c r="A105" s="40"/>
      <c r="B105" s="28" t="str">
        <f>IFERROR(INDEX(People!$B$2:$B$199,MATCH($A$102&amp;"#"&amp;4,People!$H$2:$H$199,0)),"")</f>
        <v/>
      </c>
      <c r="C105" s="20" t="str">
        <f>IF(TRIM($B105)="","",IFERROR(INDEX(People!$A$2:$A$199,MATCH(TRIM($B105),People!$B$2:$B$199,0)),"?? CHECK NAME"))</f>
        <v/>
      </c>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c r="BK105" s="25"/>
    </row>
    <row r="106" spans="1:63" ht="34" customHeight="1" x14ac:dyDescent="0.2">
      <c r="A106" s="41"/>
      <c r="B106" s="28" t="str">
        <f>IFERROR(INDEX(People!$B$2:$B$199,MATCH($A$102&amp;"#"&amp;5,People!$H$2:$H$199,0)),"")</f>
        <v/>
      </c>
      <c r="C106" s="20" t="str">
        <f>IF(TRIM($B106)="","",IFERROR(INDEX(People!$A$2:$A$199,MATCH(TRIM($B106),People!$B$2:$B$199,0)),"?? CHECK NAME"))</f>
        <v/>
      </c>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c r="BJ106" s="25"/>
      <c r="BK106" s="25"/>
    </row>
    <row r="107" spans="1:63" ht="34" customHeight="1" x14ac:dyDescent="0.2">
      <c r="A107" s="42" t="s">
        <v>202</v>
      </c>
      <c r="B107" s="28" t="str">
        <f>IFERROR(INDEX(People!$B$2:$B$199,MATCH($A$107&amp;"#"&amp;1,People!$H$2:$H$199,0)),"")</f>
        <v/>
      </c>
      <c r="C107" s="20" t="str">
        <f>IF(TRIM($B107)="","",IFERROR(INDEX(People!$A$2:$A$199,MATCH(TRIM($B107),People!$B$2:$B$199,0)),"?? CHECK NAME"))</f>
        <v/>
      </c>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c r="BJ107" s="25"/>
      <c r="BK107" s="25"/>
    </row>
    <row r="108" spans="1:63" ht="34" customHeight="1" x14ac:dyDescent="0.2">
      <c r="A108" s="40"/>
      <c r="B108" s="28" t="str">
        <f>IFERROR(INDEX(People!$B$2:$B$199,MATCH($A$107&amp;"#"&amp;2,People!$H$2:$H$199,0)),"")</f>
        <v/>
      </c>
      <c r="C108" s="20" t="str">
        <f>IF(TRIM($B108)="","",IFERROR(INDEX(People!$A$2:$A$199,MATCH(TRIM($B108),People!$B$2:$B$199,0)),"?? CHECK NAME"))</f>
        <v/>
      </c>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5"/>
      <c r="BJ108" s="25"/>
      <c r="BK108" s="25"/>
    </row>
    <row r="109" spans="1:63" ht="34" customHeight="1" x14ac:dyDescent="0.2">
      <c r="A109" s="40"/>
      <c r="B109" s="28" t="str">
        <f>IFERROR(INDEX(People!$B$2:$B$199,MATCH($A$107&amp;"#"&amp;3,People!$H$2:$H$199,0)),"")</f>
        <v/>
      </c>
      <c r="C109" s="20" t="str">
        <f>IF(TRIM($B109)="","",IFERROR(INDEX(People!$A$2:$A$199,MATCH(TRIM($B109),People!$B$2:$B$199,0)),"?? CHECK NAME"))</f>
        <v/>
      </c>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5"/>
      <c r="BJ109" s="25"/>
      <c r="BK109" s="25"/>
    </row>
    <row r="110" spans="1:63" ht="34" customHeight="1" x14ac:dyDescent="0.2">
      <c r="A110" s="40"/>
      <c r="B110" s="28" t="str">
        <f>IFERROR(INDEX(People!$B$2:$B$199,MATCH($A$107&amp;"#"&amp;4,People!$H$2:$H$199,0)),"")</f>
        <v/>
      </c>
      <c r="C110" s="20" t="str">
        <f>IF(TRIM($B110)="","",IFERROR(INDEX(People!$A$2:$A$199,MATCH(TRIM($B110),People!$B$2:$B$199,0)),"?? CHECK NAME"))</f>
        <v/>
      </c>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25"/>
      <c r="BH110" s="25"/>
      <c r="BI110" s="25"/>
      <c r="BJ110" s="25"/>
      <c r="BK110" s="25"/>
    </row>
    <row r="111" spans="1:63" ht="34" customHeight="1" x14ac:dyDescent="0.2">
      <c r="A111" s="41"/>
      <c r="B111" s="28" t="str">
        <f>IFERROR(INDEX(People!$B$2:$B$199,MATCH($A$107&amp;"#"&amp;5,People!$H$2:$H$199,0)),"")</f>
        <v/>
      </c>
      <c r="C111" s="20" t="str">
        <f>IF(TRIM($B111)="","",IFERROR(INDEX(People!$A$2:$A$199,MATCH(TRIM($B111),People!$B$2:$B$199,0)),"?? CHECK NAME"))</f>
        <v/>
      </c>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row>
    <row r="112" spans="1:63" ht="34" customHeight="1" x14ac:dyDescent="0.2">
      <c r="A112" s="42" t="s">
        <v>205</v>
      </c>
      <c r="B112" s="28" t="str">
        <f>IFERROR(INDEX(People!$B$2:$B$199,MATCH($A$112&amp;"#"&amp;1,People!$H$2:$H$199,0)),"")</f>
        <v/>
      </c>
      <c r="C112" s="20" t="str">
        <f>IF(TRIM($B112)="","",IFERROR(INDEX(People!$A$2:$A$199,MATCH(TRIM($B112),People!$B$2:$B$199,0)),"?? CHECK NAME"))</f>
        <v/>
      </c>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row>
    <row r="113" spans="1:63" ht="34" customHeight="1" x14ac:dyDescent="0.2">
      <c r="A113" s="40"/>
      <c r="B113" s="28" t="str">
        <f>IFERROR(INDEX(People!$B$2:$B$199,MATCH($A$112&amp;"#"&amp;2,People!$H$2:$H$199,0)),"")</f>
        <v/>
      </c>
      <c r="C113" s="20" t="str">
        <f>IF(TRIM($B113)="","",IFERROR(INDEX(People!$A$2:$A$199,MATCH(TRIM($B113),People!$B$2:$B$199,0)),"?? CHECK NAME"))</f>
        <v/>
      </c>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25"/>
      <c r="BH113" s="25"/>
      <c r="BI113" s="25"/>
      <c r="BJ113" s="25"/>
      <c r="BK113" s="25"/>
    </row>
    <row r="114" spans="1:63" ht="34" customHeight="1" x14ac:dyDescent="0.2">
      <c r="A114" s="40"/>
      <c r="B114" s="28" t="str">
        <f>IFERROR(INDEX(People!$B$2:$B$199,MATCH($A$112&amp;"#"&amp;3,People!$H$2:$H$199,0)),"")</f>
        <v/>
      </c>
      <c r="C114" s="20" t="str">
        <f>IF(TRIM($B114)="","",IFERROR(INDEX(People!$A$2:$A$199,MATCH(TRIM($B114),People!$B$2:$B$199,0)),"?? CHECK NAME"))</f>
        <v/>
      </c>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25"/>
      <c r="BH114" s="25"/>
      <c r="BI114" s="25"/>
      <c r="BJ114" s="25"/>
      <c r="BK114" s="25"/>
    </row>
    <row r="115" spans="1:63" ht="34" customHeight="1" x14ac:dyDescent="0.2">
      <c r="A115" s="40"/>
      <c r="B115" s="28" t="str">
        <f>IFERROR(INDEX(People!$B$2:$B$199,MATCH($A$112&amp;"#"&amp;4,People!$H$2:$H$199,0)),"")</f>
        <v/>
      </c>
      <c r="C115" s="20" t="str">
        <f>IF(TRIM($B115)="","",IFERROR(INDEX(People!$A$2:$A$199,MATCH(TRIM($B115),People!$B$2:$B$199,0)),"?? CHECK NAME"))</f>
        <v/>
      </c>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5"/>
      <c r="BJ115" s="25"/>
      <c r="BK115" s="25"/>
    </row>
    <row r="116" spans="1:63" ht="34" customHeight="1" x14ac:dyDescent="0.2">
      <c r="A116" s="41"/>
      <c r="B116" s="28" t="str">
        <f>IFERROR(INDEX(People!$B$2:$B$199,MATCH($A$112&amp;"#"&amp;5,People!$H$2:$H$199,0)),"")</f>
        <v/>
      </c>
      <c r="C116" s="20" t="str">
        <f>IF(TRIM($B116)="","",IFERROR(INDEX(People!$A$2:$A$199,MATCH(TRIM($B116),People!$B$2:$B$199,0)),"?? CHECK NAME"))</f>
        <v/>
      </c>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5"/>
      <c r="BJ116" s="25"/>
      <c r="BK116" s="25"/>
    </row>
    <row r="117" spans="1:63" ht="34" customHeight="1" x14ac:dyDescent="0.2">
      <c r="A117" s="42" t="s">
        <v>208</v>
      </c>
      <c r="B117" s="28" t="str">
        <f>IFERROR(INDEX(People!$B$2:$B$199,MATCH($A$117&amp;"#"&amp;1,People!$H$2:$H$199,0)),"")</f>
        <v/>
      </c>
      <c r="C117" s="20" t="str">
        <f>IF(TRIM($B117)="","",IFERROR(INDEX(People!$A$2:$A$199,MATCH(TRIM($B117),People!$B$2:$B$199,0)),"?? CHECK NAME"))</f>
        <v/>
      </c>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c r="BI117" s="25"/>
      <c r="BJ117" s="25"/>
      <c r="BK117" s="25"/>
    </row>
    <row r="118" spans="1:63" ht="34" customHeight="1" x14ac:dyDescent="0.2">
      <c r="A118" s="40"/>
      <c r="B118" s="28" t="str">
        <f>IFERROR(INDEX(People!$B$2:$B$199,MATCH($A$117&amp;"#"&amp;2,People!$H$2:$H$199,0)),"")</f>
        <v/>
      </c>
      <c r="C118" s="20" t="str">
        <f>IF(TRIM($B118)="","",IFERROR(INDEX(People!$A$2:$A$199,MATCH(TRIM($B118),People!$B$2:$B$199,0)),"?? CHECK NAME"))</f>
        <v/>
      </c>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c r="BK118" s="25"/>
    </row>
    <row r="119" spans="1:63" ht="34" customHeight="1" x14ac:dyDescent="0.2">
      <c r="A119" s="40"/>
      <c r="B119" s="28" t="str">
        <f>IFERROR(INDEX(People!$B$2:$B$199,MATCH($A$117&amp;"#"&amp;3,People!$H$2:$H$199,0)),"")</f>
        <v/>
      </c>
      <c r="C119" s="20" t="str">
        <f>IF(TRIM($B119)="","",IFERROR(INDEX(People!$A$2:$A$199,MATCH(TRIM($B119),People!$B$2:$B$199,0)),"?? CHECK NAME"))</f>
        <v/>
      </c>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c r="BF119" s="25"/>
      <c r="BG119" s="25"/>
      <c r="BH119" s="25"/>
      <c r="BI119" s="25"/>
      <c r="BJ119" s="25"/>
      <c r="BK119" s="25"/>
    </row>
    <row r="120" spans="1:63" ht="34" customHeight="1" x14ac:dyDescent="0.2">
      <c r="A120" s="40"/>
      <c r="B120" s="28" t="str">
        <f>IFERROR(INDEX(People!$B$2:$B$199,MATCH($A$117&amp;"#"&amp;4,People!$H$2:$H$199,0)),"")</f>
        <v/>
      </c>
      <c r="C120" s="20" t="str">
        <f>IF(TRIM($B120)="","",IFERROR(INDEX(People!$A$2:$A$199,MATCH(TRIM($B120),People!$B$2:$B$199,0)),"?? CHECK NAME"))</f>
        <v/>
      </c>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c r="BC120" s="25"/>
      <c r="BD120" s="25"/>
      <c r="BE120" s="25"/>
      <c r="BF120" s="25"/>
      <c r="BG120" s="25"/>
      <c r="BH120" s="25"/>
      <c r="BI120" s="25"/>
      <c r="BJ120" s="25"/>
      <c r="BK120" s="25"/>
    </row>
    <row r="121" spans="1:63" ht="34" customHeight="1" x14ac:dyDescent="0.2">
      <c r="A121" s="41"/>
      <c r="B121" s="28" t="str">
        <f>IFERROR(INDEX(People!$B$2:$B$199,MATCH($A$117&amp;"#"&amp;5,People!$H$2:$H$199,0)),"")</f>
        <v/>
      </c>
      <c r="C121" s="20" t="str">
        <f>IF(TRIM($B121)="","",IFERROR(INDEX(People!$A$2:$A$199,MATCH(TRIM($B121),People!$B$2:$B$199,0)),"?? CHECK NAME"))</f>
        <v/>
      </c>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c r="BF121" s="25"/>
      <c r="BG121" s="25"/>
      <c r="BH121" s="25"/>
      <c r="BI121" s="25"/>
      <c r="BJ121" s="25"/>
      <c r="BK121" s="25"/>
    </row>
    <row r="122" spans="1:63" ht="34" customHeight="1" x14ac:dyDescent="0.2">
      <c r="A122" s="42" t="s">
        <v>211</v>
      </c>
      <c r="B122" s="28" t="str">
        <f>IFERROR(INDEX(People!$B$2:$B$199,MATCH($A$122&amp;"#"&amp;1,People!$H$2:$H$199,0)),"")</f>
        <v/>
      </c>
      <c r="C122" s="20" t="str">
        <f>IF(TRIM($B122)="","",IFERROR(INDEX(People!$A$2:$A$199,MATCH(TRIM($B122),People!$B$2:$B$199,0)),"?? CHECK NAME"))</f>
        <v/>
      </c>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25"/>
      <c r="BH122" s="25"/>
      <c r="BI122" s="25"/>
      <c r="BJ122" s="25"/>
      <c r="BK122" s="25"/>
    </row>
    <row r="123" spans="1:63" ht="34" customHeight="1" x14ac:dyDescent="0.2">
      <c r="A123" s="40"/>
      <c r="B123" s="28" t="str">
        <f>IFERROR(INDEX(People!$B$2:$B$199,MATCH($A$122&amp;"#"&amp;2,People!$H$2:$H$199,0)),"")</f>
        <v/>
      </c>
      <c r="C123" s="20" t="str">
        <f>IF(TRIM($B123)="","",IFERROR(INDEX(People!$A$2:$A$199,MATCH(TRIM($B123),People!$B$2:$B$199,0)),"?? CHECK NAME"))</f>
        <v/>
      </c>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5"/>
      <c r="BJ123" s="25"/>
      <c r="BK123" s="25"/>
    </row>
    <row r="124" spans="1:63" ht="34" customHeight="1" x14ac:dyDescent="0.2">
      <c r="A124" s="40"/>
      <c r="B124" s="28" t="str">
        <f>IFERROR(INDEX(People!$B$2:$B$199,MATCH($A$122&amp;"#"&amp;3,People!$H$2:$H$199,0)),"")</f>
        <v/>
      </c>
      <c r="C124" s="20" t="str">
        <f>IF(TRIM($B124)="","",IFERROR(INDEX(People!$A$2:$A$199,MATCH(TRIM($B124),People!$B$2:$B$199,0)),"?? CHECK NAME"))</f>
        <v/>
      </c>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row>
    <row r="125" spans="1:63" ht="34" customHeight="1" x14ac:dyDescent="0.2">
      <c r="A125" s="40"/>
      <c r="B125" s="28" t="str">
        <f>IFERROR(INDEX(People!$B$2:$B$199,MATCH($A$122&amp;"#"&amp;4,People!$H$2:$H$199,0)),"")</f>
        <v/>
      </c>
      <c r="C125" s="20" t="str">
        <f>IF(TRIM($B125)="","",IFERROR(INDEX(People!$A$2:$A$199,MATCH(TRIM($B125),People!$B$2:$B$199,0)),"?? CHECK NAME"))</f>
        <v/>
      </c>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row>
    <row r="126" spans="1:63" ht="34" customHeight="1" x14ac:dyDescent="0.2">
      <c r="A126" s="41"/>
      <c r="B126" s="28" t="str">
        <f>IFERROR(INDEX(People!$B$2:$B$199,MATCH($A$122&amp;"#"&amp;5,People!$H$2:$H$199,0)),"")</f>
        <v/>
      </c>
      <c r="C126" s="20" t="str">
        <f>IF(TRIM($B126)="","",IFERROR(INDEX(People!$A$2:$A$199,MATCH(TRIM($B126),People!$B$2:$B$199,0)),"?? CHECK NAME"))</f>
        <v/>
      </c>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row>
    <row r="127" spans="1:63" ht="34" customHeight="1" x14ac:dyDescent="0.2">
      <c r="A127" s="39" t="s">
        <v>250</v>
      </c>
      <c r="B127" s="24"/>
      <c r="C127" s="20" t="str">
        <f>IF(TRIM($B127)="","",IFERROR(INDEX(People!$A$2:$A$199,MATCH(TRIM($B127),People!$B$2:$B$199,0)),IFERROR(INDEX(Teams!$A$2:$A$9,MATCH(TRIM($B127),Teams!$B$2:$B$9,0)),"?? CHECK NAME")))</f>
        <v/>
      </c>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row>
    <row r="128" spans="1:63" ht="34" customHeight="1" x14ac:dyDescent="0.2">
      <c r="A128" s="40"/>
      <c r="B128" s="24"/>
      <c r="C128" s="20" t="str">
        <f>IF(TRIM($B128)="","",IFERROR(INDEX(People!$A$2:$A$199,MATCH(TRIM($B128),People!$B$2:$B$199,0)),IFERROR(INDEX(Teams!$A$2:$A$9,MATCH(TRIM($B128),Teams!$B$2:$B$9,0)),"?? CHECK NAME")))</f>
        <v/>
      </c>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c r="BK128" s="25"/>
    </row>
    <row r="129" spans="1:63" ht="34" customHeight="1" x14ac:dyDescent="0.2">
      <c r="A129" s="40"/>
      <c r="B129" s="24"/>
      <c r="C129" s="20" t="str">
        <f>IF(TRIM($B129)="","",IFERROR(INDEX(People!$A$2:$A$199,MATCH(TRIM($B129),People!$B$2:$B$199,0)),IFERROR(INDEX(Teams!$A$2:$A$9,MATCH(TRIM($B129),Teams!$B$2:$B$9,0)),"?? CHECK NAME")))</f>
        <v/>
      </c>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25"/>
      <c r="BH129" s="25"/>
      <c r="BI129" s="25"/>
      <c r="BJ129" s="25"/>
      <c r="BK129" s="25"/>
    </row>
    <row r="130" spans="1:63" ht="34" customHeight="1" x14ac:dyDescent="0.2">
      <c r="A130" s="40"/>
      <c r="B130" s="24"/>
      <c r="C130" s="20" t="str">
        <f>IF(TRIM($B130)="","",IFERROR(INDEX(People!$A$2:$A$199,MATCH(TRIM($B130),People!$B$2:$B$199,0)),IFERROR(INDEX(Teams!$A$2:$A$9,MATCH(TRIM($B130),Teams!$B$2:$B$9,0)),"?? CHECK NAME")))</f>
        <v/>
      </c>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c r="BG130" s="25"/>
      <c r="BH130" s="25"/>
      <c r="BI130" s="25"/>
      <c r="BJ130" s="25"/>
      <c r="BK130" s="25"/>
    </row>
    <row r="131" spans="1:63" ht="34" customHeight="1" x14ac:dyDescent="0.2">
      <c r="A131" s="41"/>
      <c r="B131" s="24"/>
      <c r="C131" s="20" t="str">
        <f>IF(TRIM($B131)="","",IFERROR(INDEX(People!$A$2:$A$199,MATCH(TRIM($B131),People!$B$2:$B$199,0)),IFERROR(INDEX(Teams!$A$2:$A$9,MATCH(TRIM($B131),Teams!$B$2:$B$9,0)),"?? CHECK NAME")))</f>
        <v/>
      </c>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c r="BF131" s="25"/>
      <c r="BG131" s="25"/>
      <c r="BH131" s="25"/>
      <c r="BI131" s="25"/>
      <c r="BJ131" s="25"/>
      <c r="BK131" s="25"/>
    </row>
  </sheetData>
  <mergeCells count="29">
    <mergeCell ref="AZ1:BK1"/>
    <mergeCell ref="D1:AY1"/>
    <mergeCell ref="A3:BK3"/>
    <mergeCell ref="A34:A38"/>
    <mergeCell ref="A86:BK86"/>
    <mergeCell ref="A92:A96"/>
    <mergeCell ref="A39:A43"/>
    <mergeCell ref="A24:A28"/>
    <mergeCell ref="A54:A58"/>
    <mergeCell ref="A87:A91"/>
    <mergeCell ref="A122:A126"/>
    <mergeCell ref="A29:A33"/>
    <mergeCell ref="A9:A13"/>
    <mergeCell ref="A81:A85"/>
    <mergeCell ref="A127:A131"/>
    <mergeCell ref="A112:A116"/>
    <mergeCell ref="A19:A23"/>
    <mergeCell ref="A64:A68"/>
    <mergeCell ref="A59:A63"/>
    <mergeCell ref="A102:A106"/>
    <mergeCell ref="A117:A121"/>
    <mergeCell ref="A49:A53"/>
    <mergeCell ref="A107:A111"/>
    <mergeCell ref="A4:A8"/>
    <mergeCell ref="A14:A18"/>
    <mergeCell ref="A97:A101"/>
    <mergeCell ref="A78:BK78"/>
    <mergeCell ref="A69:BK69"/>
    <mergeCell ref="A44:A48"/>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E131"/>
  <sheetViews>
    <sheetView workbookViewId="0">
      <pane xSplit="3" ySplit="2" topLeftCell="D3" activePane="bottomRight" state="frozen"/>
      <selection pane="topRight"/>
      <selection pane="bottomLeft"/>
      <selection pane="bottomRight"/>
    </sheetView>
  </sheetViews>
  <sheetFormatPr baseColWidth="10" defaultColWidth="8.83203125" defaultRowHeight="15" x14ac:dyDescent="0.2"/>
  <cols>
    <col min="1" max="1" width="20" customWidth="1"/>
    <col min="2" max="2" width="22" customWidth="1"/>
    <col min="3" max="3" width="10" customWidth="1"/>
    <col min="4" max="83" width="5.5" customWidth="1"/>
  </cols>
  <sheetData>
    <row r="1" spans="1:83" x14ac:dyDescent="0.2">
      <c r="A1" s="12" t="s">
        <v>143</v>
      </c>
      <c r="B1" s="12" t="s">
        <v>229</v>
      </c>
      <c r="C1" s="12" t="s">
        <v>141</v>
      </c>
      <c r="D1" s="46">
        <f>Instructions!$C$14</f>
        <v>46241</v>
      </c>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c r="BM1" s="47"/>
      <c r="BN1" s="47"/>
      <c r="BO1" s="47"/>
      <c r="BP1" s="47"/>
      <c r="BQ1" s="47"/>
      <c r="BR1" s="47"/>
      <c r="BS1" s="47"/>
      <c r="BT1" s="47"/>
      <c r="BU1" s="47"/>
      <c r="BV1" s="47"/>
      <c r="BW1" s="47"/>
      <c r="BX1" s="47"/>
      <c r="BY1" s="47"/>
      <c r="BZ1" s="47"/>
      <c r="CA1" s="47"/>
      <c r="CB1" s="46">
        <f>Instructions!$C$14+1</f>
        <v>46242</v>
      </c>
      <c r="CC1" s="47"/>
      <c r="CD1" s="47"/>
      <c r="CE1" s="47"/>
    </row>
    <row r="2" spans="1:83" ht="58" customHeight="1" x14ac:dyDescent="0.2">
      <c r="A2" s="22"/>
      <c r="B2" s="22"/>
      <c r="C2" s="22"/>
      <c r="D2" s="23">
        <v>0.20833333333333329</v>
      </c>
      <c r="E2" s="23">
        <v>0.21875</v>
      </c>
      <c r="F2" s="23">
        <v>0.22916666666666671</v>
      </c>
      <c r="G2" s="23">
        <v>0.23958333333333329</v>
      </c>
      <c r="H2" s="23">
        <v>0.25</v>
      </c>
      <c r="I2" s="23">
        <v>0.26041666666666669</v>
      </c>
      <c r="J2" s="23">
        <v>0.27083333333333331</v>
      </c>
      <c r="K2" s="23">
        <v>0.28125</v>
      </c>
      <c r="L2" s="23">
        <v>0.29166666666666669</v>
      </c>
      <c r="M2" s="23">
        <v>0.30208333333333331</v>
      </c>
      <c r="N2" s="23">
        <v>0.3125</v>
      </c>
      <c r="O2" s="23">
        <v>0.32291666666666669</v>
      </c>
      <c r="P2" s="23">
        <v>0.33333333333333331</v>
      </c>
      <c r="Q2" s="23">
        <v>0.34375</v>
      </c>
      <c r="R2" s="23">
        <v>0.35416666666666669</v>
      </c>
      <c r="S2" s="23">
        <v>0.36458333333333331</v>
      </c>
      <c r="T2" s="23">
        <v>0.375</v>
      </c>
      <c r="U2" s="23">
        <v>0.38541666666666669</v>
      </c>
      <c r="V2" s="23">
        <v>0.39583333333333331</v>
      </c>
      <c r="W2" s="23">
        <v>0.40625</v>
      </c>
      <c r="X2" s="23">
        <v>0.41666666666666669</v>
      </c>
      <c r="Y2" s="23">
        <v>0.42708333333333331</v>
      </c>
      <c r="Z2" s="23">
        <v>0.4375</v>
      </c>
      <c r="AA2" s="23">
        <v>0.44791666666666669</v>
      </c>
      <c r="AB2" s="23">
        <v>0.45833333333333331</v>
      </c>
      <c r="AC2" s="23">
        <v>0.46875</v>
      </c>
      <c r="AD2" s="23">
        <v>0.47916666666666669</v>
      </c>
      <c r="AE2" s="23">
        <v>0.48958333333333331</v>
      </c>
      <c r="AF2" s="23">
        <v>0.5</v>
      </c>
      <c r="AG2" s="23">
        <v>0.51041666666666663</v>
      </c>
      <c r="AH2" s="23">
        <v>0.52083333333333337</v>
      </c>
      <c r="AI2" s="23">
        <v>0.53125</v>
      </c>
      <c r="AJ2" s="23">
        <v>0.54166666666666663</v>
      </c>
      <c r="AK2" s="23">
        <v>0.55208333333333337</v>
      </c>
      <c r="AL2" s="23">
        <v>0.5625</v>
      </c>
      <c r="AM2" s="23">
        <v>0.57291666666666663</v>
      </c>
      <c r="AN2" s="23">
        <v>0.58333333333333337</v>
      </c>
      <c r="AO2" s="23">
        <v>0.59375</v>
      </c>
      <c r="AP2" s="23">
        <v>0.60416666666666663</v>
      </c>
      <c r="AQ2" s="23">
        <v>0.61458333333333337</v>
      </c>
      <c r="AR2" s="23">
        <v>0.625</v>
      </c>
      <c r="AS2" s="23">
        <v>0.63541666666666663</v>
      </c>
      <c r="AT2" s="23">
        <v>0.64583333333333337</v>
      </c>
      <c r="AU2" s="23">
        <v>0.65625</v>
      </c>
      <c r="AV2" s="23">
        <v>0.66666666666666663</v>
      </c>
      <c r="AW2" s="23">
        <v>0.67708333333333337</v>
      </c>
      <c r="AX2" s="23">
        <v>0.6875</v>
      </c>
      <c r="AY2" s="23">
        <v>0.69791666666666663</v>
      </c>
      <c r="AZ2" s="23">
        <v>0.70833333333333337</v>
      </c>
      <c r="BA2" s="23">
        <v>0.71875</v>
      </c>
      <c r="BB2" s="23">
        <v>0.72916666666666663</v>
      </c>
      <c r="BC2" s="23">
        <v>0.73958333333333337</v>
      </c>
      <c r="BD2" s="23">
        <v>0.75</v>
      </c>
      <c r="BE2" s="23">
        <v>0.76041666666666663</v>
      </c>
      <c r="BF2" s="23">
        <v>0.77083333333333337</v>
      </c>
      <c r="BG2" s="23">
        <v>0.78125</v>
      </c>
      <c r="BH2" s="23">
        <v>0.79166666666666663</v>
      </c>
      <c r="BI2" s="23">
        <v>0.80208333333333337</v>
      </c>
      <c r="BJ2" s="23">
        <v>0.8125</v>
      </c>
      <c r="BK2" s="23">
        <v>0.82291666666666663</v>
      </c>
      <c r="BL2" s="23">
        <v>0.83333333333333337</v>
      </c>
      <c r="BM2" s="23">
        <v>0.84375</v>
      </c>
      <c r="BN2" s="23">
        <v>0.85416666666666663</v>
      </c>
      <c r="BO2" s="23">
        <v>0.86458333333333337</v>
      </c>
      <c r="BP2" s="23">
        <v>0.875</v>
      </c>
      <c r="BQ2" s="23">
        <v>0.88541666666666663</v>
      </c>
      <c r="BR2" s="23">
        <v>0.89583333333333337</v>
      </c>
      <c r="BS2" s="23">
        <v>0.90625</v>
      </c>
      <c r="BT2" s="23">
        <v>0.91666666666666663</v>
      </c>
      <c r="BU2" s="23">
        <v>0.92708333333333337</v>
      </c>
      <c r="BV2" s="23">
        <v>0.9375</v>
      </c>
      <c r="BW2" s="23">
        <v>0.94791666666666663</v>
      </c>
      <c r="BX2" s="23">
        <v>0.95833333333333337</v>
      </c>
      <c r="BY2" s="23">
        <v>0.96875</v>
      </c>
      <c r="BZ2" s="23">
        <v>0.97916666666666663</v>
      </c>
      <c r="CA2" s="23">
        <v>0.98958333333333337</v>
      </c>
      <c r="CB2" s="23">
        <v>0</v>
      </c>
      <c r="CC2" s="23">
        <v>1.041666666666667E-2</v>
      </c>
      <c r="CD2" s="23">
        <v>2.0833333333333329E-2</v>
      </c>
      <c r="CE2" s="23">
        <v>3.125E-2</v>
      </c>
    </row>
    <row r="3" spans="1:83" ht="18" customHeight="1" x14ac:dyDescent="0.2">
      <c r="A3" s="43" t="s">
        <v>78</v>
      </c>
      <c r="B3" s="44"/>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5"/>
    </row>
    <row r="4" spans="1:83" ht="44" customHeight="1" x14ac:dyDescent="0.2">
      <c r="A4" s="39" t="s">
        <v>151</v>
      </c>
      <c r="B4" s="29" t="s">
        <v>150</v>
      </c>
      <c r="C4" s="20" t="str">
        <f>IF(TRIM($B4)="","",IFERROR(INDEX(People!$A$2:$A$199,MATCH(TRIM($B4),People!$B$2:$B$199,0)),IFERROR(INDEX(Teams!$A$2:$A$9,MATCH(TRIM($B4),Teams!$B$2:$B$9,0)),"?? CHECK NAME")))</f>
        <v>BRD-01</v>
      </c>
      <c r="D4" s="25"/>
      <c r="E4" s="25"/>
      <c r="F4" s="25"/>
      <c r="G4" s="25"/>
      <c r="H4" s="48" t="s">
        <v>63</v>
      </c>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50"/>
      <c r="AZ4" s="25"/>
      <c r="BA4" s="25"/>
      <c r="BB4" s="25"/>
      <c r="BC4" s="25"/>
      <c r="BD4" s="25"/>
      <c r="BE4" s="25"/>
      <c r="BF4" s="25"/>
      <c r="BG4" s="25"/>
      <c r="BH4" s="25"/>
      <c r="BI4" s="25"/>
      <c r="BJ4" s="25"/>
      <c r="BK4" s="25"/>
      <c r="BL4" s="25"/>
      <c r="BM4" s="25"/>
      <c r="BN4" s="25"/>
      <c r="BO4" s="25"/>
      <c r="BP4" s="25"/>
      <c r="BQ4" s="25"/>
      <c r="BR4" s="25"/>
      <c r="BS4" s="25"/>
      <c r="BT4" s="25"/>
      <c r="BU4" s="25"/>
      <c r="BV4" s="25"/>
      <c r="BW4" s="25"/>
      <c r="BX4" s="25"/>
      <c r="BY4" s="25"/>
      <c r="BZ4" s="25"/>
      <c r="CA4" s="25"/>
      <c r="CB4" s="25"/>
      <c r="CC4" s="25"/>
      <c r="CD4" s="25"/>
      <c r="CE4" s="25"/>
    </row>
    <row r="5" spans="1:83" ht="34" customHeight="1" x14ac:dyDescent="0.2">
      <c r="A5" s="40"/>
      <c r="B5" s="24"/>
      <c r="C5" s="20" t="str">
        <f>IF(TRIM($B5)="","",IFERROR(INDEX(People!$A$2:$A$199,MATCH(TRIM($B5),People!$B$2:$B$199,0)),IFERROR(INDEX(Teams!$A$2:$A$9,MATCH(TRIM($B5),Teams!$B$2:$B$9,0)),"?? CHECK NAME")))</f>
        <v/>
      </c>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row>
    <row r="6" spans="1:83" ht="34" customHeight="1" x14ac:dyDescent="0.2">
      <c r="A6" s="40"/>
      <c r="B6" s="24"/>
      <c r="C6" s="20" t="str">
        <f>IF(TRIM($B6)="","",IFERROR(INDEX(People!$A$2:$A$199,MATCH(TRIM($B6),People!$B$2:$B$199,0)),IFERROR(INDEX(Teams!$A$2:$A$9,MATCH(TRIM($B6),Teams!$B$2:$B$9,0)),"?? CHECK NAME")))</f>
        <v/>
      </c>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25"/>
      <c r="BL6" s="25"/>
      <c r="BM6" s="25"/>
      <c r="BN6" s="25"/>
      <c r="BO6" s="25"/>
      <c r="BP6" s="25"/>
      <c r="BQ6" s="25"/>
      <c r="BR6" s="25"/>
      <c r="BS6" s="25"/>
      <c r="BT6" s="25"/>
      <c r="BU6" s="25"/>
      <c r="BV6" s="25"/>
      <c r="BW6" s="25"/>
      <c r="BX6" s="25"/>
      <c r="BY6" s="25"/>
      <c r="BZ6" s="25"/>
      <c r="CA6" s="25"/>
      <c r="CB6" s="25"/>
      <c r="CC6" s="25"/>
      <c r="CD6" s="25"/>
      <c r="CE6" s="25"/>
    </row>
    <row r="7" spans="1:83" ht="34" customHeight="1" x14ac:dyDescent="0.2">
      <c r="A7" s="40"/>
      <c r="B7" s="24"/>
      <c r="C7" s="20" t="str">
        <f>IF(TRIM($B7)="","",IFERROR(INDEX(People!$A$2:$A$199,MATCH(TRIM($B7),People!$B$2:$B$199,0)),IFERROR(INDEX(Teams!$A$2:$A$9,MATCH(TRIM($B7),Teams!$B$2:$B$9,0)),"?? CHECK NAME")))</f>
        <v/>
      </c>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5"/>
      <c r="CA7" s="25"/>
      <c r="CB7" s="25"/>
      <c r="CC7" s="25"/>
      <c r="CD7" s="25"/>
      <c r="CE7" s="25"/>
    </row>
    <row r="8" spans="1:83" ht="34" customHeight="1" x14ac:dyDescent="0.2">
      <c r="A8" s="41"/>
      <c r="B8" s="24"/>
      <c r="C8" s="20" t="str">
        <f>IF(TRIM($B8)="","",IFERROR(INDEX(People!$A$2:$A$199,MATCH(TRIM($B8),People!$B$2:$B$199,0)),IFERROR(INDEX(Teams!$A$2:$A$9,MATCH(TRIM($B8),Teams!$B$2:$B$9,0)),"?? CHECK NAME")))</f>
        <v/>
      </c>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row>
    <row r="9" spans="1:83" ht="34" customHeight="1" x14ac:dyDescent="0.2">
      <c r="A9" s="39" t="s">
        <v>230</v>
      </c>
      <c r="B9" s="24"/>
      <c r="C9" s="20" t="str">
        <f>IF(TRIM($B9)="","",IFERROR(INDEX(People!$A$2:$A$199,MATCH(TRIM($B9),People!$B$2:$B$199,0)),IFERROR(INDEX(Teams!$A$2:$A$9,MATCH(TRIM($B9),Teams!$B$2:$B$9,0)),"?? CHECK NAME")))</f>
        <v/>
      </c>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row>
    <row r="10" spans="1:83" ht="34" customHeight="1" x14ac:dyDescent="0.2">
      <c r="A10" s="40"/>
      <c r="B10" s="24"/>
      <c r="C10" s="20" t="str">
        <f>IF(TRIM($B10)="","",IFERROR(INDEX(People!$A$2:$A$199,MATCH(TRIM($B10),People!$B$2:$B$199,0)),IFERROR(INDEX(Teams!$A$2:$A$9,MATCH(TRIM($B10),Teams!$B$2:$B$9,0)),"?? CHECK NAME")))</f>
        <v/>
      </c>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5"/>
      <c r="CE10" s="25"/>
    </row>
    <row r="11" spans="1:83" ht="34" customHeight="1" x14ac:dyDescent="0.2">
      <c r="A11" s="40"/>
      <c r="B11" s="24"/>
      <c r="C11" s="20" t="str">
        <f>IF(TRIM($B11)="","",IFERROR(INDEX(People!$A$2:$A$199,MATCH(TRIM($B11),People!$B$2:$B$199,0)),IFERROR(INDEX(Teams!$A$2:$A$9,MATCH(TRIM($B11),Teams!$B$2:$B$9,0)),"?? CHECK NAME")))</f>
        <v/>
      </c>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row>
    <row r="12" spans="1:83" ht="34" customHeight="1" x14ac:dyDescent="0.2">
      <c r="A12" s="40"/>
      <c r="B12" s="24"/>
      <c r="C12" s="20" t="str">
        <f>IF(TRIM($B12)="","",IFERROR(INDEX(People!$A$2:$A$199,MATCH(TRIM($B12),People!$B$2:$B$199,0)),IFERROR(INDEX(Teams!$A$2:$A$9,MATCH(TRIM($B12),Teams!$B$2:$B$9,0)),"?? CHECK NAME")))</f>
        <v/>
      </c>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row>
    <row r="13" spans="1:83" ht="34" customHeight="1" x14ac:dyDescent="0.2">
      <c r="A13" s="41"/>
      <c r="B13" s="24"/>
      <c r="C13" s="20" t="str">
        <f>IF(TRIM($B13)="","",IFERROR(INDEX(People!$A$2:$A$199,MATCH(TRIM($B13),People!$B$2:$B$199,0)),IFERROR(INDEX(Teams!$A$2:$A$9,MATCH(TRIM($B13),Teams!$B$2:$B$9,0)),"?? CHECK NAME")))</f>
        <v/>
      </c>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row>
    <row r="14" spans="1:83" ht="34" customHeight="1" x14ac:dyDescent="0.2">
      <c r="A14" s="39" t="s">
        <v>231</v>
      </c>
      <c r="B14" s="24"/>
      <c r="C14" s="20" t="str">
        <f>IF(TRIM($B14)="","",IFERROR(INDEX(People!$A$2:$A$199,MATCH(TRIM($B14),People!$B$2:$B$199,0)),IFERROR(INDEX(Teams!$A$2:$A$9,MATCH(TRIM($B14),Teams!$B$2:$B$9,0)),"?? CHECK NAME")))</f>
        <v/>
      </c>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5"/>
      <c r="CE14" s="25"/>
    </row>
    <row r="15" spans="1:83" ht="34" customHeight="1" x14ac:dyDescent="0.2">
      <c r="A15" s="40"/>
      <c r="B15" s="24"/>
      <c r="C15" s="20" t="str">
        <f>IF(TRIM($B15)="","",IFERROR(INDEX(People!$A$2:$A$199,MATCH(TRIM($B15),People!$B$2:$B$199,0)),IFERROR(INDEX(Teams!$A$2:$A$9,MATCH(TRIM($B15),Teams!$B$2:$B$9,0)),"?? CHECK NAME")))</f>
        <v/>
      </c>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c r="CD15" s="25"/>
      <c r="CE15" s="25"/>
    </row>
    <row r="16" spans="1:83" ht="34" customHeight="1" x14ac:dyDescent="0.2">
      <c r="A16" s="40"/>
      <c r="B16" s="24"/>
      <c r="C16" s="20" t="str">
        <f>IF(TRIM($B16)="","",IFERROR(INDEX(People!$A$2:$A$199,MATCH(TRIM($B16),People!$B$2:$B$199,0)),IFERROR(INDEX(Teams!$A$2:$A$9,MATCH(TRIM($B16),Teams!$B$2:$B$9,0)),"?? CHECK NAME")))</f>
        <v/>
      </c>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row>
    <row r="17" spans="1:83" ht="34" customHeight="1" x14ac:dyDescent="0.2">
      <c r="A17" s="40"/>
      <c r="B17" s="24"/>
      <c r="C17" s="20" t="str">
        <f>IF(TRIM($B17)="","",IFERROR(INDEX(People!$A$2:$A$199,MATCH(TRIM($B17),People!$B$2:$B$199,0)),IFERROR(INDEX(Teams!$A$2:$A$9,MATCH(TRIM($B17),Teams!$B$2:$B$9,0)),"?? CHECK NAME")))</f>
        <v/>
      </c>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row>
    <row r="18" spans="1:83" ht="34" customHeight="1" x14ac:dyDescent="0.2">
      <c r="A18" s="41"/>
      <c r="B18" s="24"/>
      <c r="C18" s="20" t="str">
        <f>IF(TRIM($B18)="","",IFERROR(INDEX(People!$A$2:$A$199,MATCH(TRIM($B18),People!$B$2:$B$199,0)),IFERROR(INDEX(Teams!$A$2:$A$9,MATCH(TRIM($B18),Teams!$B$2:$B$9,0)),"?? CHECK NAME")))</f>
        <v/>
      </c>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row>
    <row r="19" spans="1:83" ht="34" customHeight="1" x14ac:dyDescent="0.2">
      <c r="A19" s="39" t="s">
        <v>232</v>
      </c>
      <c r="B19" s="24"/>
      <c r="C19" s="20" t="str">
        <f>IF(TRIM($B19)="","",IFERROR(INDEX(People!$A$2:$A$199,MATCH(TRIM($B19),People!$B$2:$B$199,0)),IFERROR(INDEX(Teams!$A$2:$A$9,MATCH(TRIM($B19),Teams!$B$2:$B$9,0)),"?? CHECK NAME")))</f>
        <v/>
      </c>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row>
    <row r="20" spans="1:83" ht="34" customHeight="1" x14ac:dyDescent="0.2">
      <c r="A20" s="40"/>
      <c r="B20" s="24"/>
      <c r="C20" s="20" t="str">
        <f>IF(TRIM($B20)="","",IFERROR(INDEX(People!$A$2:$A$199,MATCH(TRIM($B20),People!$B$2:$B$199,0)),IFERROR(INDEX(Teams!$A$2:$A$9,MATCH(TRIM($B20),Teams!$B$2:$B$9,0)),"?? CHECK NAME")))</f>
        <v/>
      </c>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c r="CC20" s="25"/>
      <c r="CD20" s="25"/>
      <c r="CE20" s="25"/>
    </row>
    <row r="21" spans="1:83" ht="34" customHeight="1" x14ac:dyDescent="0.2">
      <c r="A21" s="40"/>
      <c r="B21" s="24"/>
      <c r="C21" s="20" t="str">
        <f>IF(TRIM($B21)="","",IFERROR(INDEX(People!$A$2:$A$199,MATCH(TRIM($B21),People!$B$2:$B$199,0)),IFERROR(INDEX(Teams!$A$2:$A$9,MATCH(TRIM($B21),Teams!$B$2:$B$9,0)),"?? CHECK NAME")))</f>
        <v/>
      </c>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c r="BX21" s="25"/>
      <c r="BY21" s="25"/>
      <c r="BZ21" s="25"/>
      <c r="CA21" s="25"/>
      <c r="CB21" s="25"/>
      <c r="CC21" s="25"/>
      <c r="CD21" s="25"/>
      <c r="CE21" s="25"/>
    </row>
    <row r="22" spans="1:83" ht="34" customHeight="1" x14ac:dyDescent="0.2">
      <c r="A22" s="40"/>
      <c r="B22" s="24"/>
      <c r="C22" s="20" t="str">
        <f>IF(TRIM($B22)="","",IFERROR(INDEX(People!$A$2:$A$199,MATCH(TRIM($B22),People!$B$2:$B$199,0)),IFERROR(INDEX(Teams!$A$2:$A$9,MATCH(TRIM($B22),Teams!$B$2:$B$9,0)),"?? CHECK NAME")))</f>
        <v/>
      </c>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5"/>
      <c r="CE22" s="25"/>
    </row>
    <row r="23" spans="1:83" ht="34" customHeight="1" x14ac:dyDescent="0.2">
      <c r="A23" s="41"/>
      <c r="B23" s="24"/>
      <c r="C23" s="20" t="str">
        <f>IF(TRIM($B23)="","",IFERROR(INDEX(People!$A$2:$A$199,MATCH(TRIM($B23),People!$B$2:$B$199,0)),IFERROR(INDEX(Teams!$A$2:$A$9,MATCH(TRIM($B23),Teams!$B$2:$B$9,0)),"?? CHECK NAME")))</f>
        <v/>
      </c>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5"/>
      <c r="CE23" s="25"/>
    </row>
    <row r="24" spans="1:83" ht="34" customHeight="1" x14ac:dyDescent="0.2">
      <c r="A24" s="39" t="s">
        <v>233</v>
      </c>
      <c r="B24" s="24"/>
      <c r="C24" s="20" t="str">
        <f>IF(TRIM($B24)="","",IFERROR(INDEX(People!$A$2:$A$199,MATCH(TRIM($B24),People!$B$2:$B$199,0)),IFERROR(INDEX(Teams!$A$2:$A$9,MATCH(TRIM($B24),Teams!$B$2:$B$9,0)),"?? CHECK NAME")))</f>
        <v/>
      </c>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5"/>
      <c r="CA24" s="25"/>
      <c r="CB24" s="25"/>
      <c r="CC24" s="25"/>
      <c r="CD24" s="25"/>
      <c r="CE24" s="25"/>
    </row>
    <row r="25" spans="1:83" ht="34" customHeight="1" x14ac:dyDescent="0.2">
      <c r="A25" s="40"/>
      <c r="B25" s="24"/>
      <c r="C25" s="20" t="str">
        <f>IF(TRIM($B25)="","",IFERROR(INDEX(People!$A$2:$A$199,MATCH(TRIM($B25),People!$B$2:$B$199,0)),IFERROR(INDEX(Teams!$A$2:$A$9,MATCH(TRIM($B25),Teams!$B$2:$B$9,0)),"?? CHECK NAME")))</f>
        <v/>
      </c>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5"/>
      <c r="CA25" s="25"/>
      <c r="CB25" s="25"/>
      <c r="CC25" s="25"/>
      <c r="CD25" s="25"/>
      <c r="CE25" s="25"/>
    </row>
    <row r="26" spans="1:83" ht="34" customHeight="1" x14ac:dyDescent="0.2">
      <c r="A26" s="40"/>
      <c r="B26" s="24"/>
      <c r="C26" s="20" t="str">
        <f>IF(TRIM($B26)="","",IFERROR(INDEX(People!$A$2:$A$199,MATCH(TRIM($B26),People!$B$2:$B$199,0)),IFERROR(INDEX(Teams!$A$2:$A$9,MATCH(TRIM($B26),Teams!$B$2:$B$9,0)),"?? CHECK NAME")))</f>
        <v/>
      </c>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row>
    <row r="27" spans="1:83" ht="34" customHeight="1" x14ac:dyDescent="0.2">
      <c r="A27" s="40"/>
      <c r="B27" s="24"/>
      <c r="C27" s="20" t="str">
        <f>IF(TRIM($B27)="","",IFERROR(INDEX(People!$A$2:$A$199,MATCH(TRIM($B27),People!$B$2:$B$199,0)),IFERROR(INDEX(Teams!$A$2:$A$9,MATCH(TRIM($B27),Teams!$B$2:$B$9,0)),"?? CHECK NAME")))</f>
        <v/>
      </c>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5"/>
      <c r="CA27" s="25"/>
      <c r="CB27" s="25"/>
      <c r="CC27" s="25"/>
      <c r="CD27" s="25"/>
      <c r="CE27" s="25"/>
    </row>
    <row r="28" spans="1:83" ht="34" customHeight="1" x14ac:dyDescent="0.2">
      <c r="A28" s="41"/>
      <c r="B28" s="24"/>
      <c r="C28" s="20" t="str">
        <f>IF(TRIM($B28)="","",IFERROR(INDEX(People!$A$2:$A$199,MATCH(TRIM($B28),People!$B$2:$B$199,0)),IFERROR(INDEX(Teams!$A$2:$A$9,MATCH(TRIM($B28),Teams!$B$2:$B$9,0)),"?? CHECK NAME")))</f>
        <v/>
      </c>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row>
    <row r="29" spans="1:83" ht="34" customHeight="1" x14ac:dyDescent="0.2">
      <c r="A29" s="39" t="s">
        <v>234</v>
      </c>
      <c r="B29" s="24"/>
      <c r="C29" s="20" t="str">
        <f>IF(TRIM($B29)="","",IFERROR(INDEX(People!$A$2:$A$199,MATCH(TRIM($B29),People!$B$2:$B$199,0)),IFERROR(INDEX(Teams!$A$2:$A$9,MATCH(TRIM($B29),Teams!$B$2:$B$9,0)),"?? CHECK NAME")))</f>
        <v/>
      </c>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c r="CB29" s="25"/>
      <c r="CC29" s="25"/>
      <c r="CD29" s="25"/>
      <c r="CE29" s="25"/>
    </row>
    <row r="30" spans="1:83" ht="34" customHeight="1" x14ac:dyDescent="0.2">
      <c r="A30" s="40"/>
      <c r="B30" s="24"/>
      <c r="C30" s="20" t="str">
        <f>IF(TRIM($B30)="","",IFERROR(INDEX(People!$A$2:$A$199,MATCH(TRIM($B30),People!$B$2:$B$199,0)),IFERROR(INDEX(Teams!$A$2:$A$9,MATCH(TRIM($B30),Teams!$B$2:$B$9,0)),"?? CHECK NAME")))</f>
        <v/>
      </c>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row>
    <row r="31" spans="1:83" ht="34" customHeight="1" x14ac:dyDescent="0.2">
      <c r="A31" s="40"/>
      <c r="B31" s="24"/>
      <c r="C31" s="20" t="str">
        <f>IF(TRIM($B31)="","",IFERROR(INDEX(People!$A$2:$A$199,MATCH(TRIM($B31),People!$B$2:$B$199,0)),IFERROR(INDEX(Teams!$A$2:$A$9,MATCH(TRIM($B31),Teams!$B$2:$B$9,0)),"?? CHECK NAME")))</f>
        <v/>
      </c>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5"/>
      <c r="CA31" s="25"/>
      <c r="CB31" s="25"/>
      <c r="CC31" s="25"/>
      <c r="CD31" s="25"/>
      <c r="CE31" s="25"/>
    </row>
    <row r="32" spans="1:83" ht="34" customHeight="1" x14ac:dyDescent="0.2">
      <c r="A32" s="40"/>
      <c r="B32" s="24"/>
      <c r="C32" s="20" t="str">
        <f>IF(TRIM($B32)="","",IFERROR(INDEX(People!$A$2:$A$199,MATCH(TRIM($B32),People!$B$2:$B$199,0)),IFERROR(INDEX(Teams!$A$2:$A$9,MATCH(TRIM($B32),Teams!$B$2:$B$9,0)),"?? CHECK NAME")))</f>
        <v/>
      </c>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row>
    <row r="33" spans="1:83" ht="34" customHeight="1" x14ac:dyDescent="0.2">
      <c r="A33" s="41"/>
      <c r="B33" s="24"/>
      <c r="C33" s="20" t="str">
        <f>IF(TRIM($B33)="","",IFERROR(INDEX(People!$A$2:$A$199,MATCH(TRIM($B33),People!$B$2:$B$199,0)),IFERROR(INDEX(Teams!$A$2:$A$9,MATCH(TRIM($B33),Teams!$B$2:$B$9,0)),"?? CHECK NAME")))</f>
        <v/>
      </c>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5"/>
      <c r="CA33" s="25"/>
      <c r="CB33" s="25"/>
      <c r="CC33" s="25"/>
      <c r="CD33" s="25"/>
      <c r="CE33" s="25"/>
    </row>
    <row r="34" spans="1:83" ht="34" customHeight="1" x14ac:dyDescent="0.2">
      <c r="A34" s="39" t="s">
        <v>235</v>
      </c>
      <c r="B34" s="24"/>
      <c r="C34" s="20" t="str">
        <f>IF(TRIM($B34)="","",IFERROR(INDEX(People!$A$2:$A$199,MATCH(TRIM($B34),People!$B$2:$B$199,0)),IFERROR(INDEX(Teams!$A$2:$A$9,MATCH(TRIM($B34),Teams!$B$2:$B$9,0)),"?? CHECK NAME")))</f>
        <v/>
      </c>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row>
    <row r="35" spans="1:83" ht="34" customHeight="1" x14ac:dyDescent="0.2">
      <c r="A35" s="40"/>
      <c r="B35" s="24"/>
      <c r="C35" s="20" t="str">
        <f>IF(TRIM($B35)="","",IFERROR(INDEX(People!$A$2:$A$199,MATCH(TRIM($B35),People!$B$2:$B$199,0)),IFERROR(INDEX(Teams!$A$2:$A$9,MATCH(TRIM($B35),Teams!$B$2:$B$9,0)),"?? CHECK NAME")))</f>
        <v/>
      </c>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row>
    <row r="36" spans="1:83" ht="34" customHeight="1" x14ac:dyDescent="0.2">
      <c r="A36" s="40"/>
      <c r="B36" s="24"/>
      <c r="C36" s="20" t="str">
        <f>IF(TRIM($B36)="","",IFERROR(INDEX(People!$A$2:$A$199,MATCH(TRIM($B36),People!$B$2:$B$199,0)),IFERROR(INDEX(Teams!$A$2:$A$9,MATCH(TRIM($B36),Teams!$B$2:$B$9,0)),"?? CHECK NAME")))</f>
        <v/>
      </c>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c r="BZ36" s="25"/>
      <c r="CA36" s="25"/>
      <c r="CB36" s="25"/>
      <c r="CC36" s="25"/>
      <c r="CD36" s="25"/>
      <c r="CE36" s="25"/>
    </row>
    <row r="37" spans="1:83" ht="34" customHeight="1" x14ac:dyDescent="0.2">
      <c r="A37" s="40"/>
      <c r="B37" s="24"/>
      <c r="C37" s="20" t="str">
        <f>IF(TRIM($B37)="","",IFERROR(INDEX(People!$A$2:$A$199,MATCH(TRIM($B37),People!$B$2:$B$199,0)),IFERROR(INDEX(Teams!$A$2:$A$9,MATCH(TRIM($B37),Teams!$B$2:$B$9,0)),"?? CHECK NAME")))</f>
        <v/>
      </c>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25"/>
      <c r="BW37" s="25"/>
      <c r="BX37" s="25"/>
      <c r="BY37" s="25"/>
      <c r="BZ37" s="25"/>
      <c r="CA37" s="25"/>
      <c r="CB37" s="25"/>
      <c r="CC37" s="25"/>
      <c r="CD37" s="25"/>
      <c r="CE37" s="25"/>
    </row>
    <row r="38" spans="1:83" ht="34" customHeight="1" x14ac:dyDescent="0.2">
      <c r="A38" s="41"/>
      <c r="B38" s="24"/>
      <c r="C38" s="20" t="str">
        <f>IF(TRIM($B38)="","",IFERROR(INDEX(People!$A$2:$A$199,MATCH(TRIM($B38),People!$B$2:$B$199,0)),IFERROR(INDEX(Teams!$A$2:$A$9,MATCH(TRIM($B38),Teams!$B$2:$B$9,0)),"?? CHECK NAME")))</f>
        <v/>
      </c>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c r="CA38" s="25"/>
      <c r="CB38" s="25"/>
      <c r="CC38" s="25"/>
      <c r="CD38" s="25"/>
      <c r="CE38" s="25"/>
    </row>
    <row r="39" spans="1:83" ht="34" customHeight="1" x14ac:dyDescent="0.2">
      <c r="A39" s="39" t="s">
        <v>236</v>
      </c>
      <c r="B39" s="24"/>
      <c r="C39" s="20" t="str">
        <f>IF(TRIM($B39)="","",IFERROR(INDEX(People!$A$2:$A$199,MATCH(TRIM($B39),People!$B$2:$B$199,0)),IFERROR(INDEX(Teams!$A$2:$A$9,MATCH(TRIM($B39),Teams!$B$2:$B$9,0)),"?? CHECK NAME")))</f>
        <v/>
      </c>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c r="BX39" s="25"/>
      <c r="BY39" s="25"/>
      <c r="BZ39" s="25"/>
      <c r="CA39" s="25"/>
      <c r="CB39" s="25"/>
      <c r="CC39" s="25"/>
      <c r="CD39" s="25"/>
      <c r="CE39" s="25"/>
    </row>
    <row r="40" spans="1:83" ht="34" customHeight="1" x14ac:dyDescent="0.2">
      <c r="A40" s="40"/>
      <c r="B40" s="24"/>
      <c r="C40" s="20" t="str">
        <f>IF(TRIM($B40)="","",IFERROR(INDEX(People!$A$2:$A$199,MATCH(TRIM($B40),People!$B$2:$B$199,0)),IFERROR(INDEX(Teams!$A$2:$A$9,MATCH(TRIM($B40),Teams!$B$2:$B$9,0)),"?? CHECK NAME")))</f>
        <v/>
      </c>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25"/>
      <c r="BW40" s="25"/>
      <c r="BX40" s="25"/>
      <c r="BY40" s="25"/>
      <c r="BZ40" s="25"/>
      <c r="CA40" s="25"/>
      <c r="CB40" s="25"/>
      <c r="CC40" s="25"/>
      <c r="CD40" s="25"/>
      <c r="CE40" s="25"/>
    </row>
    <row r="41" spans="1:83" ht="34" customHeight="1" x14ac:dyDescent="0.2">
      <c r="A41" s="40"/>
      <c r="B41" s="24"/>
      <c r="C41" s="20" t="str">
        <f>IF(TRIM($B41)="","",IFERROR(INDEX(People!$A$2:$A$199,MATCH(TRIM($B41),People!$B$2:$B$199,0)),IFERROR(INDEX(Teams!$A$2:$A$9,MATCH(TRIM($B41),Teams!$B$2:$B$9,0)),"?? CHECK NAME")))</f>
        <v/>
      </c>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c r="BX41" s="25"/>
      <c r="BY41" s="25"/>
      <c r="BZ41" s="25"/>
      <c r="CA41" s="25"/>
      <c r="CB41" s="25"/>
      <c r="CC41" s="25"/>
      <c r="CD41" s="25"/>
      <c r="CE41" s="25"/>
    </row>
    <row r="42" spans="1:83" ht="34" customHeight="1" x14ac:dyDescent="0.2">
      <c r="A42" s="40"/>
      <c r="B42" s="24"/>
      <c r="C42" s="20" t="str">
        <f>IF(TRIM($B42)="","",IFERROR(INDEX(People!$A$2:$A$199,MATCH(TRIM($B42),People!$B$2:$B$199,0)),IFERROR(INDEX(Teams!$A$2:$A$9,MATCH(TRIM($B42),Teams!$B$2:$B$9,0)),"?? CHECK NAME")))</f>
        <v/>
      </c>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c r="BV42" s="25"/>
      <c r="BW42" s="25"/>
      <c r="BX42" s="25"/>
      <c r="BY42" s="25"/>
      <c r="BZ42" s="25"/>
      <c r="CA42" s="25"/>
      <c r="CB42" s="25"/>
      <c r="CC42" s="25"/>
      <c r="CD42" s="25"/>
      <c r="CE42" s="25"/>
    </row>
    <row r="43" spans="1:83" ht="34" customHeight="1" x14ac:dyDescent="0.2">
      <c r="A43" s="41"/>
      <c r="B43" s="24"/>
      <c r="C43" s="20" t="str">
        <f>IF(TRIM($B43)="","",IFERROR(INDEX(People!$A$2:$A$199,MATCH(TRIM($B43),People!$B$2:$B$199,0)),IFERROR(INDEX(Teams!$A$2:$A$9,MATCH(TRIM($B43),Teams!$B$2:$B$9,0)),"?? CHECK NAME")))</f>
        <v/>
      </c>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c r="BX43" s="25"/>
      <c r="BY43" s="25"/>
      <c r="BZ43" s="25"/>
      <c r="CA43" s="25"/>
      <c r="CB43" s="25"/>
      <c r="CC43" s="25"/>
      <c r="CD43" s="25"/>
      <c r="CE43" s="25"/>
    </row>
    <row r="44" spans="1:83" ht="34" customHeight="1" x14ac:dyDescent="0.2">
      <c r="A44" s="39" t="s">
        <v>178</v>
      </c>
      <c r="B44" s="24"/>
      <c r="C44" s="20" t="str">
        <f>IF(TRIM($B44)="","",IFERROR(INDEX(People!$A$2:$A$199,MATCH(TRIM($B44),People!$B$2:$B$199,0)),IFERROR(INDEX(Teams!$A$2:$A$9,MATCH(TRIM($B44),Teams!$B$2:$B$9,0)),"?? CHECK NAME")))</f>
        <v/>
      </c>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c r="BZ44" s="25"/>
      <c r="CA44" s="25"/>
      <c r="CB44" s="25"/>
      <c r="CC44" s="25"/>
      <c r="CD44" s="25"/>
      <c r="CE44" s="25"/>
    </row>
    <row r="45" spans="1:83" ht="34" customHeight="1" x14ac:dyDescent="0.2">
      <c r="A45" s="40"/>
      <c r="B45" s="24"/>
      <c r="C45" s="20" t="str">
        <f>IF(TRIM($B45)="","",IFERROR(INDEX(People!$A$2:$A$199,MATCH(TRIM($B45),People!$B$2:$B$199,0)),IFERROR(INDEX(Teams!$A$2:$A$9,MATCH(TRIM($B45),Teams!$B$2:$B$9,0)),"?? CHECK NAME")))</f>
        <v/>
      </c>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c r="BX45" s="25"/>
      <c r="BY45" s="25"/>
      <c r="BZ45" s="25"/>
      <c r="CA45" s="25"/>
      <c r="CB45" s="25"/>
      <c r="CC45" s="25"/>
      <c r="CD45" s="25"/>
      <c r="CE45" s="25"/>
    </row>
    <row r="46" spans="1:83" ht="34" customHeight="1" x14ac:dyDescent="0.2">
      <c r="A46" s="40"/>
      <c r="B46" s="24"/>
      <c r="C46" s="20" t="str">
        <f>IF(TRIM($B46)="","",IFERROR(INDEX(People!$A$2:$A$199,MATCH(TRIM($B46),People!$B$2:$B$199,0)),IFERROR(INDEX(Teams!$A$2:$A$9,MATCH(TRIM($B46),Teams!$B$2:$B$9,0)),"?? CHECK NAME")))</f>
        <v/>
      </c>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c r="BV46" s="25"/>
      <c r="BW46" s="25"/>
      <c r="BX46" s="25"/>
      <c r="BY46" s="25"/>
      <c r="BZ46" s="25"/>
      <c r="CA46" s="25"/>
      <c r="CB46" s="25"/>
      <c r="CC46" s="25"/>
      <c r="CD46" s="25"/>
      <c r="CE46" s="25"/>
    </row>
    <row r="47" spans="1:83" ht="34" customHeight="1" x14ac:dyDescent="0.2">
      <c r="A47" s="40"/>
      <c r="B47" s="24"/>
      <c r="C47" s="20" t="str">
        <f>IF(TRIM($B47)="","",IFERROR(INDEX(People!$A$2:$A$199,MATCH(TRIM($B47),People!$B$2:$B$199,0)),IFERROR(INDEX(Teams!$A$2:$A$9,MATCH(TRIM($B47),Teams!$B$2:$B$9,0)),"?? CHECK NAME")))</f>
        <v/>
      </c>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c r="BT47" s="25"/>
      <c r="BU47" s="25"/>
      <c r="BV47" s="25"/>
      <c r="BW47" s="25"/>
      <c r="BX47" s="25"/>
      <c r="BY47" s="25"/>
      <c r="BZ47" s="25"/>
      <c r="CA47" s="25"/>
      <c r="CB47" s="25"/>
      <c r="CC47" s="25"/>
      <c r="CD47" s="25"/>
      <c r="CE47" s="25"/>
    </row>
    <row r="48" spans="1:83" ht="34" customHeight="1" x14ac:dyDescent="0.2">
      <c r="A48" s="41"/>
      <c r="B48" s="24"/>
      <c r="C48" s="20" t="str">
        <f>IF(TRIM($B48)="","",IFERROR(INDEX(People!$A$2:$A$199,MATCH(TRIM($B48),People!$B$2:$B$199,0)),IFERROR(INDEX(Teams!$A$2:$A$9,MATCH(TRIM($B48),Teams!$B$2:$B$9,0)),"?? CHECK NAME")))</f>
        <v/>
      </c>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row>
    <row r="49" spans="1:83" ht="34" customHeight="1" x14ac:dyDescent="0.2">
      <c r="A49" s="39" t="s">
        <v>172</v>
      </c>
      <c r="B49" s="24"/>
      <c r="C49" s="20" t="str">
        <f>IF(TRIM($B49)="","",IFERROR(INDEX(People!$A$2:$A$199,MATCH(TRIM($B49),People!$B$2:$B$199,0)),IFERROR(INDEX(Teams!$A$2:$A$9,MATCH(TRIM($B49),Teams!$B$2:$B$9,0)),"?? CHECK NAME")))</f>
        <v/>
      </c>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c r="BV49" s="25"/>
      <c r="BW49" s="25"/>
      <c r="BX49" s="25"/>
      <c r="BY49" s="25"/>
      <c r="BZ49" s="25"/>
      <c r="CA49" s="25"/>
      <c r="CB49" s="25"/>
      <c r="CC49" s="25"/>
      <c r="CD49" s="25"/>
      <c r="CE49" s="25"/>
    </row>
    <row r="50" spans="1:83" ht="34" customHeight="1" x14ac:dyDescent="0.2">
      <c r="A50" s="40"/>
      <c r="B50" s="24"/>
      <c r="C50" s="20" t="str">
        <f>IF(TRIM($B50)="","",IFERROR(INDEX(People!$A$2:$A$199,MATCH(TRIM($B50),People!$B$2:$B$199,0)),IFERROR(INDEX(Teams!$A$2:$A$9,MATCH(TRIM($B50),Teams!$B$2:$B$9,0)),"?? CHECK NAME")))</f>
        <v/>
      </c>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c r="BU50" s="25"/>
      <c r="BV50" s="25"/>
      <c r="BW50" s="25"/>
      <c r="BX50" s="25"/>
      <c r="BY50" s="25"/>
      <c r="BZ50" s="25"/>
      <c r="CA50" s="25"/>
      <c r="CB50" s="25"/>
      <c r="CC50" s="25"/>
      <c r="CD50" s="25"/>
      <c r="CE50" s="25"/>
    </row>
    <row r="51" spans="1:83" ht="34" customHeight="1" x14ac:dyDescent="0.2">
      <c r="A51" s="40"/>
      <c r="B51" s="24"/>
      <c r="C51" s="20" t="str">
        <f>IF(TRIM($B51)="","",IFERROR(INDEX(People!$A$2:$A$199,MATCH(TRIM($B51),People!$B$2:$B$199,0)),IFERROR(INDEX(Teams!$A$2:$A$9,MATCH(TRIM($B51),Teams!$B$2:$B$9,0)),"?? CHECK NAME")))</f>
        <v/>
      </c>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c r="BX51" s="25"/>
      <c r="BY51" s="25"/>
      <c r="BZ51" s="25"/>
      <c r="CA51" s="25"/>
      <c r="CB51" s="25"/>
      <c r="CC51" s="25"/>
      <c r="CD51" s="25"/>
      <c r="CE51" s="25"/>
    </row>
    <row r="52" spans="1:83" ht="34" customHeight="1" x14ac:dyDescent="0.2">
      <c r="A52" s="40"/>
      <c r="B52" s="24"/>
      <c r="C52" s="20" t="str">
        <f>IF(TRIM($B52)="","",IFERROR(INDEX(People!$A$2:$A$199,MATCH(TRIM($B52),People!$B$2:$B$199,0)),IFERROR(INDEX(Teams!$A$2:$A$9,MATCH(TRIM($B52),Teams!$B$2:$B$9,0)),"?? CHECK NAME")))</f>
        <v/>
      </c>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c r="BV52" s="25"/>
      <c r="BW52" s="25"/>
      <c r="BX52" s="25"/>
      <c r="BY52" s="25"/>
      <c r="BZ52" s="25"/>
      <c r="CA52" s="25"/>
      <c r="CB52" s="25"/>
      <c r="CC52" s="25"/>
      <c r="CD52" s="25"/>
      <c r="CE52" s="25"/>
    </row>
    <row r="53" spans="1:83" ht="34" customHeight="1" x14ac:dyDescent="0.2">
      <c r="A53" s="41"/>
      <c r="B53" s="24"/>
      <c r="C53" s="20" t="str">
        <f>IF(TRIM($B53)="","",IFERROR(INDEX(People!$A$2:$A$199,MATCH(TRIM($B53),People!$B$2:$B$199,0)),IFERROR(INDEX(Teams!$A$2:$A$9,MATCH(TRIM($B53),Teams!$B$2:$B$9,0)),"?? CHECK NAME")))</f>
        <v/>
      </c>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c r="BX53" s="25"/>
      <c r="BY53" s="25"/>
      <c r="BZ53" s="25"/>
      <c r="CA53" s="25"/>
      <c r="CB53" s="25"/>
      <c r="CC53" s="25"/>
      <c r="CD53" s="25"/>
      <c r="CE53" s="25"/>
    </row>
    <row r="54" spans="1:83" ht="34" customHeight="1" x14ac:dyDescent="0.2">
      <c r="A54" s="39" t="s">
        <v>237</v>
      </c>
      <c r="B54" s="24"/>
      <c r="C54" s="20" t="str">
        <f>IF(TRIM($B54)="","",IFERROR(INDEX(People!$A$2:$A$199,MATCH(TRIM($B54),People!$B$2:$B$199,0)),IFERROR(INDEX(Teams!$A$2:$A$9,MATCH(TRIM($B54),Teams!$B$2:$B$9,0)),"?? CHECK NAME")))</f>
        <v/>
      </c>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c r="BU54" s="25"/>
      <c r="BV54" s="25"/>
      <c r="BW54" s="25"/>
      <c r="BX54" s="25"/>
      <c r="BY54" s="25"/>
      <c r="BZ54" s="25"/>
      <c r="CA54" s="25"/>
      <c r="CB54" s="25"/>
      <c r="CC54" s="25"/>
      <c r="CD54" s="25"/>
      <c r="CE54" s="25"/>
    </row>
    <row r="55" spans="1:83" ht="34" customHeight="1" x14ac:dyDescent="0.2">
      <c r="A55" s="40"/>
      <c r="B55" s="24"/>
      <c r="C55" s="20" t="str">
        <f>IF(TRIM($B55)="","",IFERROR(INDEX(People!$A$2:$A$199,MATCH(TRIM($B55),People!$B$2:$B$199,0)),IFERROR(INDEX(Teams!$A$2:$A$9,MATCH(TRIM($B55),Teams!$B$2:$B$9,0)),"?? CHECK NAME")))</f>
        <v/>
      </c>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c r="BM55" s="25"/>
      <c r="BN55" s="25"/>
      <c r="BO55" s="25"/>
      <c r="BP55" s="25"/>
      <c r="BQ55" s="25"/>
      <c r="BR55" s="25"/>
      <c r="BS55" s="25"/>
      <c r="BT55" s="25"/>
      <c r="BU55" s="25"/>
      <c r="BV55" s="25"/>
      <c r="BW55" s="25"/>
      <c r="BX55" s="25"/>
      <c r="BY55" s="25"/>
      <c r="BZ55" s="25"/>
      <c r="CA55" s="25"/>
      <c r="CB55" s="25"/>
      <c r="CC55" s="25"/>
      <c r="CD55" s="25"/>
      <c r="CE55" s="25"/>
    </row>
    <row r="56" spans="1:83" ht="34" customHeight="1" x14ac:dyDescent="0.2">
      <c r="A56" s="40"/>
      <c r="B56" s="24"/>
      <c r="C56" s="20" t="str">
        <f>IF(TRIM($B56)="","",IFERROR(INDEX(People!$A$2:$A$199,MATCH(TRIM($B56),People!$B$2:$B$199,0)),IFERROR(INDEX(Teams!$A$2:$A$9,MATCH(TRIM($B56),Teams!$B$2:$B$9,0)),"?? CHECK NAME")))</f>
        <v/>
      </c>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c r="BQ56" s="25"/>
      <c r="BR56" s="25"/>
      <c r="BS56" s="25"/>
      <c r="BT56" s="25"/>
      <c r="BU56" s="25"/>
      <c r="BV56" s="25"/>
      <c r="BW56" s="25"/>
      <c r="BX56" s="25"/>
      <c r="BY56" s="25"/>
      <c r="BZ56" s="25"/>
      <c r="CA56" s="25"/>
      <c r="CB56" s="25"/>
      <c r="CC56" s="25"/>
      <c r="CD56" s="25"/>
      <c r="CE56" s="25"/>
    </row>
    <row r="57" spans="1:83" ht="34" customHeight="1" x14ac:dyDescent="0.2">
      <c r="A57" s="40"/>
      <c r="B57" s="24"/>
      <c r="C57" s="20" t="str">
        <f>IF(TRIM($B57)="","",IFERROR(INDEX(People!$A$2:$A$199,MATCH(TRIM($B57),People!$B$2:$B$199,0)),IFERROR(INDEX(Teams!$A$2:$A$9,MATCH(TRIM($B57),Teams!$B$2:$B$9,0)),"?? CHECK NAME")))</f>
        <v/>
      </c>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25"/>
      <c r="BR57" s="25"/>
      <c r="BS57" s="25"/>
      <c r="BT57" s="25"/>
      <c r="BU57" s="25"/>
      <c r="BV57" s="25"/>
      <c r="BW57" s="25"/>
      <c r="BX57" s="25"/>
      <c r="BY57" s="25"/>
      <c r="BZ57" s="25"/>
      <c r="CA57" s="25"/>
      <c r="CB57" s="25"/>
      <c r="CC57" s="25"/>
      <c r="CD57" s="25"/>
      <c r="CE57" s="25"/>
    </row>
    <row r="58" spans="1:83" ht="34" customHeight="1" x14ac:dyDescent="0.2">
      <c r="A58" s="41"/>
      <c r="B58" s="24"/>
      <c r="C58" s="20" t="str">
        <f>IF(TRIM($B58)="","",IFERROR(INDEX(People!$A$2:$A$199,MATCH(TRIM($B58),People!$B$2:$B$199,0)),IFERROR(INDEX(Teams!$A$2:$A$9,MATCH(TRIM($B58),Teams!$B$2:$B$9,0)),"?? CHECK NAME")))</f>
        <v/>
      </c>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25"/>
      <c r="BR58" s="25"/>
      <c r="BS58" s="25"/>
      <c r="BT58" s="25"/>
      <c r="BU58" s="25"/>
      <c r="BV58" s="25"/>
      <c r="BW58" s="25"/>
      <c r="BX58" s="25"/>
      <c r="BY58" s="25"/>
      <c r="BZ58" s="25"/>
      <c r="CA58" s="25"/>
      <c r="CB58" s="25"/>
      <c r="CC58" s="25"/>
      <c r="CD58" s="25"/>
      <c r="CE58" s="25"/>
    </row>
    <row r="59" spans="1:83" ht="34" customHeight="1" x14ac:dyDescent="0.2">
      <c r="A59" s="39" t="s">
        <v>238</v>
      </c>
      <c r="B59" s="24"/>
      <c r="C59" s="20" t="str">
        <f>IF(TRIM($B59)="","",IFERROR(INDEX(People!$A$2:$A$199,MATCH(TRIM($B59),People!$B$2:$B$199,0)),IFERROR(INDEX(Teams!$A$2:$A$9,MATCH(TRIM($B59),Teams!$B$2:$B$9,0)),"?? CHECK NAME")))</f>
        <v/>
      </c>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25"/>
      <c r="BR59" s="25"/>
      <c r="BS59" s="25"/>
      <c r="BT59" s="25"/>
      <c r="BU59" s="25"/>
      <c r="BV59" s="25"/>
      <c r="BW59" s="25"/>
      <c r="BX59" s="25"/>
      <c r="BY59" s="25"/>
      <c r="BZ59" s="25"/>
      <c r="CA59" s="25"/>
      <c r="CB59" s="25"/>
      <c r="CC59" s="25"/>
      <c r="CD59" s="25"/>
      <c r="CE59" s="25"/>
    </row>
    <row r="60" spans="1:83" ht="34" customHeight="1" x14ac:dyDescent="0.2">
      <c r="A60" s="40"/>
      <c r="B60" s="24"/>
      <c r="C60" s="20" t="str">
        <f>IF(TRIM($B60)="","",IFERROR(INDEX(People!$A$2:$A$199,MATCH(TRIM($B60),People!$B$2:$B$199,0)),IFERROR(INDEX(Teams!$A$2:$A$9,MATCH(TRIM($B60),Teams!$B$2:$B$9,0)),"?? CHECK NAME")))</f>
        <v/>
      </c>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c r="BL60" s="25"/>
      <c r="BM60" s="25"/>
      <c r="BN60" s="25"/>
      <c r="BO60" s="25"/>
      <c r="BP60" s="25"/>
      <c r="BQ60" s="25"/>
      <c r="BR60" s="25"/>
      <c r="BS60" s="25"/>
      <c r="BT60" s="25"/>
      <c r="BU60" s="25"/>
      <c r="BV60" s="25"/>
      <c r="BW60" s="25"/>
      <c r="BX60" s="25"/>
      <c r="BY60" s="25"/>
      <c r="BZ60" s="25"/>
      <c r="CA60" s="25"/>
      <c r="CB60" s="25"/>
      <c r="CC60" s="25"/>
      <c r="CD60" s="25"/>
      <c r="CE60" s="25"/>
    </row>
    <row r="61" spans="1:83" ht="34" customHeight="1" x14ac:dyDescent="0.2">
      <c r="A61" s="40"/>
      <c r="B61" s="24"/>
      <c r="C61" s="20" t="str">
        <f>IF(TRIM($B61)="","",IFERROR(INDEX(People!$A$2:$A$199,MATCH(TRIM($B61),People!$B$2:$B$199,0)),IFERROR(INDEX(Teams!$A$2:$A$9,MATCH(TRIM($B61),Teams!$B$2:$B$9,0)),"?? CHECK NAME")))</f>
        <v/>
      </c>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c r="BJ61" s="25"/>
      <c r="BK61" s="25"/>
      <c r="BL61" s="25"/>
      <c r="BM61" s="25"/>
      <c r="BN61" s="25"/>
      <c r="BO61" s="25"/>
      <c r="BP61" s="25"/>
      <c r="BQ61" s="25"/>
      <c r="BR61" s="25"/>
      <c r="BS61" s="25"/>
      <c r="BT61" s="25"/>
      <c r="BU61" s="25"/>
      <c r="BV61" s="25"/>
      <c r="BW61" s="25"/>
      <c r="BX61" s="25"/>
      <c r="BY61" s="25"/>
      <c r="BZ61" s="25"/>
      <c r="CA61" s="25"/>
      <c r="CB61" s="25"/>
      <c r="CC61" s="25"/>
      <c r="CD61" s="25"/>
      <c r="CE61" s="25"/>
    </row>
    <row r="62" spans="1:83" ht="34" customHeight="1" x14ac:dyDescent="0.2">
      <c r="A62" s="40"/>
      <c r="B62" s="24"/>
      <c r="C62" s="20" t="str">
        <f>IF(TRIM($B62)="","",IFERROR(INDEX(People!$A$2:$A$199,MATCH(TRIM($B62),People!$B$2:$B$199,0)),IFERROR(INDEX(Teams!$A$2:$A$9,MATCH(TRIM($B62),Teams!$B$2:$B$9,0)),"?? CHECK NAME")))</f>
        <v/>
      </c>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25"/>
      <c r="BR62" s="25"/>
      <c r="BS62" s="25"/>
      <c r="BT62" s="25"/>
      <c r="BU62" s="25"/>
      <c r="BV62" s="25"/>
      <c r="BW62" s="25"/>
      <c r="BX62" s="25"/>
      <c r="BY62" s="25"/>
      <c r="BZ62" s="25"/>
      <c r="CA62" s="25"/>
      <c r="CB62" s="25"/>
      <c r="CC62" s="25"/>
      <c r="CD62" s="25"/>
      <c r="CE62" s="25"/>
    </row>
    <row r="63" spans="1:83" ht="34" customHeight="1" x14ac:dyDescent="0.2">
      <c r="A63" s="41"/>
      <c r="B63" s="24"/>
      <c r="C63" s="20" t="str">
        <f>IF(TRIM($B63)="","",IFERROR(INDEX(People!$A$2:$A$199,MATCH(TRIM($B63),People!$B$2:$B$199,0)),IFERROR(INDEX(Teams!$A$2:$A$9,MATCH(TRIM($B63),Teams!$B$2:$B$9,0)),"?? CHECK NAME")))</f>
        <v/>
      </c>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c r="BL63" s="25"/>
      <c r="BM63" s="25"/>
      <c r="BN63" s="25"/>
      <c r="BO63" s="25"/>
      <c r="BP63" s="25"/>
      <c r="BQ63" s="25"/>
      <c r="BR63" s="25"/>
      <c r="BS63" s="25"/>
      <c r="BT63" s="25"/>
      <c r="BU63" s="25"/>
      <c r="BV63" s="25"/>
      <c r="BW63" s="25"/>
      <c r="BX63" s="25"/>
      <c r="BY63" s="25"/>
      <c r="BZ63" s="25"/>
      <c r="CA63" s="25"/>
      <c r="CB63" s="25"/>
      <c r="CC63" s="25"/>
      <c r="CD63" s="25"/>
      <c r="CE63" s="25"/>
    </row>
    <row r="64" spans="1:83" ht="34" customHeight="1" x14ac:dyDescent="0.2">
      <c r="A64" s="39" t="s">
        <v>239</v>
      </c>
      <c r="B64" s="24"/>
      <c r="C64" s="20" t="str">
        <f>IF(TRIM($B64)="","",IFERROR(INDEX(People!$A$2:$A$199,MATCH(TRIM($B64),People!$B$2:$B$199,0)),IFERROR(INDEX(Teams!$A$2:$A$9,MATCH(TRIM($B64),Teams!$B$2:$B$9,0)),"?? CHECK NAME")))</f>
        <v/>
      </c>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c r="BD64" s="25"/>
      <c r="BE64" s="25"/>
      <c r="BF64" s="25"/>
      <c r="BG64" s="25"/>
      <c r="BH64" s="25"/>
      <c r="BI64" s="25"/>
      <c r="BJ64" s="25"/>
      <c r="BK64" s="25"/>
      <c r="BL64" s="25"/>
      <c r="BM64" s="25"/>
      <c r="BN64" s="25"/>
      <c r="BO64" s="25"/>
      <c r="BP64" s="25"/>
      <c r="BQ64" s="25"/>
      <c r="BR64" s="25"/>
      <c r="BS64" s="25"/>
      <c r="BT64" s="25"/>
      <c r="BU64" s="25"/>
      <c r="BV64" s="25"/>
      <c r="BW64" s="25"/>
      <c r="BX64" s="25"/>
      <c r="BY64" s="25"/>
      <c r="BZ64" s="25"/>
      <c r="CA64" s="25"/>
      <c r="CB64" s="25"/>
      <c r="CC64" s="25"/>
      <c r="CD64" s="25"/>
      <c r="CE64" s="25"/>
    </row>
    <row r="65" spans="1:83" ht="34" customHeight="1" x14ac:dyDescent="0.2">
      <c r="A65" s="40"/>
      <c r="B65" s="24"/>
      <c r="C65" s="20" t="str">
        <f>IF(TRIM($B65)="","",IFERROR(INDEX(People!$A$2:$A$199,MATCH(TRIM($B65),People!$B$2:$B$199,0)),IFERROR(INDEX(Teams!$A$2:$A$9,MATCH(TRIM($B65),Teams!$B$2:$B$9,0)),"?? CHECK NAME")))</f>
        <v/>
      </c>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5"/>
      <c r="BQ65" s="25"/>
      <c r="BR65" s="25"/>
      <c r="BS65" s="25"/>
      <c r="BT65" s="25"/>
      <c r="BU65" s="25"/>
      <c r="BV65" s="25"/>
      <c r="BW65" s="25"/>
      <c r="BX65" s="25"/>
      <c r="BY65" s="25"/>
      <c r="BZ65" s="25"/>
      <c r="CA65" s="25"/>
      <c r="CB65" s="25"/>
      <c r="CC65" s="25"/>
      <c r="CD65" s="25"/>
      <c r="CE65" s="25"/>
    </row>
    <row r="66" spans="1:83" ht="34" customHeight="1" x14ac:dyDescent="0.2">
      <c r="A66" s="40"/>
      <c r="B66" s="24"/>
      <c r="C66" s="20" t="str">
        <f>IF(TRIM($B66)="","",IFERROR(INDEX(People!$A$2:$A$199,MATCH(TRIM($B66),People!$B$2:$B$199,0)),IFERROR(INDEX(Teams!$A$2:$A$9,MATCH(TRIM($B66),Teams!$B$2:$B$9,0)),"?? CHECK NAME")))</f>
        <v/>
      </c>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c r="BN66" s="25"/>
      <c r="BO66" s="25"/>
      <c r="BP66" s="25"/>
      <c r="BQ66" s="25"/>
      <c r="BR66" s="25"/>
      <c r="BS66" s="25"/>
      <c r="BT66" s="25"/>
      <c r="BU66" s="25"/>
      <c r="BV66" s="25"/>
      <c r="BW66" s="25"/>
      <c r="BX66" s="25"/>
      <c r="BY66" s="25"/>
      <c r="BZ66" s="25"/>
      <c r="CA66" s="25"/>
      <c r="CB66" s="25"/>
      <c r="CC66" s="25"/>
      <c r="CD66" s="25"/>
      <c r="CE66" s="25"/>
    </row>
    <row r="67" spans="1:83" ht="34" customHeight="1" x14ac:dyDescent="0.2">
      <c r="A67" s="40"/>
      <c r="B67" s="24"/>
      <c r="C67" s="20" t="str">
        <f>IF(TRIM($B67)="","",IFERROR(INDEX(People!$A$2:$A$199,MATCH(TRIM($B67),People!$B$2:$B$199,0)),IFERROR(INDEX(Teams!$A$2:$A$9,MATCH(TRIM($B67),Teams!$B$2:$B$9,0)),"?? CHECK NAME")))</f>
        <v/>
      </c>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c r="BM67" s="25"/>
      <c r="BN67" s="25"/>
      <c r="BO67" s="25"/>
      <c r="BP67" s="25"/>
      <c r="BQ67" s="25"/>
      <c r="BR67" s="25"/>
      <c r="BS67" s="25"/>
      <c r="BT67" s="25"/>
      <c r="BU67" s="25"/>
      <c r="BV67" s="25"/>
      <c r="BW67" s="25"/>
      <c r="BX67" s="25"/>
      <c r="BY67" s="25"/>
      <c r="BZ67" s="25"/>
      <c r="CA67" s="25"/>
      <c r="CB67" s="25"/>
      <c r="CC67" s="25"/>
      <c r="CD67" s="25"/>
      <c r="CE67" s="25"/>
    </row>
    <row r="68" spans="1:83" ht="34" customHeight="1" x14ac:dyDescent="0.2">
      <c r="A68" s="41"/>
      <c r="B68" s="24"/>
      <c r="C68" s="20" t="str">
        <f>IF(TRIM($B68)="","",IFERROR(INDEX(People!$A$2:$A$199,MATCH(TRIM($B68),People!$B$2:$B$199,0)),IFERROR(INDEX(Teams!$A$2:$A$9,MATCH(TRIM($B68),Teams!$B$2:$B$9,0)),"?? CHECK NAME")))</f>
        <v/>
      </c>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c r="BL68" s="25"/>
      <c r="BM68" s="25"/>
      <c r="BN68" s="25"/>
      <c r="BO68" s="25"/>
      <c r="BP68" s="25"/>
      <c r="BQ68" s="25"/>
      <c r="BR68" s="25"/>
      <c r="BS68" s="25"/>
      <c r="BT68" s="25"/>
      <c r="BU68" s="25"/>
      <c r="BV68" s="25"/>
      <c r="BW68" s="25"/>
      <c r="BX68" s="25"/>
      <c r="BY68" s="25"/>
      <c r="BZ68" s="25"/>
      <c r="CA68" s="25"/>
      <c r="CB68" s="25"/>
      <c r="CC68" s="25"/>
      <c r="CD68" s="25"/>
      <c r="CE68" s="25"/>
    </row>
    <row r="69" spans="1:83" ht="18" customHeight="1" x14ac:dyDescent="0.2">
      <c r="A69" s="43" t="s">
        <v>240</v>
      </c>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5"/>
    </row>
    <row r="70" spans="1:83" ht="34" customHeight="1" x14ac:dyDescent="0.2">
      <c r="A70" s="10" t="s">
        <v>144</v>
      </c>
      <c r="B70" s="26" t="s">
        <v>158</v>
      </c>
      <c r="C70" s="20" t="str">
        <f>IF(TRIM($B70)="","",IFERROR(INDEX(People!$A$2:$A$199,MATCH(TRIM($B70),People!$B$2:$B$199,0)),IFERROR(INDEX(Teams!$A$2:$A$9,MATCH(TRIM($B70),Teams!$B$2:$B$9,0)),"?? CHECK NAME")))</f>
        <v>TM-UNC</v>
      </c>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c r="BQ70" s="27"/>
      <c r="BR70" s="27"/>
      <c r="BS70" s="27"/>
      <c r="BT70" s="27"/>
      <c r="BU70" s="27"/>
      <c r="BV70" s="27"/>
      <c r="BW70" s="27"/>
      <c r="BX70" s="27"/>
      <c r="BY70" s="27"/>
      <c r="BZ70" s="27"/>
      <c r="CA70" s="27"/>
      <c r="CB70" s="27"/>
      <c r="CC70" s="27"/>
      <c r="CD70" s="27"/>
      <c r="CE70" s="27"/>
    </row>
    <row r="71" spans="1:83" ht="34" customHeight="1" x14ac:dyDescent="0.2">
      <c r="A71" s="10" t="s">
        <v>144</v>
      </c>
      <c r="B71" s="26" t="s">
        <v>193</v>
      </c>
      <c r="C71" s="20" t="str">
        <f>IF(TRIM($B71)="","",IFERROR(INDEX(People!$A$2:$A$199,MATCH(TRIM($B71),People!$B$2:$B$199,0)),IFERROR(INDEX(Teams!$A$2:$A$9,MATCH(TRIM($B71),Teams!$B$2:$B$9,0)),"?? CHECK NAME")))</f>
        <v>TM-ILL</v>
      </c>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c r="BQ71" s="27"/>
      <c r="BR71" s="27"/>
      <c r="BS71" s="27"/>
      <c r="BT71" s="27"/>
      <c r="BU71" s="27"/>
      <c r="BV71" s="27"/>
      <c r="BW71" s="27"/>
      <c r="BX71" s="27"/>
      <c r="BY71" s="27"/>
      <c r="BZ71" s="27"/>
      <c r="CA71" s="27"/>
      <c r="CB71" s="27"/>
      <c r="CC71" s="27"/>
      <c r="CD71" s="27"/>
      <c r="CE71" s="27"/>
    </row>
    <row r="72" spans="1:83" ht="34" customHeight="1" x14ac:dyDescent="0.2">
      <c r="A72" s="10" t="s">
        <v>144</v>
      </c>
      <c r="B72" s="26" t="s">
        <v>196</v>
      </c>
      <c r="C72" s="20" t="str">
        <f>IF(TRIM($B72)="","",IFERROR(INDEX(People!$A$2:$A$199,MATCH(TRIM($B72),People!$B$2:$B$199,0)),IFERROR(INDEX(Teams!$A$2:$A$9,MATCH(TRIM($B72),Teams!$B$2:$B$9,0)),"?? CHECK NAME")))</f>
        <v>TM-UTD</v>
      </c>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c r="BP72" s="27"/>
      <c r="BQ72" s="27"/>
      <c r="BR72" s="27"/>
      <c r="BS72" s="27"/>
      <c r="BT72" s="27"/>
      <c r="BU72" s="27"/>
      <c r="BV72" s="27"/>
      <c r="BW72" s="27"/>
      <c r="BX72" s="27"/>
      <c r="BY72" s="27"/>
      <c r="BZ72" s="27"/>
      <c r="CA72" s="27"/>
      <c r="CB72" s="27"/>
      <c r="CC72" s="27"/>
      <c r="CD72" s="27"/>
      <c r="CE72" s="27"/>
    </row>
    <row r="73" spans="1:83" ht="34" customHeight="1" x14ac:dyDescent="0.2">
      <c r="A73" s="10" t="s">
        <v>144</v>
      </c>
      <c r="B73" s="26" t="s">
        <v>199</v>
      </c>
      <c r="C73" s="20" t="str">
        <f>IF(TRIM($B73)="","",IFERROR(INDEX(People!$A$2:$A$199,MATCH(TRIM($B73),People!$B$2:$B$199,0)),IFERROR(INDEX(Teams!$A$2:$A$9,MATCH(TRIM($B73),Teams!$B$2:$B$9,0)),"?? CHECK NAME")))</f>
        <v>TM-UVA</v>
      </c>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c r="BO73" s="27"/>
      <c r="BP73" s="27"/>
      <c r="BQ73" s="27"/>
      <c r="BR73" s="27"/>
      <c r="BS73" s="27"/>
      <c r="BT73" s="27"/>
      <c r="BU73" s="27"/>
      <c r="BV73" s="27"/>
      <c r="BW73" s="27"/>
      <c r="BX73" s="27"/>
      <c r="BY73" s="27"/>
      <c r="BZ73" s="27"/>
      <c r="CA73" s="27"/>
      <c r="CB73" s="27"/>
      <c r="CC73" s="27"/>
      <c r="CD73" s="27"/>
      <c r="CE73" s="27"/>
    </row>
    <row r="74" spans="1:83" ht="34" customHeight="1" x14ac:dyDescent="0.2">
      <c r="A74" s="10" t="s">
        <v>144</v>
      </c>
      <c r="B74" s="26" t="s">
        <v>202</v>
      </c>
      <c r="C74" s="20" t="str">
        <f>IF(TRIM($B74)="","",IFERROR(INDEX(People!$A$2:$A$199,MATCH(TRIM($B74),People!$B$2:$B$199,0)),IFERROR(INDEX(Teams!$A$2:$A$9,MATCH(TRIM($B74),Teams!$B$2:$B$9,0)),"?? CHECK NAME")))</f>
        <v>TM-UMD</v>
      </c>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c r="BQ74" s="27"/>
      <c r="BR74" s="27"/>
      <c r="BS74" s="27"/>
      <c r="BT74" s="27"/>
      <c r="BU74" s="27"/>
      <c r="BV74" s="27"/>
      <c r="BW74" s="27"/>
      <c r="BX74" s="27"/>
      <c r="BY74" s="27"/>
      <c r="BZ74" s="27"/>
      <c r="CA74" s="27"/>
      <c r="CB74" s="27"/>
      <c r="CC74" s="27"/>
      <c r="CD74" s="27"/>
      <c r="CE74" s="27"/>
    </row>
    <row r="75" spans="1:83" ht="34" customHeight="1" x14ac:dyDescent="0.2">
      <c r="A75" s="10" t="s">
        <v>144</v>
      </c>
      <c r="B75" s="26" t="s">
        <v>205</v>
      </c>
      <c r="C75" s="20" t="str">
        <f>IF(TRIM($B75)="","",IFERROR(INDEX(People!$A$2:$A$199,MATCH(TRIM($B75),People!$B$2:$B$199,0)),IFERROR(INDEX(Teams!$A$2:$A$9,MATCH(TRIM($B75),Teams!$B$2:$B$9,0)),"?? CHECK NAME")))</f>
        <v>TM-UMI</v>
      </c>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c r="BO75" s="27"/>
      <c r="BP75" s="27"/>
      <c r="BQ75" s="27"/>
      <c r="BR75" s="27"/>
      <c r="BS75" s="27"/>
      <c r="BT75" s="27"/>
      <c r="BU75" s="27"/>
      <c r="BV75" s="27"/>
      <c r="BW75" s="27"/>
      <c r="BX75" s="27"/>
      <c r="BY75" s="27"/>
      <c r="BZ75" s="27"/>
      <c r="CA75" s="27"/>
      <c r="CB75" s="27"/>
      <c r="CC75" s="27"/>
      <c r="CD75" s="27"/>
      <c r="CE75" s="27"/>
    </row>
    <row r="76" spans="1:83" ht="34" customHeight="1" x14ac:dyDescent="0.2">
      <c r="A76" s="10" t="s">
        <v>144</v>
      </c>
      <c r="B76" s="26" t="s">
        <v>208</v>
      </c>
      <c r="C76" s="20" t="str">
        <f>IF(TRIM($B76)="","",IFERROR(INDEX(People!$A$2:$A$199,MATCH(TRIM($B76),People!$B$2:$B$199,0)),IFERROR(INDEX(Teams!$A$2:$A$9,MATCH(TRIM($B76),Teams!$B$2:$B$9,0)),"?? CHECK NAME")))</f>
        <v>TM-MSU</v>
      </c>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c r="BO76" s="27"/>
      <c r="BP76" s="27"/>
      <c r="BQ76" s="27"/>
      <c r="BR76" s="27"/>
      <c r="BS76" s="27"/>
      <c r="BT76" s="27"/>
      <c r="BU76" s="27"/>
      <c r="BV76" s="27"/>
      <c r="BW76" s="27"/>
      <c r="BX76" s="27"/>
      <c r="BY76" s="27"/>
      <c r="BZ76" s="27"/>
      <c r="CA76" s="27"/>
      <c r="CB76" s="27"/>
      <c r="CC76" s="27"/>
      <c r="CD76" s="27"/>
      <c r="CE76" s="27"/>
    </row>
    <row r="77" spans="1:83" ht="34" customHeight="1" x14ac:dyDescent="0.2">
      <c r="A77" s="10" t="s">
        <v>144</v>
      </c>
      <c r="B77" s="26" t="s">
        <v>211</v>
      </c>
      <c r="C77" s="20" t="str">
        <f>IF(TRIM($B77)="","",IFERROR(INDEX(People!$A$2:$A$199,MATCH(TRIM($B77),People!$B$2:$B$199,0)),IFERROR(INDEX(Teams!$A$2:$A$9,MATCH(TRIM($B77),Teams!$B$2:$B$9,0)),"?? CHECK NAME")))</f>
        <v>TM-GT</v>
      </c>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c r="BO77" s="27"/>
      <c r="BP77" s="27"/>
      <c r="BQ77" s="27"/>
      <c r="BR77" s="27"/>
      <c r="BS77" s="27"/>
      <c r="BT77" s="27"/>
      <c r="BU77" s="27"/>
      <c r="BV77" s="27"/>
      <c r="BW77" s="27"/>
      <c r="BX77" s="27"/>
      <c r="BY77" s="27"/>
      <c r="BZ77" s="27"/>
      <c r="CA77" s="27"/>
      <c r="CB77" s="27"/>
      <c r="CC77" s="27"/>
      <c r="CD77" s="27"/>
      <c r="CE77" s="27"/>
    </row>
    <row r="78" spans="1:83" ht="18" customHeight="1" x14ac:dyDescent="0.2">
      <c r="A78" s="43" t="s">
        <v>241</v>
      </c>
      <c r="B78" s="44"/>
      <c r="C78" s="44"/>
      <c r="D78" s="44"/>
      <c r="E78" s="44"/>
      <c r="F78" s="44"/>
      <c r="G78" s="44"/>
      <c r="H78" s="44"/>
      <c r="I78" s="44"/>
      <c r="J78" s="44"/>
      <c r="K78" s="44"/>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5"/>
    </row>
    <row r="79" spans="1:83" ht="34" customHeight="1" x14ac:dyDescent="0.2">
      <c r="A79" s="10" t="s">
        <v>242</v>
      </c>
      <c r="B79" s="11" t="s">
        <v>243</v>
      </c>
      <c r="C79" s="20" t="s">
        <v>244</v>
      </c>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c r="AV79" s="27"/>
      <c r="AW79" s="27"/>
      <c r="AX79" s="27"/>
      <c r="AY79" s="27"/>
      <c r="AZ79" s="27"/>
      <c r="BA79" s="27"/>
      <c r="BB79" s="27"/>
      <c r="BC79" s="27"/>
      <c r="BD79" s="27"/>
      <c r="BE79" s="27"/>
      <c r="BF79" s="27"/>
      <c r="BG79" s="27"/>
      <c r="BH79" s="27"/>
      <c r="BI79" s="27"/>
      <c r="BJ79" s="27"/>
      <c r="BK79" s="27"/>
      <c r="BL79" s="27"/>
      <c r="BM79" s="27"/>
      <c r="BN79" s="27"/>
      <c r="BO79" s="27"/>
      <c r="BP79" s="27"/>
      <c r="BQ79" s="27"/>
      <c r="BR79" s="27"/>
      <c r="BS79" s="27"/>
      <c r="BT79" s="27"/>
      <c r="BU79" s="27"/>
      <c r="BV79" s="27"/>
      <c r="BW79" s="27"/>
      <c r="BX79" s="27"/>
      <c r="BY79" s="27"/>
      <c r="BZ79" s="27"/>
      <c r="CA79" s="27"/>
      <c r="CB79" s="27"/>
      <c r="CC79" s="27"/>
      <c r="CD79" s="27"/>
      <c r="CE79" s="27"/>
    </row>
    <row r="80" spans="1:83" ht="34" customHeight="1" x14ac:dyDescent="0.2">
      <c r="A80" s="10" t="s">
        <v>245</v>
      </c>
      <c r="B80" s="11" t="s">
        <v>246</v>
      </c>
      <c r="C80" s="20" t="s">
        <v>247</v>
      </c>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7"/>
      <c r="BO80" s="27"/>
      <c r="BP80" s="27"/>
      <c r="BQ80" s="27"/>
      <c r="BR80" s="27"/>
      <c r="BS80" s="27"/>
      <c r="BT80" s="27"/>
      <c r="BU80" s="27"/>
      <c r="BV80" s="27"/>
      <c r="BW80" s="27"/>
      <c r="BX80" s="27"/>
      <c r="BY80" s="27"/>
      <c r="BZ80" s="27"/>
      <c r="CA80" s="27"/>
      <c r="CB80" s="27"/>
      <c r="CC80" s="27"/>
      <c r="CD80" s="27"/>
      <c r="CE80" s="27"/>
    </row>
    <row r="81" spans="1:83" ht="34" customHeight="1" x14ac:dyDescent="0.2">
      <c r="A81" s="39" t="s">
        <v>248</v>
      </c>
      <c r="B81" s="24"/>
      <c r="C81" s="20" t="str">
        <f>IF(TRIM($B81)="","",IFERROR(INDEX(People!$A$2:$A$199,MATCH(TRIM($B81),People!$B$2:$B$199,0)),IFERROR(INDEX(Teams!$A$2:$A$9,MATCH(TRIM($B81),Teams!$B$2:$B$9,0)),"?? CHECK NAME")))</f>
        <v/>
      </c>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c r="BN81" s="25"/>
      <c r="BO81" s="25"/>
      <c r="BP81" s="25"/>
      <c r="BQ81" s="25"/>
      <c r="BR81" s="25"/>
      <c r="BS81" s="25"/>
      <c r="BT81" s="25"/>
      <c r="BU81" s="25"/>
      <c r="BV81" s="25"/>
      <c r="BW81" s="25"/>
      <c r="BX81" s="25"/>
      <c r="BY81" s="25"/>
      <c r="BZ81" s="25"/>
      <c r="CA81" s="25"/>
      <c r="CB81" s="25"/>
      <c r="CC81" s="25"/>
      <c r="CD81" s="25"/>
      <c r="CE81" s="25"/>
    </row>
    <row r="82" spans="1:83" ht="34" customHeight="1" x14ac:dyDescent="0.2">
      <c r="A82" s="40"/>
      <c r="B82" s="24"/>
      <c r="C82" s="20" t="str">
        <f>IF(TRIM($B82)="","",IFERROR(INDEX(People!$A$2:$A$199,MATCH(TRIM($B82),People!$B$2:$B$199,0)),IFERROR(INDEX(Teams!$A$2:$A$9,MATCH(TRIM($B82),Teams!$B$2:$B$9,0)),"?? CHECK NAME")))</f>
        <v/>
      </c>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c r="BN82" s="25"/>
      <c r="BO82" s="25"/>
      <c r="BP82" s="25"/>
      <c r="BQ82" s="25"/>
      <c r="BR82" s="25"/>
      <c r="BS82" s="25"/>
      <c r="BT82" s="25"/>
      <c r="BU82" s="25"/>
      <c r="BV82" s="25"/>
      <c r="BW82" s="25"/>
      <c r="BX82" s="25"/>
      <c r="BY82" s="25"/>
      <c r="BZ82" s="25"/>
      <c r="CA82" s="25"/>
      <c r="CB82" s="25"/>
      <c r="CC82" s="25"/>
      <c r="CD82" s="25"/>
      <c r="CE82" s="25"/>
    </row>
    <row r="83" spans="1:83" ht="34" customHeight="1" x14ac:dyDescent="0.2">
      <c r="A83" s="40"/>
      <c r="B83" s="24"/>
      <c r="C83" s="20" t="str">
        <f>IF(TRIM($B83)="","",IFERROR(INDEX(People!$A$2:$A$199,MATCH(TRIM($B83),People!$B$2:$B$199,0)),IFERROR(INDEX(Teams!$A$2:$A$9,MATCH(TRIM($B83),Teams!$B$2:$B$9,0)),"?? CHECK NAME")))</f>
        <v/>
      </c>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c r="BL83" s="25"/>
      <c r="BM83" s="25"/>
      <c r="BN83" s="25"/>
      <c r="BO83" s="25"/>
      <c r="BP83" s="25"/>
      <c r="BQ83" s="25"/>
      <c r="BR83" s="25"/>
      <c r="BS83" s="25"/>
      <c r="BT83" s="25"/>
      <c r="BU83" s="25"/>
      <c r="BV83" s="25"/>
      <c r="BW83" s="25"/>
      <c r="BX83" s="25"/>
      <c r="BY83" s="25"/>
      <c r="BZ83" s="25"/>
      <c r="CA83" s="25"/>
      <c r="CB83" s="25"/>
      <c r="CC83" s="25"/>
      <c r="CD83" s="25"/>
      <c r="CE83" s="25"/>
    </row>
    <row r="84" spans="1:83" ht="34" customHeight="1" x14ac:dyDescent="0.2">
      <c r="A84" s="40"/>
      <c r="B84" s="24"/>
      <c r="C84" s="20" t="str">
        <f>IF(TRIM($B84)="","",IFERROR(INDEX(People!$A$2:$A$199,MATCH(TRIM($B84),People!$B$2:$B$199,0)),IFERROR(INDEX(Teams!$A$2:$A$9,MATCH(TRIM($B84),Teams!$B$2:$B$9,0)),"?? CHECK NAME")))</f>
        <v/>
      </c>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c r="BL84" s="25"/>
      <c r="BM84" s="25"/>
      <c r="BN84" s="25"/>
      <c r="BO84" s="25"/>
      <c r="BP84" s="25"/>
      <c r="BQ84" s="25"/>
      <c r="BR84" s="25"/>
      <c r="BS84" s="25"/>
      <c r="BT84" s="25"/>
      <c r="BU84" s="25"/>
      <c r="BV84" s="25"/>
      <c r="BW84" s="25"/>
      <c r="BX84" s="25"/>
      <c r="BY84" s="25"/>
      <c r="BZ84" s="25"/>
      <c r="CA84" s="25"/>
      <c r="CB84" s="25"/>
      <c r="CC84" s="25"/>
      <c r="CD84" s="25"/>
      <c r="CE84" s="25"/>
    </row>
    <row r="85" spans="1:83" ht="34" customHeight="1" x14ac:dyDescent="0.2">
      <c r="A85" s="41"/>
      <c r="B85" s="24"/>
      <c r="C85" s="20" t="str">
        <f>IF(TRIM($B85)="","",IFERROR(INDEX(People!$A$2:$A$199,MATCH(TRIM($B85),People!$B$2:$B$199,0)),IFERROR(INDEX(Teams!$A$2:$A$9,MATCH(TRIM($B85),Teams!$B$2:$B$9,0)),"?? CHECK NAME")))</f>
        <v/>
      </c>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c r="BK85" s="25"/>
      <c r="BL85" s="25"/>
      <c r="BM85" s="25"/>
      <c r="BN85" s="25"/>
      <c r="BO85" s="25"/>
      <c r="BP85" s="25"/>
      <c r="BQ85" s="25"/>
      <c r="BR85" s="25"/>
      <c r="BS85" s="25"/>
      <c r="BT85" s="25"/>
      <c r="BU85" s="25"/>
      <c r="BV85" s="25"/>
      <c r="BW85" s="25"/>
      <c r="BX85" s="25"/>
      <c r="BY85" s="25"/>
      <c r="BZ85" s="25"/>
      <c r="CA85" s="25"/>
      <c r="CB85" s="25"/>
      <c r="CC85" s="25"/>
      <c r="CD85" s="25"/>
      <c r="CE85" s="25"/>
    </row>
    <row r="86" spans="1:83" ht="18" customHeight="1" x14ac:dyDescent="0.2">
      <c r="A86" s="43" t="s">
        <v>249</v>
      </c>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5"/>
    </row>
    <row r="87" spans="1:83" ht="34" customHeight="1" x14ac:dyDescent="0.2">
      <c r="A87" s="42" t="s">
        <v>158</v>
      </c>
      <c r="B87" s="28" t="str">
        <f>IFERROR(INDEX(People!$B$2:$B$199,MATCH($A$87&amp;"#"&amp;1,People!$H$2:$H$199,0)),"")</f>
        <v>Example Liaison One</v>
      </c>
      <c r="C87" s="20" t="str">
        <f>IF(TRIM($B87)="","",IFERROR(INDEX(People!$A$2:$A$199,MATCH(TRIM($B87),People!$B$2:$B$199,0)),"?? CHECK NAME"))</f>
        <v>LIA-01</v>
      </c>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c r="BN87" s="25"/>
      <c r="BO87" s="25"/>
      <c r="BP87" s="25"/>
      <c r="BQ87" s="25"/>
      <c r="BR87" s="25"/>
      <c r="BS87" s="25"/>
      <c r="BT87" s="25"/>
      <c r="BU87" s="25"/>
      <c r="BV87" s="25"/>
      <c r="BW87" s="25"/>
      <c r="BX87" s="25"/>
      <c r="BY87" s="25"/>
      <c r="BZ87" s="25"/>
      <c r="CA87" s="25"/>
      <c r="CB87" s="25"/>
      <c r="CC87" s="25"/>
      <c r="CD87" s="25"/>
      <c r="CE87" s="25"/>
    </row>
    <row r="88" spans="1:83" ht="34" customHeight="1" x14ac:dyDescent="0.2">
      <c r="A88" s="40"/>
      <c r="B88" s="28" t="str">
        <f>IFERROR(INDEX(People!$B$2:$B$199,MATCH($A$87&amp;"#"&amp;2,People!$H$2:$H$199,0)),"")</f>
        <v>Example Liaison Two</v>
      </c>
      <c r="C88" s="20" t="str">
        <f>IF(TRIM($B88)="","",IFERROR(INDEX(People!$A$2:$A$199,MATCH(TRIM($B88),People!$B$2:$B$199,0)),"?? CHECK NAME"))</f>
        <v>LIA-02</v>
      </c>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c r="BN88" s="25"/>
      <c r="BO88" s="25"/>
      <c r="BP88" s="25"/>
      <c r="BQ88" s="25"/>
      <c r="BR88" s="25"/>
      <c r="BS88" s="25"/>
      <c r="BT88" s="25"/>
      <c r="BU88" s="25"/>
      <c r="BV88" s="25"/>
      <c r="BW88" s="25"/>
      <c r="BX88" s="25"/>
      <c r="BY88" s="25"/>
      <c r="BZ88" s="25"/>
      <c r="CA88" s="25"/>
      <c r="CB88" s="25"/>
      <c r="CC88" s="25"/>
      <c r="CD88" s="25"/>
      <c r="CE88" s="25"/>
    </row>
    <row r="89" spans="1:83" ht="34" customHeight="1" x14ac:dyDescent="0.2">
      <c r="A89" s="40"/>
      <c r="B89" s="28" t="str">
        <f>IFERROR(INDEX(People!$B$2:$B$199,MATCH($A$87&amp;"#"&amp;3,People!$H$2:$H$199,0)),"")</f>
        <v>Example Liaison Three</v>
      </c>
      <c r="C89" s="20" t="str">
        <f>IF(TRIM($B89)="","",IFERROR(INDEX(People!$A$2:$A$199,MATCH(TRIM($B89),People!$B$2:$B$199,0)),"?? CHECK NAME"))</f>
        <v>LIA-03</v>
      </c>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c r="BL89" s="25"/>
      <c r="BM89" s="25"/>
      <c r="BN89" s="25"/>
      <c r="BO89" s="25"/>
      <c r="BP89" s="25"/>
      <c r="BQ89" s="25"/>
      <c r="BR89" s="25"/>
      <c r="BS89" s="25"/>
      <c r="BT89" s="25"/>
      <c r="BU89" s="25"/>
      <c r="BV89" s="25"/>
      <c r="BW89" s="25"/>
      <c r="BX89" s="25"/>
      <c r="BY89" s="25"/>
      <c r="BZ89" s="25"/>
      <c r="CA89" s="25"/>
      <c r="CB89" s="25"/>
      <c r="CC89" s="25"/>
      <c r="CD89" s="25"/>
      <c r="CE89" s="25"/>
    </row>
    <row r="90" spans="1:83" ht="34" customHeight="1" x14ac:dyDescent="0.2">
      <c r="A90" s="40"/>
      <c r="B90" s="28" t="str">
        <f>IFERROR(INDEX(People!$B$2:$B$199,MATCH($A$87&amp;"#"&amp;4,People!$H$2:$H$199,0)),"")</f>
        <v/>
      </c>
      <c r="C90" s="20" t="str">
        <f>IF(TRIM($B90)="","",IFERROR(INDEX(People!$A$2:$A$199,MATCH(TRIM($B90),People!$B$2:$B$199,0)),"?? CHECK NAME"))</f>
        <v/>
      </c>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5"/>
      <c r="BK90" s="25"/>
      <c r="BL90" s="25"/>
      <c r="BM90" s="25"/>
      <c r="BN90" s="25"/>
      <c r="BO90" s="25"/>
      <c r="BP90" s="25"/>
      <c r="BQ90" s="25"/>
      <c r="BR90" s="25"/>
      <c r="BS90" s="25"/>
      <c r="BT90" s="25"/>
      <c r="BU90" s="25"/>
      <c r="BV90" s="25"/>
      <c r="BW90" s="25"/>
      <c r="BX90" s="25"/>
      <c r="BY90" s="25"/>
      <c r="BZ90" s="25"/>
      <c r="CA90" s="25"/>
      <c r="CB90" s="25"/>
      <c r="CC90" s="25"/>
      <c r="CD90" s="25"/>
      <c r="CE90" s="25"/>
    </row>
    <row r="91" spans="1:83" ht="34" customHeight="1" x14ac:dyDescent="0.2">
      <c r="A91" s="41"/>
      <c r="B91" s="28" t="str">
        <f>IFERROR(INDEX(People!$B$2:$B$199,MATCH($A$87&amp;"#"&amp;5,People!$H$2:$H$199,0)),"")</f>
        <v/>
      </c>
      <c r="C91" s="20" t="str">
        <f>IF(TRIM($B91)="","",IFERROR(INDEX(People!$A$2:$A$199,MATCH(TRIM($B91),People!$B$2:$B$199,0)),"?? CHECK NAME"))</f>
        <v/>
      </c>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5"/>
      <c r="BP91" s="25"/>
      <c r="BQ91" s="25"/>
      <c r="BR91" s="25"/>
      <c r="BS91" s="25"/>
      <c r="BT91" s="25"/>
      <c r="BU91" s="25"/>
      <c r="BV91" s="25"/>
      <c r="BW91" s="25"/>
      <c r="BX91" s="25"/>
      <c r="BY91" s="25"/>
      <c r="BZ91" s="25"/>
      <c r="CA91" s="25"/>
      <c r="CB91" s="25"/>
      <c r="CC91" s="25"/>
      <c r="CD91" s="25"/>
      <c r="CE91" s="25"/>
    </row>
    <row r="92" spans="1:83" ht="34" customHeight="1" x14ac:dyDescent="0.2">
      <c r="A92" s="42" t="s">
        <v>193</v>
      </c>
      <c r="B92" s="28" t="str">
        <f>IFERROR(INDEX(People!$B$2:$B$199,MATCH($A$92&amp;"#"&amp;1,People!$H$2:$H$199,0)),"")</f>
        <v/>
      </c>
      <c r="C92" s="20" t="str">
        <f>IF(TRIM($B92)="","",IFERROR(INDEX(People!$A$2:$A$199,MATCH(TRIM($B92),People!$B$2:$B$199,0)),"?? CHECK NAME"))</f>
        <v/>
      </c>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c r="BN92" s="25"/>
      <c r="BO92" s="25"/>
      <c r="BP92" s="25"/>
      <c r="BQ92" s="25"/>
      <c r="BR92" s="25"/>
      <c r="BS92" s="25"/>
      <c r="BT92" s="25"/>
      <c r="BU92" s="25"/>
      <c r="BV92" s="25"/>
      <c r="BW92" s="25"/>
      <c r="BX92" s="25"/>
      <c r="BY92" s="25"/>
      <c r="BZ92" s="25"/>
      <c r="CA92" s="25"/>
      <c r="CB92" s="25"/>
      <c r="CC92" s="25"/>
      <c r="CD92" s="25"/>
      <c r="CE92" s="25"/>
    </row>
    <row r="93" spans="1:83" ht="34" customHeight="1" x14ac:dyDescent="0.2">
      <c r="A93" s="40"/>
      <c r="B93" s="28" t="str">
        <f>IFERROR(INDEX(People!$B$2:$B$199,MATCH($A$92&amp;"#"&amp;2,People!$H$2:$H$199,0)),"")</f>
        <v/>
      </c>
      <c r="C93" s="20" t="str">
        <f>IF(TRIM($B93)="","",IFERROR(INDEX(People!$A$2:$A$199,MATCH(TRIM($B93),People!$B$2:$B$199,0)),"?? CHECK NAME"))</f>
        <v/>
      </c>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c r="BK93" s="25"/>
      <c r="BL93" s="25"/>
      <c r="BM93" s="25"/>
      <c r="BN93" s="25"/>
      <c r="BO93" s="25"/>
      <c r="BP93" s="25"/>
      <c r="BQ93" s="25"/>
      <c r="BR93" s="25"/>
      <c r="BS93" s="25"/>
      <c r="BT93" s="25"/>
      <c r="BU93" s="25"/>
      <c r="BV93" s="25"/>
      <c r="BW93" s="25"/>
      <c r="BX93" s="25"/>
      <c r="BY93" s="25"/>
      <c r="BZ93" s="25"/>
      <c r="CA93" s="25"/>
      <c r="CB93" s="25"/>
      <c r="CC93" s="25"/>
      <c r="CD93" s="25"/>
      <c r="CE93" s="25"/>
    </row>
    <row r="94" spans="1:83" ht="34" customHeight="1" x14ac:dyDescent="0.2">
      <c r="A94" s="40"/>
      <c r="B94" s="28" t="str">
        <f>IFERROR(INDEX(People!$B$2:$B$199,MATCH($A$92&amp;"#"&amp;3,People!$H$2:$H$199,0)),"")</f>
        <v/>
      </c>
      <c r="C94" s="20" t="str">
        <f>IF(TRIM($B94)="","",IFERROR(INDEX(People!$A$2:$A$199,MATCH(TRIM($B94),People!$B$2:$B$199,0)),"?? CHECK NAME"))</f>
        <v/>
      </c>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c r="BK94" s="25"/>
      <c r="BL94" s="25"/>
      <c r="BM94" s="25"/>
      <c r="BN94" s="25"/>
      <c r="BO94" s="25"/>
      <c r="BP94" s="25"/>
      <c r="BQ94" s="25"/>
      <c r="BR94" s="25"/>
      <c r="BS94" s="25"/>
      <c r="BT94" s="25"/>
      <c r="BU94" s="25"/>
      <c r="BV94" s="25"/>
      <c r="BW94" s="25"/>
      <c r="BX94" s="25"/>
      <c r="BY94" s="25"/>
      <c r="BZ94" s="25"/>
      <c r="CA94" s="25"/>
      <c r="CB94" s="25"/>
      <c r="CC94" s="25"/>
      <c r="CD94" s="25"/>
      <c r="CE94" s="25"/>
    </row>
    <row r="95" spans="1:83" ht="34" customHeight="1" x14ac:dyDescent="0.2">
      <c r="A95" s="40"/>
      <c r="B95" s="28" t="str">
        <f>IFERROR(INDEX(People!$B$2:$B$199,MATCH($A$92&amp;"#"&amp;4,People!$H$2:$H$199,0)),"")</f>
        <v/>
      </c>
      <c r="C95" s="20" t="str">
        <f>IF(TRIM($B95)="","",IFERROR(INDEX(People!$A$2:$A$199,MATCH(TRIM($B95),People!$B$2:$B$199,0)),"?? CHECK NAME"))</f>
        <v/>
      </c>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c r="BK95" s="25"/>
      <c r="BL95" s="25"/>
      <c r="BM95" s="25"/>
      <c r="BN95" s="25"/>
      <c r="BO95" s="25"/>
      <c r="BP95" s="25"/>
      <c r="BQ95" s="25"/>
      <c r="BR95" s="25"/>
      <c r="BS95" s="25"/>
      <c r="BT95" s="25"/>
      <c r="BU95" s="25"/>
      <c r="BV95" s="25"/>
      <c r="BW95" s="25"/>
      <c r="BX95" s="25"/>
      <c r="BY95" s="25"/>
      <c r="BZ95" s="25"/>
      <c r="CA95" s="25"/>
      <c r="CB95" s="25"/>
      <c r="CC95" s="25"/>
      <c r="CD95" s="25"/>
      <c r="CE95" s="25"/>
    </row>
    <row r="96" spans="1:83" ht="34" customHeight="1" x14ac:dyDescent="0.2">
      <c r="A96" s="41"/>
      <c r="B96" s="28" t="str">
        <f>IFERROR(INDEX(People!$B$2:$B$199,MATCH($A$92&amp;"#"&amp;5,People!$H$2:$H$199,0)),"")</f>
        <v/>
      </c>
      <c r="C96" s="20" t="str">
        <f>IF(TRIM($B96)="","",IFERROR(INDEX(People!$A$2:$A$199,MATCH(TRIM($B96),People!$B$2:$B$199,0)),"?? CHECK NAME"))</f>
        <v/>
      </c>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c r="BK96" s="25"/>
      <c r="BL96" s="25"/>
      <c r="BM96" s="25"/>
      <c r="BN96" s="25"/>
      <c r="BO96" s="25"/>
      <c r="BP96" s="25"/>
      <c r="BQ96" s="25"/>
      <c r="BR96" s="25"/>
      <c r="BS96" s="25"/>
      <c r="BT96" s="25"/>
      <c r="BU96" s="25"/>
      <c r="BV96" s="25"/>
      <c r="BW96" s="25"/>
      <c r="BX96" s="25"/>
      <c r="BY96" s="25"/>
      <c r="BZ96" s="25"/>
      <c r="CA96" s="25"/>
      <c r="CB96" s="25"/>
      <c r="CC96" s="25"/>
      <c r="CD96" s="25"/>
      <c r="CE96" s="25"/>
    </row>
    <row r="97" spans="1:83" ht="34" customHeight="1" x14ac:dyDescent="0.2">
      <c r="A97" s="42" t="s">
        <v>196</v>
      </c>
      <c r="B97" s="28" t="str">
        <f>IFERROR(INDEX(People!$B$2:$B$199,MATCH($A$97&amp;"#"&amp;1,People!$H$2:$H$199,0)),"")</f>
        <v/>
      </c>
      <c r="C97" s="20" t="str">
        <f>IF(TRIM($B97)="","",IFERROR(INDEX(People!$A$2:$A$199,MATCH(TRIM($B97),People!$B$2:$B$199,0)),"?? CHECK NAME"))</f>
        <v/>
      </c>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c r="BM97" s="25"/>
      <c r="BN97" s="25"/>
      <c r="BO97" s="25"/>
      <c r="BP97" s="25"/>
      <c r="BQ97" s="25"/>
      <c r="BR97" s="25"/>
      <c r="BS97" s="25"/>
      <c r="BT97" s="25"/>
      <c r="BU97" s="25"/>
      <c r="BV97" s="25"/>
      <c r="BW97" s="25"/>
      <c r="BX97" s="25"/>
      <c r="BY97" s="25"/>
      <c r="BZ97" s="25"/>
      <c r="CA97" s="25"/>
      <c r="CB97" s="25"/>
      <c r="CC97" s="25"/>
      <c r="CD97" s="25"/>
      <c r="CE97" s="25"/>
    </row>
    <row r="98" spans="1:83" ht="34" customHeight="1" x14ac:dyDescent="0.2">
      <c r="A98" s="40"/>
      <c r="B98" s="28" t="str">
        <f>IFERROR(INDEX(People!$B$2:$B$199,MATCH($A$97&amp;"#"&amp;2,People!$H$2:$H$199,0)),"")</f>
        <v/>
      </c>
      <c r="C98" s="20" t="str">
        <f>IF(TRIM($B98)="","",IFERROR(INDEX(People!$A$2:$A$199,MATCH(TRIM($B98),People!$B$2:$B$199,0)),"?? CHECK NAME"))</f>
        <v/>
      </c>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c r="BN98" s="25"/>
      <c r="BO98" s="25"/>
      <c r="BP98" s="25"/>
      <c r="BQ98" s="25"/>
      <c r="BR98" s="25"/>
      <c r="BS98" s="25"/>
      <c r="BT98" s="25"/>
      <c r="BU98" s="25"/>
      <c r="BV98" s="25"/>
      <c r="BW98" s="25"/>
      <c r="BX98" s="25"/>
      <c r="BY98" s="25"/>
      <c r="BZ98" s="25"/>
      <c r="CA98" s="25"/>
      <c r="CB98" s="25"/>
      <c r="CC98" s="25"/>
      <c r="CD98" s="25"/>
      <c r="CE98" s="25"/>
    </row>
    <row r="99" spans="1:83" ht="34" customHeight="1" x14ac:dyDescent="0.2">
      <c r="A99" s="40"/>
      <c r="B99" s="28" t="str">
        <f>IFERROR(INDEX(People!$B$2:$B$199,MATCH($A$97&amp;"#"&amp;3,People!$H$2:$H$199,0)),"")</f>
        <v/>
      </c>
      <c r="C99" s="20" t="str">
        <f>IF(TRIM($B99)="","",IFERROR(INDEX(People!$A$2:$A$199,MATCH(TRIM($B99),People!$B$2:$B$199,0)),"?? CHECK NAME"))</f>
        <v/>
      </c>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c r="BN99" s="25"/>
      <c r="BO99" s="25"/>
      <c r="BP99" s="25"/>
      <c r="BQ99" s="25"/>
      <c r="BR99" s="25"/>
      <c r="BS99" s="25"/>
      <c r="BT99" s="25"/>
      <c r="BU99" s="25"/>
      <c r="BV99" s="25"/>
      <c r="BW99" s="25"/>
      <c r="BX99" s="25"/>
      <c r="BY99" s="25"/>
      <c r="BZ99" s="25"/>
      <c r="CA99" s="25"/>
      <c r="CB99" s="25"/>
      <c r="CC99" s="25"/>
      <c r="CD99" s="25"/>
      <c r="CE99" s="25"/>
    </row>
    <row r="100" spans="1:83" ht="34" customHeight="1" x14ac:dyDescent="0.2">
      <c r="A100" s="40"/>
      <c r="B100" s="28" t="str">
        <f>IFERROR(INDEX(People!$B$2:$B$199,MATCH($A$97&amp;"#"&amp;4,People!$H$2:$H$199,0)),"")</f>
        <v/>
      </c>
      <c r="C100" s="20" t="str">
        <f>IF(TRIM($B100)="","",IFERROR(INDEX(People!$A$2:$A$199,MATCH(TRIM($B100),People!$B$2:$B$199,0)),"?? CHECK NAME"))</f>
        <v/>
      </c>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c r="BL100" s="25"/>
      <c r="BM100" s="25"/>
      <c r="BN100" s="25"/>
      <c r="BO100" s="25"/>
      <c r="BP100" s="25"/>
      <c r="BQ100" s="25"/>
      <c r="BR100" s="25"/>
      <c r="BS100" s="25"/>
      <c r="BT100" s="25"/>
      <c r="BU100" s="25"/>
      <c r="BV100" s="25"/>
      <c r="BW100" s="25"/>
      <c r="BX100" s="25"/>
      <c r="BY100" s="25"/>
      <c r="BZ100" s="25"/>
      <c r="CA100" s="25"/>
      <c r="CB100" s="25"/>
      <c r="CC100" s="25"/>
      <c r="CD100" s="25"/>
      <c r="CE100" s="25"/>
    </row>
    <row r="101" spans="1:83" ht="34" customHeight="1" x14ac:dyDescent="0.2">
      <c r="A101" s="41"/>
      <c r="B101" s="28" t="str">
        <f>IFERROR(INDEX(People!$B$2:$B$199,MATCH($A$97&amp;"#"&amp;5,People!$H$2:$H$199,0)),"")</f>
        <v/>
      </c>
      <c r="C101" s="20" t="str">
        <f>IF(TRIM($B101)="","",IFERROR(INDEX(People!$A$2:$A$199,MATCH(TRIM($B101),People!$B$2:$B$199,0)),"?? CHECK NAME"))</f>
        <v/>
      </c>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25"/>
      <c r="BR101" s="25"/>
      <c r="BS101" s="25"/>
      <c r="BT101" s="25"/>
      <c r="BU101" s="25"/>
      <c r="BV101" s="25"/>
      <c r="BW101" s="25"/>
      <c r="BX101" s="25"/>
      <c r="BY101" s="25"/>
      <c r="BZ101" s="25"/>
      <c r="CA101" s="25"/>
      <c r="CB101" s="25"/>
      <c r="CC101" s="25"/>
      <c r="CD101" s="25"/>
      <c r="CE101" s="25"/>
    </row>
    <row r="102" spans="1:83" ht="34" customHeight="1" x14ac:dyDescent="0.2">
      <c r="A102" s="42" t="s">
        <v>199</v>
      </c>
      <c r="B102" s="28" t="str">
        <f>IFERROR(INDEX(People!$B$2:$B$199,MATCH($A$102&amp;"#"&amp;1,People!$H$2:$H$199,0)),"")</f>
        <v/>
      </c>
      <c r="C102" s="20" t="str">
        <f>IF(TRIM($B102)="","",IFERROR(INDEX(People!$A$2:$A$199,MATCH(TRIM($B102),People!$B$2:$B$199,0)),"?? CHECK NAME"))</f>
        <v/>
      </c>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c r="BL102" s="25"/>
      <c r="BM102" s="25"/>
      <c r="BN102" s="25"/>
      <c r="BO102" s="25"/>
      <c r="BP102" s="25"/>
      <c r="BQ102" s="25"/>
      <c r="BR102" s="25"/>
      <c r="BS102" s="25"/>
      <c r="BT102" s="25"/>
      <c r="BU102" s="25"/>
      <c r="BV102" s="25"/>
      <c r="BW102" s="25"/>
      <c r="BX102" s="25"/>
      <c r="BY102" s="25"/>
      <c r="BZ102" s="25"/>
      <c r="CA102" s="25"/>
      <c r="CB102" s="25"/>
      <c r="CC102" s="25"/>
      <c r="CD102" s="25"/>
      <c r="CE102" s="25"/>
    </row>
    <row r="103" spans="1:83" ht="34" customHeight="1" x14ac:dyDescent="0.2">
      <c r="A103" s="40"/>
      <c r="B103" s="28" t="str">
        <f>IFERROR(INDEX(People!$B$2:$B$199,MATCH($A$102&amp;"#"&amp;2,People!$H$2:$H$199,0)),"")</f>
        <v/>
      </c>
      <c r="C103" s="20" t="str">
        <f>IF(TRIM($B103)="","",IFERROR(INDEX(People!$A$2:$A$199,MATCH(TRIM($B103),People!$B$2:$B$199,0)),"?? CHECK NAME"))</f>
        <v/>
      </c>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5"/>
      <c r="BJ103" s="25"/>
      <c r="BK103" s="25"/>
      <c r="BL103" s="25"/>
      <c r="BM103" s="25"/>
      <c r="BN103" s="25"/>
      <c r="BO103" s="25"/>
      <c r="BP103" s="25"/>
      <c r="BQ103" s="25"/>
      <c r="BR103" s="25"/>
      <c r="BS103" s="25"/>
      <c r="BT103" s="25"/>
      <c r="BU103" s="25"/>
      <c r="BV103" s="25"/>
      <c r="BW103" s="25"/>
      <c r="BX103" s="25"/>
      <c r="BY103" s="25"/>
      <c r="BZ103" s="25"/>
      <c r="CA103" s="25"/>
      <c r="CB103" s="25"/>
      <c r="CC103" s="25"/>
      <c r="CD103" s="25"/>
      <c r="CE103" s="25"/>
    </row>
    <row r="104" spans="1:83" ht="34" customHeight="1" x14ac:dyDescent="0.2">
      <c r="A104" s="40"/>
      <c r="B104" s="28" t="str">
        <f>IFERROR(INDEX(People!$B$2:$B$199,MATCH($A$102&amp;"#"&amp;3,People!$H$2:$H$199,0)),"")</f>
        <v/>
      </c>
      <c r="C104" s="20" t="str">
        <f>IF(TRIM($B104)="","",IFERROR(INDEX(People!$A$2:$A$199,MATCH(TRIM($B104),People!$B$2:$B$199,0)),"?? CHECK NAME"))</f>
        <v/>
      </c>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c r="BF104" s="25"/>
      <c r="BG104" s="25"/>
      <c r="BH104" s="25"/>
      <c r="BI104" s="25"/>
      <c r="BJ104" s="25"/>
      <c r="BK104" s="25"/>
      <c r="BL104" s="25"/>
      <c r="BM104" s="25"/>
      <c r="BN104" s="25"/>
      <c r="BO104" s="25"/>
      <c r="BP104" s="25"/>
      <c r="BQ104" s="25"/>
      <c r="BR104" s="25"/>
      <c r="BS104" s="25"/>
      <c r="BT104" s="25"/>
      <c r="BU104" s="25"/>
      <c r="BV104" s="25"/>
      <c r="BW104" s="25"/>
      <c r="BX104" s="25"/>
      <c r="BY104" s="25"/>
      <c r="BZ104" s="25"/>
      <c r="CA104" s="25"/>
      <c r="CB104" s="25"/>
      <c r="CC104" s="25"/>
      <c r="CD104" s="25"/>
      <c r="CE104" s="25"/>
    </row>
    <row r="105" spans="1:83" ht="34" customHeight="1" x14ac:dyDescent="0.2">
      <c r="A105" s="40"/>
      <c r="B105" s="28" t="str">
        <f>IFERROR(INDEX(People!$B$2:$B$199,MATCH($A$102&amp;"#"&amp;4,People!$H$2:$H$199,0)),"")</f>
        <v/>
      </c>
      <c r="C105" s="20" t="str">
        <f>IF(TRIM($B105)="","",IFERROR(INDEX(People!$A$2:$A$199,MATCH(TRIM($B105),People!$B$2:$B$199,0)),"?? CHECK NAME"))</f>
        <v/>
      </c>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c r="BK105" s="25"/>
      <c r="BL105" s="25"/>
      <c r="BM105" s="25"/>
      <c r="BN105" s="25"/>
      <c r="BO105" s="25"/>
      <c r="BP105" s="25"/>
      <c r="BQ105" s="25"/>
      <c r="BR105" s="25"/>
      <c r="BS105" s="25"/>
      <c r="BT105" s="25"/>
      <c r="BU105" s="25"/>
      <c r="BV105" s="25"/>
      <c r="BW105" s="25"/>
      <c r="BX105" s="25"/>
      <c r="BY105" s="25"/>
      <c r="BZ105" s="25"/>
      <c r="CA105" s="25"/>
      <c r="CB105" s="25"/>
      <c r="CC105" s="25"/>
      <c r="CD105" s="25"/>
      <c r="CE105" s="25"/>
    </row>
    <row r="106" spans="1:83" ht="34" customHeight="1" x14ac:dyDescent="0.2">
      <c r="A106" s="41"/>
      <c r="B106" s="28" t="str">
        <f>IFERROR(INDEX(People!$B$2:$B$199,MATCH($A$102&amp;"#"&amp;5,People!$H$2:$H$199,0)),"")</f>
        <v/>
      </c>
      <c r="C106" s="20" t="str">
        <f>IF(TRIM($B106)="","",IFERROR(INDEX(People!$A$2:$A$199,MATCH(TRIM($B106),People!$B$2:$B$199,0)),"?? CHECK NAME"))</f>
        <v/>
      </c>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c r="BJ106" s="25"/>
      <c r="BK106" s="25"/>
      <c r="BL106" s="25"/>
      <c r="BM106" s="25"/>
      <c r="BN106" s="25"/>
      <c r="BO106" s="25"/>
      <c r="BP106" s="25"/>
      <c r="BQ106" s="25"/>
      <c r="BR106" s="25"/>
      <c r="BS106" s="25"/>
      <c r="BT106" s="25"/>
      <c r="BU106" s="25"/>
      <c r="BV106" s="25"/>
      <c r="BW106" s="25"/>
      <c r="BX106" s="25"/>
      <c r="BY106" s="25"/>
      <c r="BZ106" s="25"/>
      <c r="CA106" s="25"/>
      <c r="CB106" s="25"/>
      <c r="CC106" s="25"/>
      <c r="CD106" s="25"/>
      <c r="CE106" s="25"/>
    </row>
    <row r="107" spans="1:83" ht="34" customHeight="1" x14ac:dyDescent="0.2">
      <c r="A107" s="42" t="s">
        <v>202</v>
      </c>
      <c r="B107" s="28" t="str">
        <f>IFERROR(INDEX(People!$B$2:$B$199,MATCH($A$107&amp;"#"&amp;1,People!$H$2:$H$199,0)),"")</f>
        <v/>
      </c>
      <c r="C107" s="20" t="str">
        <f>IF(TRIM($B107)="","",IFERROR(INDEX(People!$A$2:$A$199,MATCH(TRIM($B107),People!$B$2:$B$199,0)),"?? CHECK NAME"))</f>
        <v/>
      </c>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c r="BJ107" s="25"/>
      <c r="BK107" s="25"/>
      <c r="BL107" s="25"/>
      <c r="BM107" s="25"/>
      <c r="BN107" s="25"/>
      <c r="BO107" s="25"/>
      <c r="BP107" s="25"/>
      <c r="BQ107" s="25"/>
      <c r="BR107" s="25"/>
      <c r="BS107" s="25"/>
      <c r="BT107" s="25"/>
      <c r="BU107" s="25"/>
      <c r="BV107" s="25"/>
      <c r="BW107" s="25"/>
      <c r="BX107" s="25"/>
      <c r="BY107" s="25"/>
      <c r="BZ107" s="25"/>
      <c r="CA107" s="25"/>
      <c r="CB107" s="25"/>
      <c r="CC107" s="25"/>
      <c r="CD107" s="25"/>
      <c r="CE107" s="25"/>
    </row>
    <row r="108" spans="1:83" ht="34" customHeight="1" x14ac:dyDescent="0.2">
      <c r="A108" s="40"/>
      <c r="B108" s="28" t="str">
        <f>IFERROR(INDEX(People!$B$2:$B$199,MATCH($A$107&amp;"#"&amp;2,People!$H$2:$H$199,0)),"")</f>
        <v/>
      </c>
      <c r="C108" s="20" t="str">
        <f>IF(TRIM($B108)="","",IFERROR(INDEX(People!$A$2:$A$199,MATCH(TRIM($B108),People!$B$2:$B$199,0)),"?? CHECK NAME"))</f>
        <v/>
      </c>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5"/>
      <c r="BJ108" s="25"/>
      <c r="BK108" s="25"/>
      <c r="BL108" s="25"/>
      <c r="BM108" s="25"/>
      <c r="BN108" s="25"/>
      <c r="BO108" s="25"/>
      <c r="BP108" s="25"/>
      <c r="BQ108" s="25"/>
      <c r="BR108" s="25"/>
      <c r="BS108" s="25"/>
      <c r="BT108" s="25"/>
      <c r="BU108" s="25"/>
      <c r="BV108" s="25"/>
      <c r="BW108" s="25"/>
      <c r="BX108" s="25"/>
      <c r="BY108" s="25"/>
      <c r="BZ108" s="25"/>
      <c r="CA108" s="25"/>
      <c r="CB108" s="25"/>
      <c r="CC108" s="25"/>
      <c r="CD108" s="25"/>
      <c r="CE108" s="25"/>
    </row>
    <row r="109" spans="1:83" ht="34" customHeight="1" x14ac:dyDescent="0.2">
      <c r="A109" s="40"/>
      <c r="B109" s="28" t="str">
        <f>IFERROR(INDEX(People!$B$2:$B$199,MATCH($A$107&amp;"#"&amp;3,People!$H$2:$H$199,0)),"")</f>
        <v/>
      </c>
      <c r="C109" s="20" t="str">
        <f>IF(TRIM($B109)="","",IFERROR(INDEX(People!$A$2:$A$199,MATCH(TRIM($B109),People!$B$2:$B$199,0)),"?? CHECK NAME"))</f>
        <v/>
      </c>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5"/>
      <c r="BJ109" s="25"/>
      <c r="BK109" s="25"/>
      <c r="BL109" s="25"/>
      <c r="BM109" s="25"/>
      <c r="BN109" s="25"/>
      <c r="BO109" s="25"/>
      <c r="BP109" s="25"/>
      <c r="BQ109" s="25"/>
      <c r="BR109" s="25"/>
      <c r="BS109" s="25"/>
      <c r="BT109" s="25"/>
      <c r="BU109" s="25"/>
      <c r="BV109" s="25"/>
      <c r="BW109" s="25"/>
      <c r="BX109" s="25"/>
      <c r="BY109" s="25"/>
      <c r="BZ109" s="25"/>
      <c r="CA109" s="25"/>
      <c r="CB109" s="25"/>
      <c r="CC109" s="25"/>
      <c r="CD109" s="25"/>
      <c r="CE109" s="25"/>
    </row>
    <row r="110" spans="1:83" ht="34" customHeight="1" x14ac:dyDescent="0.2">
      <c r="A110" s="40"/>
      <c r="B110" s="28" t="str">
        <f>IFERROR(INDEX(People!$B$2:$B$199,MATCH($A$107&amp;"#"&amp;4,People!$H$2:$H$199,0)),"")</f>
        <v/>
      </c>
      <c r="C110" s="20" t="str">
        <f>IF(TRIM($B110)="","",IFERROR(INDEX(People!$A$2:$A$199,MATCH(TRIM($B110),People!$B$2:$B$199,0)),"?? CHECK NAME"))</f>
        <v/>
      </c>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25"/>
      <c r="BH110" s="25"/>
      <c r="BI110" s="25"/>
      <c r="BJ110" s="25"/>
      <c r="BK110" s="25"/>
      <c r="BL110" s="25"/>
      <c r="BM110" s="25"/>
      <c r="BN110" s="25"/>
      <c r="BO110" s="25"/>
      <c r="BP110" s="25"/>
      <c r="BQ110" s="25"/>
      <c r="BR110" s="25"/>
      <c r="BS110" s="25"/>
      <c r="BT110" s="25"/>
      <c r="BU110" s="25"/>
      <c r="BV110" s="25"/>
      <c r="BW110" s="25"/>
      <c r="BX110" s="25"/>
      <c r="BY110" s="25"/>
      <c r="BZ110" s="25"/>
      <c r="CA110" s="25"/>
      <c r="CB110" s="25"/>
      <c r="CC110" s="25"/>
      <c r="CD110" s="25"/>
      <c r="CE110" s="25"/>
    </row>
    <row r="111" spans="1:83" ht="34" customHeight="1" x14ac:dyDescent="0.2">
      <c r="A111" s="41"/>
      <c r="B111" s="28" t="str">
        <f>IFERROR(INDEX(People!$B$2:$B$199,MATCH($A$107&amp;"#"&amp;5,People!$H$2:$H$199,0)),"")</f>
        <v/>
      </c>
      <c r="C111" s="20" t="str">
        <f>IF(TRIM($B111)="","",IFERROR(INDEX(People!$A$2:$A$199,MATCH(TRIM($B111),People!$B$2:$B$199,0)),"?? CHECK NAME"))</f>
        <v/>
      </c>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c r="BM111" s="25"/>
      <c r="BN111" s="25"/>
      <c r="BO111" s="25"/>
      <c r="BP111" s="25"/>
      <c r="BQ111" s="25"/>
      <c r="BR111" s="25"/>
      <c r="BS111" s="25"/>
      <c r="BT111" s="25"/>
      <c r="BU111" s="25"/>
      <c r="BV111" s="25"/>
      <c r="BW111" s="25"/>
      <c r="BX111" s="25"/>
      <c r="BY111" s="25"/>
      <c r="BZ111" s="25"/>
      <c r="CA111" s="25"/>
      <c r="CB111" s="25"/>
      <c r="CC111" s="25"/>
      <c r="CD111" s="25"/>
      <c r="CE111" s="25"/>
    </row>
    <row r="112" spans="1:83" ht="34" customHeight="1" x14ac:dyDescent="0.2">
      <c r="A112" s="42" t="s">
        <v>205</v>
      </c>
      <c r="B112" s="28" t="str">
        <f>IFERROR(INDEX(People!$B$2:$B$199,MATCH($A$112&amp;"#"&amp;1,People!$H$2:$H$199,0)),"")</f>
        <v/>
      </c>
      <c r="C112" s="20" t="str">
        <f>IF(TRIM($B112)="","",IFERROR(INDEX(People!$A$2:$A$199,MATCH(TRIM($B112),People!$B$2:$B$199,0)),"?? CHECK NAME"))</f>
        <v/>
      </c>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c r="BL112" s="25"/>
      <c r="BM112" s="25"/>
      <c r="BN112" s="25"/>
      <c r="BO112" s="25"/>
      <c r="BP112" s="25"/>
      <c r="BQ112" s="25"/>
      <c r="BR112" s="25"/>
      <c r="BS112" s="25"/>
      <c r="BT112" s="25"/>
      <c r="BU112" s="25"/>
      <c r="BV112" s="25"/>
      <c r="BW112" s="25"/>
      <c r="BX112" s="25"/>
      <c r="BY112" s="25"/>
      <c r="BZ112" s="25"/>
      <c r="CA112" s="25"/>
      <c r="CB112" s="25"/>
      <c r="CC112" s="25"/>
      <c r="CD112" s="25"/>
      <c r="CE112" s="25"/>
    </row>
    <row r="113" spans="1:83" ht="34" customHeight="1" x14ac:dyDescent="0.2">
      <c r="A113" s="40"/>
      <c r="B113" s="28" t="str">
        <f>IFERROR(INDEX(People!$B$2:$B$199,MATCH($A$112&amp;"#"&amp;2,People!$H$2:$H$199,0)),"")</f>
        <v/>
      </c>
      <c r="C113" s="20" t="str">
        <f>IF(TRIM($B113)="","",IFERROR(INDEX(People!$A$2:$A$199,MATCH(TRIM($B113),People!$B$2:$B$199,0)),"?? CHECK NAME"))</f>
        <v/>
      </c>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25"/>
      <c r="BH113" s="25"/>
      <c r="BI113" s="25"/>
      <c r="BJ113" s="25"/>
      <c r="BK113" s="25"/>
      <c r="BL113" s="25"/>
      <c r="BM113" s="25"/>
      <c r="BN113" s="25"/>
      <c r="BO113" s="25"/>
      <c r="BP113" s="25"/>
      <c r="BQ113" s="25"/>
      <c r="BR113" s="25"/>
      <c r="BS113" s="25"/>
      <c r="BT113" s="25"/>
      <c r="BU113" s="25"/>
      <c r="BV113" s="25"/>
      <c r="BW113" s="25"/>
      <c r="BX113" s="25"/>
      <c r="BY113" s="25"/>
      <c r="BZ113" s="25"/>
      <c r="CA113" s="25"/>
      <c r="CB113" s="25"/>
      <c r="CC113" s="25"/>
      <c r="CD113" s="25"/>
      <c r="CE113" s="25"/>
    </row>
    <row r="114" spans="1:83" ht="34" customHeight="1" x14ac:dyDescent="0.2">
      <c r="A114" s="40"/>
      <c r="B114" s="28" t="str">
        <f>IFERROR(INDEX(People!$B$2:$B$199,MATCH($A$112&amp;"#"&amp;3,People!$H$2:$H$199,0)),"")</f>
        <v/>
      </c>
      <c r="C114" s="20" t="str">
        <f>IF(TRIM($B114)="","",IFERROR(INDEX(People!$A$2:$A$199,MATCH(TRIM($B114),People!$B$2:$B$199,0)),"?? CHECK NAME"))</f>
        <v/>
      </c>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25"/>
      <c r="BH114" s="25"/>
      <c r="BI114" s="25"/>
      <c r="BJ114" s="25"/>
      <c r="BK114" s="25"/>
      <c r="BL114" s="25"/>
      <c r="BM114" s="25"/>
      <c r="BN114" s="25"/>
      <c r="BO114" s="25"/>
      <c r="BP114" s="25"/>
      <c r="BQ114" s="25"/>
      <c r="BR114" s="25"/>
      <c r="BS114" s="25"/>
      <c r="BT114" s="25"/>
      <c r="BU114" s="25"/>
      <c r="BV114" s="25"/>
      <c r="BW114" s="25"/>
      <c r="BX114" s="25"/>
      <c r="BY114" s="25"/>
      <c r="BZ114" s="25"/>
      <c r="CA114" s="25"/>
      <c r="CB114" s="25"/>
      <c r="CC114" s="25"/>
      <c r="CD114" s="25"/>
      <c r="CE114" s="25"/>
    </row>
    <row r="115" spans="1:83" ht="34" customHeight="1" x14ac:dyDescent="0.2">
      <c r="A115" s="40"/>
      <c r="B115" s="28" t="str">
        <f>IFERROR(INDEX(People!$B$2:$B$199,MATCH($A$112&amp;"#"&amp;4,People!$H$2:$H$199,0)),"")</f>
        <v/>
      </c>
      <c r="C115" s="20" t="str">
        <f>IF(TRIM($B115)="","",IFERROR(INDEX(People!$A$2:$A$199,MATCH(TRIM($B115),People!$B$2:$B$199,0)),"?? CHECK NAME"))</f>
        <v/>
      </c>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5"/>
      <c r="BJ115" s="25"/>
      <c r="BK115" s="25"/>
      <c r="BL115" s="25"/>
      <c r="BM115" s="25"/>
      <c r="BN115" s="25"/>
      <c r="BO115" s="25"/>
      <c r="BP115" s="25"/>
      <c r="BQ115" s="25"/>
      <c r="BR115" s="25"/>
      <c r="BS115" s="25"/>
      <c r="BT115" s="25"/>
      <c r="BU115" s="25"/>
      <c r="BV115" s="25"/>
      <c r="BW115" s="25"/>
      <c r="BX115" s="25"/>
      <c r="BY115" s="25"/>
      <c r="BZ115" s="25"/>
      <c r="CA115" s="25"/>
      <c r="CB115" s="25"/>
      <c r="CC115" s="25"/>
      <c r="CD115" s="25"/>
      <c r="CE115" s="25"/>
    </row>
    <row r="116" spans="1:83" ht="34" customHeight="1" x14ac:dyDescent="0.2">
      <c r="A116" s="41"/>
      <c r="B116" s="28" t="str">
        <f>IFERROR(INDEX(People!$B$2:$B$199,MATCH($A$112&amp;"#"&amp;5,People!$H$2:$H$199,0)),"")</f>
        <v/>
      </c>
      <c r="C116" s="20" t="str">
        <f>IF(TRIM($B116)="","",IFERROR(INDEX(People!$A$2:$A$199,MATCH(TRIM($B116),People!$B$2:$B$199,0)),"?? CHECK NAME"))</f>
        <v/>
      </c>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5"/>
      <c r="BJ116" s="25"/>
      <c r="BK116" s="25"/>
      <c r="BL116" s="25"/>
      <c r="BM116" s="25"/>
      <c r="BN116" s="25"/>
      <c r="BO116" s="25"/>
      <c r="BP116" s="25"/>
      <c r="BQ116" s="25"/>
      <c r="BR116" s="25"/>
      <c r="BS116" s="25"/>
      <c r="BT116" s="25"/>
      <c r="BU116" s="25"/>
      <c r="BV116" s="25"/>
      <c r="BW116" s="25"/>
      <c r="BX116" s="25"/>
      <c r="BY116" s="25"/>
      <c r="BZ116" s="25"/>
      <c r="CA116" s="25"/>
      <c r="CB116" s="25"/>
      <c r="CC116" s="25"/>
      <c r="CD116" s="25"/>
      <c r="CE116" s="25"/>
    </row>
    <row r="117" spans="1:83" ht="34" customHeight="1" x14ac:dyDescent="0.2">
      <c r="A117" s="42" t="s">
        <v>208</v>
      </c>
      <c r="B117" s="28" t="str">
        <f>IFERROR(INDEX(People!$B$2:$B$199,MATCH($A$117&amp;"#"&amp;1,People!$H$2:$H$199,0)),"")</f>
        <v/>
      </c>
      <c r="C117" s="20" t="str">
        <f>IF(TRIM($B117)="","",IFERROR(INDEX(People!$A$2:$A$199,MATCH(TRIM($B117),People!$B$2:$B$199,0)),"?? CHECK NAME"))</f>
        <v/>
      </c>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c r="BI117" s="25"/>
      <c r="BJ117" s="25"/>
      <c r="BK117" s="25"/>
      <c r="BL117" s="25"/>
      <c r="BM117" s="25"/>
      <c r="BN117" s="25"/>
      <c r="BO117" s="25"/>
      <c r="BP117" s="25"/>
      <c r="BQ117" s="25"/>
      <c r="BR117" s="25"/>
      <c r="BS117" s="25"/>
      <c r="BT117" s="25"/>
      <c r="BU117" s="25"/>
      <c r="BV117" s="25"/>
      <c r="BW117" s="25"/>
      <c r="BX117" s="25"/>
      <c r="BY117" s="25"/>
      <c r="BZ117" s="25"/>
      <c r="CA117" s="25"/>
      <c r="CB117" s="25"/>
      <c r="CC117" s="25"/>
      <c r="CD117" s="25"/>
      <c r="CE117" s="25"/>
    </row>
    <row r="118" spans="1:83" ht="34" customHeight="1" x14ac:dyDescent="0.2">
      <c r="A118" s="40"/>
      <c r="B118" s="28" t="str">
        <f>IFERROR(INDEX(People!$B$2:$B$199,MATCH($A$117&amp;"#"&amp;2,People!$H$2:$H$199,0)),"")</f>
        <v/>
      </c>
      <c r="C118" s="20" t="str">
        <f>IF(TRIM($B118)="","",IFERROR(INDEX(People!$A$2:$A$199,MATCH(TRIM($B118),People!$B$2:$B$199,0)),"?? CHECK NAME"))</f>
        <v/>
      </c>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c r="BK118" s="25"/>
      <c r="BL118" s="25"/>
      <c r="BM118" s="25"/>
      <c r="BN118" s="25"/>
      <c r="BO118" s="25"/>
      <c r="BP118" s="25"/>
      <c r="BQ118" s="25"/>
      <c r="BR118" s="25"/>
      <c r="BS118" s="25"/>
      <c r="BT118" s="25"/>
      <c r="BU118" s="25"/>
      <c r="BV118" s="25"/>
      <c r="BW118" s="25"/>
      <c r="BX118" s="25"/>
      <c r="BY118" s="25"/>
      <c r="BZ118" s="25"/>
      <c r="CA118" s="25"/>
      <c r="CB118" s="25"/>
      <c r="CC118" s="25"/>
      <c r="CD118" s="25"/>
      <c r="CE118" s="25"/>
    </row>
    <row r="119" spans="1:83" ht="34" customHeight="1" x14ac:dyDescent="0.2">
      <c r="A119" s="40"/>
      <c r="B119" s="28" t="str">
        <f>IFERROR(INDEX(People!$B$2:$B$199,MATCH($A$117&amp;"#"&amp;3,People!$H$2:$H$199,0)),"")</f>
        <v/>
      </c>
      <c r="C119" s="20" t="str">
        <f>IF(TRIM($B119)="","",IFERROR(INDEX(People!$A$2:$A$199,MATCH(TRIM($B119),People!$B$2:$B$199,0)),"?? CHECK NAME"))</f>
        <v/>
      </c>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c r="BF119" s="25"/>
      <c r="BG119" s="25"/>
      <c r="BH119" s="25"/>
      <c r="BI119" s="25"/>
      <c r="BJ119" s="25"/>
      <c r="BK119" s="25"/>
      <c r="BL119" s="25"/>
      <c r="BM119" s="25"/>
      <c r="BN119" s="25"/>
      <c r="BO119" s="25"/>
      <c r="BP119" s="25"/>
      <c r="BQ119" s="25"/>
      <c r="BR119" s="25"/>
      <c r="BS119" s="25"/>
      <c r="BT119" s="25"/>
      <c r="BU119" s="25"/>
      <c r="BV119" s="25"/>
      <c r="BW119" s="25"/>
      <c r="BX119" s="25"/>
      <c r="BY119" s="25"/>
      <c r="BZ119" s="25"/>
      <c r="CA119" s="25"/>
      <c r="CB119" s="25"/>
      <c r="CC119" s="25"/>
      <c r="CD119" s="25"/>
      <c r="CE119" s="25"/>
    </row>
    <row r="120" spans="1:83" ht="34" customHeight="1" x14ac:dyDescent="0.2">
      <c r="A120" s="40"/>
      <c r="B120" s="28" t="str">
        <f>IFERROR(INDEX(People!$B$2:$B$199,MATCH($A$117&amp;"#"&amp;4,People!$H$2:$H$199,0)),"")</f>
        <v/>
      </c>
      <c r="C120" s="20" t="str">
        <f>IF(TRIM($B120)="","",IFERROR(INDEX(People!$A$2:$A$199,MATCH(TRIM($B120),People!$B$2:$B$199,0)),"?? CHECK NAME"))</f>
        <v/>
      </c>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c r="BC120" s="25"/>
      <c r="BD120" s="25"/>
      <c r="BE120" s="25"/>
      <c r="BF120" s="25"/>
      <c r="BG120" s="25"/>
      <c r="BH120" s="25"/>
      <c r="BI120" s="25"/>
      <c r="BJ120" s="25"/>
      <c r="BK120" s="25"/>
      <c r="BL120" s="25"/>
      <c r="BM120" s="25"/>
      <c r="BN120" s="25"/>
      <c r="BO120" s="25"/>
      <c r="BP120" s="25"/>
      <c r="BQ120" s="25"/>
      <c r="BR120" s="25"/>
      <c r="BS120" s="25"/>
      <c r="BT120" s="25"/>
      <c r="BU120" s="25"/>
      <c r="BV120" s="25"/>
      <c r="BW120" s="25"/>
      <c r="BX120" s="25"/>
      <c r="BY120" s="25"/>
      <c r="BZ120" s="25"/>
      <c r="CA120" s="25"/>
      <c r="CB120" s="25"/>
      <c r="CC120" s="25"/>
      <c r="CD120" s="25"/>
      <c r="CE120" s="25"/>
    </row>
    <row r="121" spans="1:83" ht="34" customHeight="1" x14ac:dyDescent="0.2">
      <c r="A121" s="41"/>
      <c r="B121" s="28" t="str">
        <f>IFERROR(INDEX(People!$B$2:$B$199,MATCH($A$117&amp;"#"&amp;5,People!$H$2:$H$199,0)),"")</f>
        <v/>
      </c>
      <c r="C121" s="20" t="str">
        <f>IF(TRIM($B121)="","",IFERROR(INDEX(People!$A$2:$A$199,MATCH(TRIM($B121),People!$B$2:$B$199,0)),"?? CHECK NAME"))</f>
        <v/>
      </c>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c r="BF121" s="25"/>
      <c r="BG121" s="25"/>
      <c r="BH121" s="25"/>
      <c r="BI121" s="25"/>
      <c r="BJ121" s="25"/>
      <c r="BK121" s="25"/>
      <c r="BL121" s="25"/>
      <c r="BM121" s="25"/>
      <c r="BN121" s="25"/>
      <c r="BO121" s="25"/>
      <c r="BP121" s="25"/>
      <c r="BQ121" s="25"/>
      <c r="BR121" s="25"/>
      <c r="BS121" s="25"/>
      <c r="BT121" s="25"/>
      <c r="BU121" s="25"/>
      <c r="BV121" s="25"/>
      <c r="BW121" s="25"/>
      <c r="BX121" s="25"/>
      <c r="BY121" s="25"/>
      <c r="BZ121" s="25"/>
      <c r="CA121" s="25"/>
      <c r="CB121" s="25"/>
      <c r="CC121" s="25"/>
      <c r="CD121" s="25"/>
      <c r="CE121" s="25"/>
    </row>
    <row r="122" spans="1:83" ht="34" customHeight="1" x14ac:dyDescent="0.2">
      <c r="A122" s="42" t="s">
        <v>211</v>
      </c>
      <c r="B122" s="28" t="str">
        <f>IFERROR(INDEX(People!$B$2:$B$199,MATCH($A$122&amp;"#"&amp;1,People!$H$2:$H$199,0)),"")</f>
        <v/>
      </c>
      <c r="C122" s="20" t="str">
        <f>IF(TRIM($B122)="","",IFERROR(INDEX(People!$A$2:$A$199,MATCH(TRIM($B122),People!$B$2:$B$199,0)),"?? CHECK NAME"))</f>
        <v/>
      </c>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25"/>
      <c r="BH122" s="25"/>
      <c r="BI122" s="25"/>
      <c r="BJ122" s="25"/>
      <c r="BK122" s="25"/>
      <c r="BL122" s="25"/>
      <c r="BM122" s="25"/>
      <c r="BN122" s="25"/>
      <c r="BO122" s="25"/>
      <c r="BP122" s="25"/>
      <c r="BQ122" s="25"/>
      <c r="BR122" s="25"/>
      <c r="BS122" s="25"/>
      <c r="BT122" s="25"/>
      <c r="BU122" s="25"/>
      <c r="BV122" s="25"/>
      <c r="BW122" s="25"/>
      <c r="BX122" s="25"/>
      <c r="BY122" s="25"/>
      <c r="BZ122" s="25"/>
      <c r="CA122" s="25"/>
      <c r="CB122" s="25"/>
      <c r="CC122" s="25"/>
      <c r="CD122" s="25"/>
      <c r="CE122" s="25"/>
    </row>
    <row r="123" spans="1:83" ht="34" customHeight="1" x14ac:dyDescent="0.2">
      <c r="A123" s="40"/>
      <c r="B123" s="28" t="str">
        <f>IFERROR(INDEX(People!$B$2:$B$199,MATCH($A$122&amp;"#"&amp;2,People!$H$2:$H$199,0)),"")</f>
        <v/>
      </c>
      <c r="C123" s="20" t="str">
        <f>IF(TRIM($B123)="","",IFERROR(INDEX(People!$A$2:$A$199,MATCH(TRIM($B123),People!$B$2:$B$199,0)),"?? CHECK NAME"))</f>
        <v/>
      </c>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5"/>
      <c r="BJ123" s="25"/>
      <c r="BK123" s="25"/>
      <c r="BL123" s="25"/>
      <c r="BM123" s="25"/>
      <c r="BN123" s="25"/>
      <c r="BO123" s="25"/>
      <c r="BP123" s="25"/>
      <c r="BQ123" s="25"/>
      <c r="BR123" s="25"/>
      <c r="BS123" s="25"/>
      <c r="BT123" s="25"/>
      <c r="BU123" s="25"/>
      <c r="BV123" s="25"/>
      <c r="BW123" s="25"/>
      <c r="BX123" s="25"/>
      <c r="BY123" s="25"/>
      <c r="BZ123" s="25"/>
      <c r="CA123" s="25"/>
      <c r="CB123" s="25"/>
      <c r="CC123" s="25"/>
      <c r="CD123" s="25"/>
      <c r="CE123" s="25"/>
    </row>
    <row r="124" spans="1:83" ht="34" customHeight="1" x14ac:dyDescent="0.2">
      <c r="A124" s="40"/>
      <c r="B124" s="28" t="str">
        <f>IFERROR(INDEX(People!$B$2:$B$199,MATCH($A$122&amp;"#"&amp;3,People!$H$2:$H$199,0)),"")</f>
        <v/>
      </c>
      <c r="C124" s="20" t="str">
        <f>IF(TRIM($B124)="","",IFERROR(INDEX(People!$A$2:$A$199,MATCH(TRIM($B124),People!$B$2:$B$199,0)),"?? CHECK NAME"))</f>
        <v/>
      </c>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c r="BQ124" s="25"/>
      <c r="BR124" s="25"/>
      <c r="BS124" s="25"/>
      <c r="BT124" s="25"/>
      <c r="BU124" s="25"/>
      <c r="BV124" s="25"/>
      <c r="BW124" s="25"/>
      <c r="BX124" s="25"/>
      <c r="BY124" s="25"/>
      <c r="BZ124" s="25"/>
      <c r="CA124" s="25"/>
      <c r="CB124" s="25"/>
      <c r="CC124" s="25"/>
      <c r="CD124" s="25"/>
      <c r="CE124" s="25"/>
    </row>
    <row r="125" spans="1:83" ht="34" customHeight="1" x14ac:dyDescent="0.2">
      <c r="A125" s="40"/>
      <c r="B125" s="28" t="str">
        <f>IFERROR(INDEX(People!$B$2:$B$199,MATCH($A$122&amp;"#"&amp;4,People!$H$2:$H$199,0)),"")</f>
        <v/>
      </c>
      <c r="C125" s="20" t="str">
        <f>IF(TRIM($B125)="","",IFERROR(INDEX(People!$A$2:$A$199,MATCH(TRIM($B125),People!$B$2:$B$199,0)),"?? CHECK NAME"))</f>
        <v/>
      </c>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25"/>
      <c r="BR125" s="25"/>
      <c r="BS125" s="25"/>
      <c r="BT125" s="25"/>
      <c r="BU125" s="25"/>
      <c r="BV125" s="25"/>
      <c r="BW125" s="25"/>
      <c r="BX125" s="25"/>
      <c r="BY125" s="25"/>
      <c r="BZ125" s="25"/>
      <c r="CA125" s="25"/>
      <c r="CB125" s="25"/>
      <c r="CC125" s="25"/>
      <c r="CD125" s="25"/>
      <c r="CE125" s="25"/>
    </row>
    <row r="126" spans="1:83" ht="34" customHeight="1" x14ac:dyDescent="0.2">
      <c r="A126" s="41"/>
      <c r="B126" s="28" t="str">
        <f>IFERROR(INDEX(People!$B$2:$B$199,MATCH($A$122&amp;"#"&amp;5,People!$H$2:$H$199,0)),"")</f>
        <v/>
      </c>
      <c r="C126" s="20" t="str">
        <f>IF(TRIM($B126)="","",IFERROR(INDEX(People!$A$2:$A$199,MATCH(TRIM($B126),People!$B$2:$B$199,0)),"?? CHECK NAME"))</f>
        <v/>
      </c>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25"/>
      <c r="BR126" s="25"/>
      <c r="BS126" s="25"/>
      <c r="BT126" s="25"/>
      <c r="BU126" s="25"/>
      <c r="BV126" s="25"/>
      <c r="BW126" s="25"/>
      <c r="BX126" s="25"/>
      <c r="BY126" s="25"/>
      <c r="BZ126" s="25"/>
      <c r="CA126" s="25"/>
      <c r="CB126" s="25"/>
      <c r="CC126" s="25"/>
      <c r="CD126" s="25"/>
      <c r="CE126" s="25"/>
    </row>
    <row r="127" spans="1:83" ht="34" customHeight="1" x14ac:dyDescent="0.2">
      <c r="A127" s="39" t="s">
        <v>250</v>
      </c>
      <c r="B127" s="24"/>
      <c r="C127" s="20" t="str">
        <f>IF(TRIM($B127)="","",IFERROR(INDEX(People!$A$2:$A$199,MATCH(TRIM($B127),People!$B$2:$B$199,0)),IFERROR(INDEX(Teams!$A$2:$A$9,MATCH(TRIM($B127),Teams!$B$2:$B$9,0)),"?? CHECK NAME")))</f>
        <v/>
      </c>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5"/>
      <c r="BR127" s="25"/>
      <c r="BS127" s="25"/>
      <c r="BT127" s="25"/>
      <c r="BU127" s="25"/>
      <c r="BV127" s="25"/>
      <c r="BW127" s="25"/>
      <c r="BX127" s="25"/>
      <c r="BY127" s="25"/>
      <c r="BZ127" s="25"/>
      <c r="CA127" s="25"/>
      <c r="CB127" s="25"/>
      <c r="CC127" s="25"/>
      <c r="CD127" s="25"/>
      <c r="CE127" s="25"/>
    </row>
    <row r="128" spans="1:83" ht="34" customHeight="1" x14ac:dyDescent="0.2">
      <c r="A128" s="40"/>
      <c r="B128" s="24"/>
      <c r="C128" s="20" t="str">
        <f>IF(TRIM($B128)="","",IFERROR(INDEX(People!$A$2:$A$199,MATCH(TRIM($B128),People!$B$2:$B$199,0)),IFERROR(INDEX(Teams!$A$2:$A$9,MATCH(TRIM($B128),Teams!$B$2:$B$9,0)),"?? CHECK NAME")))</f>
        <v/>
      </c>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c r="BQ128" s="25"/>
      <c r="BR128" s="25"/>
      <c r="BS128" s="25"/>
      <c r="BT128" s="25"/>
      <c r="BU128" s="25"/>
      <c r="BV128" s="25"/>
      <c r="BW128" s="25"/>
      <c r="BX128" s="25"/>
      <c r="BY128" s="25"/>
      <c r="BZ128" s="25"/>
      <c r="CA128" s="25"/>
      <c r="CB128" s="25"/>
      <c r="CC128" s="25"/>
      <c r="CD128" s="25"/>
      <c r="CE128" s="25"/>
    </row>
    <row r="129" spans="1:83" ht="34" customHeight="1" x14ac:dyDescent="0.2">
      <c r="A129" s="40"/>
      <c r="B129" s="24"/>
      <c r="C129" s="20" t="str">
        <f>IF(TRIM($B129)="","",IFERROR(INDEX(People!$A$2:$A$199,MATCH(TRIM($B129),People!$B$2:$B$199,0)),IFERROR(INDEX(Teams!$A$2:$A$9,MATCH(TRIM($B129),Teams!$B$2:$B$9,0)),"?? CHECK NAME")))</f>
        <v/>
      </c>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25"/>
      <c r="BH129" s="25"/>
      <c r="BI129" s="25"/>
      <c r="BJ129" s="25"/>
      <c r="BK129" s="25"/>
      <c r="BL129" s="25"/>
      <c r="BM129" s="25"/>
      <c r="BN129" s="25"/>
      <c r="BO129" s="25"/>
      <c r="BP129" s="25"/>
      <c r="BQ129" s="25"/>
      <c r="BR129" s="25"/>
      <c r="BS129" s="25"/>
      <c r="BT129" s="25"/>
      <c r="BU129" s="25"/>
      <c r="BV129" s="25"/>
      <c r="BW129" s="25"/>
      <c r="BX129" s="25"/>
      <c r="BY129" s="25"/>
      <c r="BZ129" s="25"/>
      <c r="CA129" s="25"/>
      <c r="CB129" s="25"/>
      <c r="CC129" s="25"/>
      <c r="CD129" s="25"/>
      <c r="CE129" s="25"/>
    </row>
    <row r="130" spans="1:83" ht="34" customHeight="1" x14ac:dyDescent="0.2">
      <c r="A130" s="40"/>
      <c r="B130" s="24"/>
      <c r="C130" s="20" t="str">
        <f>IF(TRIM($B130)="","",IFERROR(INDEX(People!$A$2:$A$199,MATCH(TRIM($B130),People!$B$2:$B$199,0)),IFERROR(INDEX(Teams!$A$2:$A$9,MATCH(TRIM($B130),Teams!$B$2:$B$9,0)),"?? CHECK NAME")))</f>
        <v/>
      </c>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c r="BG130" s="25"/>
      <c r="BH130" s="25"/>
      <c r="BI130" s="25"/>
      <c r="BJ130" s="25"/>
      <c r="BK130" s="25"/>
      <c r="BL130" s="25"/>
      <c r="BM130" s="25"/>
      <c r="BN130" s="25"/>
      <c r="BO130" s="25"/>
      <c r="BP130" s="25"/>
      <c r="BQ130" s="25"/>
      <c r="BR130" s="25"/>
      <c r="BS130" s="25"/>
      <c r="BT130" s="25"/>
      <c r="BU130" s="25"/>
      <c r="BV130" s="25"/>
      <c r="BW130" s="25"/>
      <c r="BX130" s="25"/>
      <c r="BY130" s="25"/>
      <c r="BZ130" s="25"/>
      <c r="CA130" s="25"/>
      <c r="CB130" s="25"/>
      <c r="CC130" s="25"/>
      <c r="CD130" s="25"/>
      <c r="CE130" s="25"/>
    </row>
    <row r="131" spans="1:83" ht="34" customHeight="1" x14ac:dyDescent="0.2">
      <c r="A131" s="41"/>
      <c r="B131" s="24"/>
      <c r="C131" s="20" t="str">
        <f>IF(TRIM($B131)="","",IFERROR(INDEX(People!$A$2:$A$199,MATCH(TRIM($B131),People!$B$2:$B$199,0)),IFERROR(INDEX(Teams!$A$2:$A$9,MATCH(TRIM($B131),Teams!$B$2:$B$9,0)),"?? CHECK NAME")))</f>
        <v/>
      </c>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c r="BF131" s="25"/>
      <c r="BG131" s="25"/>
      <c r="BH131" s="25"/>
      <c r="BI131" s="25"/>
      <c r="BJ131" s="25"/>
      <c r="BK131" s="25"/>
      <c r="BL131" s="25"/>
      <c r="BM131" s="25"/>
      <c r="BN131" s="25"/>
      <c r="BO131" s="25"/>
      <c r="BP131" s="25"/>
      <c r="BQ131" s="25"/>
      <c r="BR131" s="25"/>
      <c r="BS131" s="25"/>
      <c r="BT131" s="25"/>
      <c r="BU131" s="25"/>
      <c r="BV131" s="25"/>
      <c r="BW131" s="25"/>
      <c r="BX131" s="25"/>
      <c r="BY131" s="25"/>
      <c r="BZ131" s="25"/>
      <c r="CA131" s="25"/>
      <c r="CB131" s="25"/>
      <c r="CC131" s="25"/>
      <c r="CD131" s="25"/>
      <c r="CE131" s="25"/>
    </row>
  </sheetData>
  <mergeCells count="30">
    <mergeCell ref="A107:A111"/>
    <mergeCell ref="A69:CE69"/>
    <mergeCell ref="A78:CE78"/>
    <mergeCell ref="A54:A58"/>
    <mergeCell ref="A87:A91"/>
    <mergeCell ref="A122:A126"/>
    <mergeCell ref="A29:A33"/>
    <mergeCell ref="A9:A13"/>
    <mergeCell ref="A81:A85"/>
    <mergeCell ref="A127:A131"/>
    <mergeCell ref="A112:A116"/>
    <mergeCell ref="A19:A23"/>
    <mergeCell ref="A64:A68"/>
    <mergeCell ref="A59:A63"/>
    <mergeCell ref="A102:A106"/>
    <mergeCell ref="A117:A121"/>
    <mergeCell ref="A49:A53"/>
    <mergeCell ref="A34:A38"/>
    <mergeCell ref="A92:A96"/>
    <mergeCell ref="A39:A43"/>
    <mergeCell ref="A24:A28"/>
    <mergeCell ref="A86:CE86"/>
    <mergeCell ref="A4:A8"/>
    <mergeCell ref="A14:A18"/>
    <mergeCell ref="CB1:CE1"/>
    <mergeCell ref="A97:A101"/>
    <mergeCell ref="A44:A48"/>
    <mergeCell ref="H4:AY4"/>
    <mergeCell ref="D1:CA1"/>
    <mergeCell ref="A3:CE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K131"/>
  <sheetViews>
    <sheetView workbookViewId="0">
      <pane xSplit="3" ySplit="2" topLeftCell="D3" activePane="bottomRight" state="frozen"/>
      <selection pane="topRight"/>
      <selection pane="bottomLeft"/>
      <selection pane="bottomRight"/>
    </sheetView>
  </sheetViews>
  <sheetFormatPr baseColWidth="10" defaultColWidth="8.83203125" defaultRowHeight="15" x14ac:dyDescent="0.2"/>
  <cols>
    <col min="1" max="1" width="20" customWidth="1"/>
    <col min="2" max="2" width="22" customWidth="1"/>
    <col min="3" max="3" width="10" customWidth="1"/>
    <col min="4" max="89" width="5.5" customWidth="1"/>
  </cols>
  <sheetData>
    <row r="1" spans="1:89" x14ac:dyDescent="0.2">
      <c r="A1" s="12" t="s">
        <v>143</v>
      </c>
      <c r="B1" s="12" t="s">
        <v>229</v>
      </c>
      <c r="C1" s="12" t="s">
        <v>141</v>
      </c>
      <c r="D1" s="46">
        <f>Instructions!$C$14+1</f>
        <v>46242</v>
      </c>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c r="BM1" s="47"/>
      <c r="BN1" s="47"/>
      <c r="BO1" s="47"/>
      <c r="BP1" s="47"/>
      <c r="BQ1" s="47"/>
      <c r="BR1" s="47"/>
      <c r="BS1" s="47"/>
      <c r="BT1" s="47"/>
      <c r="BU1" s="47"/>
      <c r="BV1" s="47"/>
      <c r="BW1" s="47"/>
      <c r="BX1" s="47"/>
      <c r="BY1" s="47"/>
      <c r="BZ1" s="47"/>
      <c r="CA1" s="47"/>
      <c r="CB1" s="47"/>
      <c r="CC1" s="47"/>
      <c r="CD1" s="47"/>
      <c r="CE1" s="47"/>
      <c r="CF1" s="47"/>
      <c r="CG1" s="47"/>
      <c r="CH1" s="46">
        <f>Instructions!$C$14+2</f>
        <v>46243</v>
      </c>
      <c r="CI1" s="47"/>
      <c r="CJ1" s="47"/>
      <c r="CK1" s="47"/>
    </row>
    <row r="2" spans="1:89" ht="58" customHeight="1" x14ac:dyDescent="0.2">
      <c r="A2" s="22"/>
      <c r="B2" s="22"/>
      <c r="C2" s="22"/>
      <c r="D2" s="23">
        <v>0.14583333333333329</v>
      </c>
      <c r="E2" s="23">
        <v>0.15625</v>
      </c>
      <c r="F2" s="23">
        <v>0.16666666666666671</v>
      </c>
      <c r="G2" s="23">
        <v>0.17708333333333329</v>
      </c>
      <c r="H2" s="23">
        <v>0.1875</v>
      </c>
      <c r="I2" s="23">
        <v>0.19791666666666671</v>
      </c>
      <c r="J2" s="23">
        <v>0.20833333333333329</v>
      </c>
      <c r="K2" s="23">
        <v>0.21875</v>
      </c>
      <c r="L2" s="23">
        <v>0.22916666666666671</v>
      </c>
      <c r="M2" s="23">
        <v>0.23958333333333329</v>
      </c>
      <c r="N2" s="23">
        <v>0.25</v>
      </c>
      <c r="O2" s="23">
        <v>0.26041666666666669</v>
      </c>
      <c r="P2" s="23">
        <v>0.27083333333333331</v>
      </c>
      <c r="Q2" s="23">
        <v>0.28125</v>
      </c>
      <c r="R2" s="23">
        <v>0.29166666666666669</v>
      </c>
      <c r="S2" s="23">
        <v>0.30208333333333331</v>
      </c>
      <c r="T2" s="23">
        <v>0.3125</v>
      </c>
      <c r="U2" s="23">
        <v>0.32291666666666669</v>
      </c>
      <c r="V2" s="23">
        <v>0.33333333333333331</v>
      </c>
      <c r="W2" s="23">
        <v>0.34375</v>
      </c>
      <c r="X2" s="23">
        <v>0.35416666666666669</v>
      </c>
      <c r="Y2" s="23">
        <v>0.36458333333333331</v>
      </c>
      <c r="Z2" s="23">
        <v>0.375</v>
      </c>
      <c r="AA2" s="23">
        <v>0.38541666666666669</v>
      </c>
      <c r="AB2" s="23">
        <v>0.39583333333333331</v>
      </c>
      <c r="AC2" s="23">
        <v>0.40625</v>
      </c>
      <c r="AD2" s="23">
        <v>0.41666666666666669</v>
      </c>
      <c r="AE2" s="23">
        <v>0.42708333333333331</v>
      </c>
      <c r="AF2" s="23">
        <v>0.4375</v>
      </c>
      <c r="AG2" s="23">
        <v>0.44791666666666669</v>
      </c>
      <c r="AH2" s="23">
        <v>0.45833333333333331</v>
      </c>
      <c r="AI2" s="23">
        <v>0.46875</v>
      </c>
      <c r="AJ2" s="23">
        <v>0.47916666666666669</v>
      </c>
      <c r="AK2" s="23">
        <v>0.48958333333333331</v>
      </c>
      <c r="AL2" s="23">
        <v>0.5</v>
      </c>
      <c r="AM2" s="23">
        <v>0.51041666666666663</v>
      </c>
      <c r="AN2" s="23">
        <v>0.52083333333333337</v>
      </c>
      <c r="AO2" s="23">
        <v>0.53125</v>
      </c>
      <c r="AP2" s="23">
        <v>0.54166666666666663</v>
      </c>
      <c r="AQ2" s="23">
        <v>0.55208333333333337</v>
      </c>
      <c r="AR2" s="23">
        <v>0.5625</v>
      </c>
      <c r="AS2" s="23">
        <v>0.57291666666666663</v>
      </c>
      <c r="AT2" s="23">
        <v>0.58333333333333337</v>
      </c>
      <c r="AU2" s="23">
        <v>0.59375</v>
      </c>
      <c r="AV2" s="23">
        <v>0.60416666666666663</v>
      </c>
      <c r="AW2" s="23">
        <v>0.61458333333333337</v>
      </c>
      <c r="AX2" s="23">
        <v>0.625</v>
      </c>
      <c r="AY2" s="23">
        <v>0.63541666666666663</v>
      </c>
      <c r="AZ2" s="23">
        <v>0.64583333333333337</v>
      </c>
      <c r="BA2" s="23">
        <v>0.65625</v>
      </c>
      <c r="BB2" s="23">
        <v>0.66666666666666663</v>
      </c>
      <c r="BC2" s="23">
        <v>0.67708333333333337</v>
      </c>
      <c r="BD2" s="23">
        <v>0.6875</v>
      </c>
      <c r="BE2" s="23">
        <v>0.69791666666666663</v>
      </c>
      <c r="BF2" s="23">
        <v>0.70833333333333337</v>
      </c>
      <c r="BG2" s="23">
        <v>0.71875</v>
      </c>
      <c r="BH2" s="23">
        <v>0.72916666666666663</v>
      </c>
      <c r="BI2" s="23">
        <v>0.73958333333333337</v>
      </c>
      <c r="BJ2" s="23">
        <v>0.75</v>
      </c>
      <c r="BK2" s="23">
        <v>0.76041666666666663</v>
      </c>
      <c r="BL2" s="23">
        <v>0.77083333333333337</v>
      </c>
      <c r="BM2" s="23">
        <v>0.78125</v>
      </c>
      <c r="BN2" s="23">
        <v>0.79166666666666663</v>
      </c>
      <c r="BO2" s="23">
        <v>0.80208333333333337</v>
      </c>
      <c r="BP2" s="23">
        <v>0.8125</v>
      </c>
      <c r="BQ2" s="23">
        <v>0.82291666666666663</v>
      </c>
      <c r="BR2" s="23">
        <v>0.83333333333333337</v>
      </c>
      <c r="BS2" s="23">
        <v>0.84375</v>
      </c>
      <c r="BT2" s="23">
        <v>0.85416666666666663</v>
      </c>
      <c r="BU2" s="23">
        <v>0.86458333333333337</v>
      </c>
      <c r="BV2" s="23">
        <v>0.875</v>
      </c>
      <c r="BW2" s="23">
        <v>0.88541666666666663</v>
      </c>
      <c r="BX2" s="23">
        <v>0.89583333333333337</v>
      </c>
      <c r="BY2" s="23">
        <v>0.90625</v>
      </c>
      <c r="BZ2" s="23">
        <v>0.91666666666666663</v>
      </c>
      <c r="CA2" s="23">
        <v>0.92708333333333337</v>
      </c>
      <c r="CB2" s="23">
        <v>0.9375</v>
      </c>
      <c r="CC2" s="23">
        <v>0.94791666666666663</v>
      </c>
      <c r="CD2" s="23">
        <v>0.95833333333333337</v>
      </c>
      <c r="CE2" s="23">
        <v>0.96875</v>
      </c>
      <c r="CF2" s="23">
        <v>0.97916666666666663</v>
      </c>
      <c r="CG2" s="23">
        <v>0.98958333333333337</v>
      </c>
      <c r="CH2" s="23">
        <v>0</v>
      </c>
      <c r="CI2" s="23">
        <v>1.041666666666667E-2</v>
      </c>
      <c r="CJ2" s="23">
        <v>2.0833333333333329E-2</v>
      </c>
      <c r="CK2" s="23">
        <v>3.125E-2</v>
      </c>
    </row>
    <row r="3" spans="1:89" ht="18" customHeight="1" x14ac:dyDescent="0.2">
      <c r="A3" s="43" t="s">
        <v>78</v>
      </c>
      <c r="B3" s="44"/>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5"/>
    </row>
    <row r="4" spans="1:89" ht="34" customHeight="1" x14ac:dyDescent="0.2">
      <c r="A4" s="39" t="s">
        <v>151</v>
      </c>
      <c r="B4" s="24"/>
      <c r="C4" s="20" t="str">
        <f>IF(TRIM($B4)="","",IFERROR(INDEX(People!$A$2:$A$199,MATCH(TRIM($B4),People!$B$2:$B$199,0)),IFERROR(INDEX(Teams!$A$2:$A$9,MATCH(TRIM($B4),Teams!$B$2:$B$9,0)),"?? CHECK NAME")))</f>
        <v/>
      </c>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c r="BG4" s="25"/>
      <c r="BH4" s="25"/>
      <c r="BI4" s="25"/>
      <c r="BJ4" s="25"/>
      <c r="BK4" s="25"/>
      <c r="BL4" s="25"/>
      <c r="BM4" s="25"/>
      <c r="BN4" s="25"/>
      <c r="BO4" s="25"/>
      <c r="BP4" s="25"/>
      <c r="BQ4" s="25"/>
      <c r="BR4" s="25"/>
      <c r="BS4" s="25"/>
      <c r="BT4" s="25"/>
      <c r="BU4" s="25"/>
      <c r="BV4" s="25"/>
      <c r="BW4" s="25"/>
      <c r="BX4" s="25"/>
      <c r="BY4" s="25"/>
      <c r="BZ4" s="25"/>
      <c r="CA4" s="25"/>
      <c r="CB4" s="25"/>
      <c r="CC4" s="25"/>
      <c r="CD4" s="25"/>
      <c r="CE4" s="25"/>
      <c r="CF4" s="25"/>
      <c r="CG4" s="25"/>
      <c r="CH4" s="25"/>
      <c r="CI4" s="25"/>
      <c r="CJ4" s="25"/>
      <c r="CK4" s="25"/>
    </row>
    <row r="5" spans="1:89" ht="34" customHeight="1" x14ac:dyDescent="0.2">
      <c r="A5" s="40"/>
      <c r="B5" s="24"/>
      <c r="C5" s="20" t="str">
        <f>IF(TRIM($B5)="","",IFERROR(INDEX(People!$A$2:$A$199,MATCH(TRIM($B5),People!$B$2:$B$199,0)),IFERROR(INDEX(Teams!$A$2:$A$9,MATCH(TRIM($B5),Teams!$B$2:$B$9,0)),"?? CHECK NAME")))</f>
        <v/>
      </c>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row>
    <row r="6" spans="1:89" ht="34" customHeight="1" x14ac:dyDescent="0.2">
      <c r="A6" s="40"/>
      <c r="B6" s="24"/>
      <c r="C6" s="20" t="str">
        <f>IF(TRIM($B6)="","",IFERROR(INDEX(People!$A$2:$A$199,MATCH(TRIM($B6),People!$B$2:$B$199,0)),IFERROR(INDEX(Teams!$A$2:$A$9,MATCH(TRIM($B6),Teams!$B$2:$B$9,0)),"?? CHECK NAME")))</f>
        <v/>
      </c>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row>
    <row r="7" spans="1:89" ht="34" customHeight="1" x14ac:dyDescent="0.2">
      <c r="A7" s="40"/>
      <c r="B7" s="24"/>
      <c r="C7" s="20" t="str">
        <f>IF(TRIM($B7)="","",IFERROR(INDEX(People!$A$2:$A$199,MATCH(TRIM($B7),People!$B$2:$B$199,0)),IFERROR(INDEX(Teams!$A$2:$A$9,MATCH(TRIM($B7),Teams!$B$2:$B$9,0)),"?? CHECK NAME")))</f>
        <v/>
      </c>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row>
    <row r="8" spans="1:89" ht="34" customHeight="1" x14ac:dyDescent="0.2">
      <c r="A8" s="41"/>
      <c r="B8" s="24"/>
      <c r="C8" s="20" t="str">
        <f>IF(TRIM($B8)="","",IFERROR(INDEX(People!$A$2:$A$199,MATCH(TRIM($B8),People!$B$2:$B$199,0)),IFERROR(INDEX(Teams!$A$2:$A$9,MATCH(TRIM($B8),Teams!$B$2:$B$9,0)),"?? CHECK NAME")))</f>
        <v/>
      </c>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row>
    <row r="9" spans="1:89" ht="34" customHeight="1" x14ac:dyDescent="0.2">
      <c r="A9" s="39" t="s">
        <v>230</v>
      </c>
      <c r="B9" s="24"/>
      <c r="C9" s="20" t="str">
        <f>IF(TRIM($B9)="","",IFERROR(INDEX(People!$A$2:$A$199,MATCH(TRIM($B9),People!$B$2:$B$199,0)),IFERROR(INDEX(Teams!$A$2:$A$9,MATCH(TRIM($B9),Teams!$B$2:$B$9,0)),"?? CHECK NAME")))</f>
        <v/>
      </c>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c r="CF9" s="25"/>
      <c r="CG9" s="25"/>
      <c r="CH9" s="25"/>
      <c r="CI9" s="25"/>
      <c r="CJ9" s="25"/>
      <c r="CK9" s="25"/>
    </row>
    <row r="10" spans="1:89" ht="34" customHeight="1" x14ac:dyDescent="0.2">
      <c r="A10" s="40"/>
      <c r="B10" s="24"/>
      <c r="C10" s="20" t="str">
        <f>IF(TRIM($B10)="","",IFERROR(INDEX(People!$A$2:$A$199,MATCH(TRIM($B10),People!$B$2:$B$199,0)),IFERROR(INDEX(Teams!$A$2:$A$9,MATCH(TRIM($B10),Teams!$B$2:$B$9,0)),"?? CHECK NAME")))</f>
        <v/>
      </c>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5"/>
      <c r="CE10" s="25"/>
      <c r="CF10" s="25"/>
      <c r="CG10" s="25"/>
      <c r="CH10" s="25"/>
      <c r="CI10" s="25"/>
      <c r="CJ10" s="25"/>
      <c r="CK10" s="25"/>
    </row>
    <row r="11" spans="1:89" ht="34" customHeight="1" x14ac:dyDescent="0.2">
      <c r="A11" s="40"/>
      <c r="B11" s="24"/>
      <c r="C11" s="20" t="str">
        <f>IF(TRIM($B11)="","",IFERROR(INDEX(People!$A$2:$A$199,MATCH(TRIM($B11),People!$B$2:$B$199,0)),IFERROR(INDEX(Teams!$A$2:$A$9,MATCH(TRIM($B11),Teams!$B$2:$B$9,0)),"?? CHECK NAME")))</f>
        <v/>
      </c>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row>
    <row r="12" spans="1:89" ht="34" customHeight="1" x14ac:dyDescent="0.2">
      <c r="A12" s="40"/>
      <c r="B12" s="24"/>
      <c r="C12" s="20" t="str">
        <f>IF(TRIM($B12)="","",IFERROR(INDEX(People!$A$2:$A$199,MATCH(TRIM($B12),People!$B$2:$B$199,0)),IFERROR(INDEX(Teams!$A$2:$A$9,MATCH(TRIM($B12),Teams!$B$2:$B$9,0)),"?? CHECK NAME")))</f>
        <v/>
      </c>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5"/>
      <c r="CK12" s="25"/>
    </row>
    <row r="13" spans="1:89" ht="34" customHeight="1" x14ac:dyDescent="0.2">
      <c r="A13" s="41"/>
      <c r="B13" s="24"/>
      <c r="C13" s="20" t="str">
        <f>IF(TRIM($B13)="","",IFERROR(INDEX(People!$A$2:$A$199,MATCH(TRIM($B13),People!$B$2:$B$199,0)),IFERROR(INDEX(Teams!$A$2:$A$9,MATCH(TRIM($B13),Teams!$B$2:$B$9,0)),"?? CHECK NAME")))</f>
        <v/>
      </c>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c r="CJ13" s="25"/>
      <c r="CK13" s="25"/>
    </row>
    <row r="14" spans="1:89" ht="34" customHeight="1" x14ac:dyDescent="0.2">
      <c r="A14" s="39" t="s">
        <v>231</v>
      </c>
      <c r="B14" s="24"/>
      <c r="C14" s="20" t="str">
        <f>IF(TRIM($B14)="","",IFERROR(INDEX(People!$A$2:$A$199,MATCH(TRIM($B14),People!$B$2:$B$199,0)),IFERROR(INDEX(Teams!$A$2:$A$9,MATCH(TRIM($B14),Teams!$B$2:$B$9,0)),"?? CHECK NAME")))</f>
        <v/>
      </c>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5"/>
      <c r="CE14" s="25"/>
      <c r="CF14" s="25"/>
      <c r="CG14" s="25"/>
      <c r="CH14" s="25"/>
      <c r="CI14" s="25"/>
      <c r="CJ14" s="25"/>
      <c r="CK14" s="25"/>
    </row>
    <row r="15" spans="1:89" ht="34" customHeight="1" x14ac:dyDescent="0.2">
      <c r="A15" s="40"/>
      <c r="B15" s="24"/>
      <c r="C15" s="20" t="str">
        <f>IF(TRIM($B15)="","",IFERROR(INDEX(People!$A$2:$A$199,MATCH(TRIM($B15),People!$B$2:$B$199,0)),IFERROR(INDEX(Teams!$A$2:$A$9,MATCH(TRIM($B15),Teams!$B$2:$B$9,0)),"?? CHECK NAME")))</f>
        <v/>
      </c>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c r="CJ15" s="25"/>
      <c r="CK15" s="25"/>
    </row>
    <row r="16" spans="1:89" ht="34" customHeight="1" x14ac:dyDescent="0.2">
      <c r="A16" s="40"/>
      <c r="B16" s="24"/>
      <c r="C16" s="20" t="str">
        <f>IF(TRIM($B16)="","",IFERROR(INDEX(People!$A$2:$A$199,MATCH(TRIM($B16),People!$B$2:$B$199,0)),IFERROR(INDEX(Teams!$A$2:$A$9,MATCH(TRIM($B16),Teams!$B$2:$B$9,0)),"?? CHECK NAME")))</f>
        <v/>
      </c>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row>
    <row r="17" spans="1:89" ht="34" customHeight="1" x14ac:dyDescent="0.2">
      <c r="A17" s="40"/>
      <c r="B17" s="24"/>
      <c r="C17" s="20" t="str">
        <f>IF(TRIM($B17)="","",IFERROR(INDEX(People!$A$2:$A$199,MATCH(TRIM($B17),People!$B$2:$B$199,0)),IFERROR(INDEX(Teams!$A$2:$A$9,MATCH(TRIM($B17),Teams!$B$2:$B$9,0)),"?? CHECK NAME")))</f>
        <v/>
      </c>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row>
    <row r="18" spans="1:89" ht="34" customHeight="1" x14ac:dyDescent="0.2">
      <c r="A18" s="41"/>
      <c r="B18" s="24"/>
      <c r="C18" s="20" t="str">
        <f>IF(TRIM($B18)="","",IFERROR(INDEX(People!$A$2:$A$199,MATCH(TRIM($B18),People!$B$2:$B$199,0)),IFERROR(INDEX(Teams!$A$2:$A$9,MATCH(TRIM($B18),Teams!$B$2:$B$9,0)),"?? CHECK NAME")))</f>
        <v/>
      </c>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row>
    <row r="19" spans="1:89" ht="34" customHeight="1" x14ac:dyDescent="0.2">
      <c r="A19" s="39" t="s">
        <v>232</v>
      </c>
      <c r="B19" s="24"/>
      <c r="C19" s="20" t="str">
        <f>IF(TRIM($B19)="","",IFERROR(INDEX(People!$A$2:$A$199,MATCH(TRIM($B19),People!$B$2:$B$199,0)),IFERROR(INDEX(Teams!$A$2:$A$9,MATCH(TRIM($B19),Teams!$B$2:$B$9,0)),"?? CHECK NAME")))</f>
        <v/>
      </c>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5"/>
      <c r="CK19" s="25"/>
    </row>
    <row r="20" spans="1:89" ht="34" customHeight="1" x14ac:dyDescent="0.2">
      <c r="A20" s="40"/>
      <c r="B20" s="24"/>
      <c r="C20" s="20" t="str">
        <f>IF(TRIM($B20)="","",IFERROR(INDEX(People!$A$2:$A$199,MATCH(TRIM($B20),People!$B$2:$B$199,0)),IFERROR(INDEX(Teams!$A$2:$A$9,MATCH(TRIM($B20),Teams!$B$2:$B$9,0)),"?? CHECK NAME")))</f>
        <v/>
      </c>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c r="CC20" s="25"/>
      <c r="CD20" s="25"/>
      <c r="CE20" s="25"/>
      <c r="CF20" s="25"/>
      <c r="CG20" s="25"/>
      <c r="CH20" s="25"/>
      <c r="CI20" s="25"/>
      <c r="CJ20" s="25"/>
      <c r="CK20" s="25"/>
    </row>
    <row r="21" spans="1:89" ht="34" customHeight="1" x14ac:dyDescent="0.2">
      <c r="A21" s="40"/>
      <c r="B21" s="24"/>
      <c r="C21" s="20" t="str">
        <f>IF(TRIM($B21)="","",IFERROR(INDEX(People!$A$2:$A$199,MATCH(TRIM($B21),People!$B$2:$B$199,0)),IFERROR(INDEX(Teams!$A$2:$A$9,MATCH(TRIM($B21),Teams!$B$2:$B$9,0)),"?? CHECK NAME")))</f>
        <v/>
      </c>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c r="BX21" s="25"/>
      <c r="BY21" s="25"/>
      <c r="BZ21" s="25"/>
      <c r="CA21" s="25"/>
      <c r="CB21" s="25"/>
      <c r="CC21" s="25"/>
      <c r="CD21" s="25"/>
      <c r="CE21" s="25"/>
      <c r="CF21" s="25"/>
      <c r="CG21" s="25"/>
      <c r="CH21" s="25"/>
      <c r="CI21" s="25"/>
      <c r="CJ21" s="25"/>
      <c r="CK21" s="25"/>
    </row>
    <row r="22" spans="1:89" ht="34" customHeight="1" x14ac:dyDescent="0.2">
      <c r="A22" s="40"/>
      <c r="B22" s="24"/>
      <c r="C22" s="20" t="str">
        <f>IF(TRIM($B22)="","",IFERROR(INDEX(People!$A$2:$A$199,MATCH(TRIM($B22),People!$B$2:$B$199,0)),IFERROR(INDEX(Teams!$A$2:$A$9,MATCH(TRIM($B22),Teams!$B$2:$B$9,0)),"?? CHECK NAME")))</f>
        <v/>
      </c>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5"/>
      <c r="CE22" s="25"/>
      <c r="CF22" s="25"/>
      <c r="CG22" s="25"/>
      <c r="CH22" s="25"/>
      <c r="CI22" s="25"/>
      <c r="CJ22" s="25"/>
      <c r="CK22" s="25"/>
    </row>
    <row r="23" spans="1:89" ht="34" customHeight="1" x14ac:dyDescent="0.2">
      <c r="A23" s="41"/>
      <c r="B23" s="24"/>
      <c r="C23" s="20" t="str">
        <f>IF(TRIM($B23)="","",IFERROR(INDEX(People!$A$2:$A$199,MATCH(TRIM($B23),People!$B$2:$B$199,0)),IFERROR(INDEX(Teams!$A$2:$A$9,MATCH(TRIM($B23),Teams!$B$2:$B$9,0)),"?? CHECK NAME")))</f>
        <v/>
      </c>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5"/>
      <c r="CE23" s="25"/>
      <c r="CF23" s="25"/>
      <c r="CG23" s="25"/>
      <c r="CH23" s="25"/>
      <c r="CI23" s="25"/>
      <c r="CJ23" s="25"/>
      <c r="CK23" s="25"/>
    </row>
    <row r="24" spans="1:89" ht="34" customHeight="1" x14ac:dyDescent="0.2">
      <c r="A24" s="39" t="s">
        <v>233</v>
      </c>
      <c r="B24" s="24"/>
      <c r="C24" s="20" t="str">
        <f>IF(TRIM($B24)="","",IFERROR(INDEX(People!$A$2:$A$199,MATCH(TRIM($B24),People!$B$2:$B$199,0)),IFERROR(INDEX(Teams!$A$2:$A$9,MATCH(TRIM($B24),Teams!$B$2:$B$9,0)),"?? CHECK NAME")))</f>
        <v/>
      </c>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5"/>
      <c r="CA24" s="25"/>
      <c r="CB24" s="25"/>
      <c r="CC24" s="25"/>
      <c r="CD24" s="25"/>
      <c r="CE24" s="25"/>
      <c r="CF24" s="25"/>
      <c r="CG24" s="25"/>
      <c r="CH24" s="25"/>
      <c r="CI24" s="25"/>
      <c r="CJ24" s="25"/>
      <c r="CK24" s="25"/>
    </row>
    <row r="25" spans="1:89" ht="34" customHeight="1" x14ac:dyDescent="0.2">
      <c r="A25" s="40"/>
      <c r="B25" s="24"/>
      <c r="C25" s="20" t="str">
        <f>IF(TRIM($B25)="","",IFERROR(INDEX(People!$A$2:$A$199,MATCH(TRIM($B25),People!$B$2:$B$199,0)),IFERROR(INDEX(Teams!$A$2:$A$9,MATCH(TRIM($B25),Teams!$B$2:$B$9,0)),"?? CHECK NAME")))</f>
        <v/>
      </c>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5"/>
      <c r="CA25" s="25"/>
      <c r="CB25" s="25"/>
      <c r="CC25" s="25"/>
      <c r="CD25" s="25"/>
      <c r="CE25" s="25"/>
      <c r="CF25" s="25"/>
      <c r="CG25" s="25"/>
      <c r="CH25" s="25"/>
      <c r="CI25" s="25"/>
      <c r="CJ25" s="25"/>
      <c r="CK25" s="25"/>
    </row>
    <row r="26" spans="1:89" ht="34" customHeight="1" x14ac:dyDescent="0.2">
      <c r="A26" s="40"/>
      <c r="B26" s="24"/>
      <c r="C26" s="20" t="str">
        <f>IF(TRIM($B26)="","",IFERROR(INDEX(People!$A$2:$A$199,MATCH(TRIM($B26),People!$B$2:$B$199,0)),IFERROR(INDEX(Teams!$A$2:$A$9,MATCH(TRIM($B26),Teams!$B$2:$B$9,0)),"?? CHECK NAME")))</f>
        <v/>
      </c>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c r="CF26" s="25"/>
      <c r="CG26" s="25"/>
      <c r="CH26" s="25"/>
      <c r="CI26" s="25"/>
      <c r="CJ26" s="25"/>
      <c r="CK26" s="25"/>
    </row>
    <row r="27" spans="1:89" ht="34" customHeight="1" x14ac:dyDescent="0.2">
      <c r="A27" s="40"/>
      <c r="B27" s="24"/>
      <c r="C27" s="20" t="str">
        <f>IF(TRIM($B27)="","",IFERROR(INDEX(People!$A$2:$A$199,MATCH(TRIM($B27),People!$B$2:$B$199,0)),IFERROR(INDEX(Teams!$A$2:$A$9,MATCH(TRIM($B27),Teams!$B$2:$B$9,0)),"?? CHECK NAME")))</f>
        <v/>
      </c>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5"/>
      <c r="CA27" s="25"/>
      <c r="CB27" s="25"/>
      <c r="CC27" s="25"/>
      <c r="CD27" s="25"/>
      <c r="CE27" s="25"/>
      <c r="CF27" s="25"/>
      <c r="CG27" s="25"/>
      <c r="CH27" s="25"/>
      <c r="CI27" s="25"/>
      <c r="CJ27" s="25"/>
      <c r="CK27" s="25"/>
    </row>
    <row r="28" spans="1:89" ht="34" customHeight="1" x14ac:dyDescent="0.2">
      <c r="A28" s="41"/>
      <c r="B28" s="24"/>
      <c r="C28" s="20" t="str">
        <f>IF(TRIM($B28)="","",IFERROR(INDEX(People!$A$2:$A$199,MATCH(TRIM($B28),People!$B$2:$B$199,0)),IFERROR(INDEX(Teams!$A$2:$A$9,MATCH(TRIM($B28),Teams!$B$2:$B$9,0)),"?? CHECK NAME")))</f>
        <v/>
      </c>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c r="CF28" s="25"/>
      <c r="CG28" s="25"/>
      <c r="CH28" s="25"/>
      <c r="CI28" s="25"/>
      <c r="CJ28" s="25"/>
      <c r="CK28" s="25"/>
    </row>
    <row r="29" spans="1:89" ht="34" customHeight="1" x14ac:dyDescent="0.2">
      <c r="A29" s="39" t="s">
        <v>234</v>
      </c>
      <c r="B29" s="24"/>
      <c r="C29" s="20" t="str">
        <f>IF(TRIM($B29)="","",IFERROR(INDEX(People!$A$2:$A$199,MATCH(TRIM($B29),People!$B$2:$B$199,0)),IFERROR(INDEX(Teams!$A$2:$A$9,MATCH(TRIM($B29),Teams!$B$2:$B$9,0)),"?? CHECK NAME")))</f>
        <v/>
      </c>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c r="CB29" s="25"/>
      <c r="CC29" s="25"/>
      <c r="CD29" s="25"/>
      <c r="CE29" s="25"/>
      <c r="CF29" s="25"/>
      <c r="CG29" s="25"/>
      <c r="CH29" s="25"/>
      <c r="CI29" s="25"/>
      <c r="CJ29" s="25"/>
      <c r="CK29" s="25"/>
    </row>
    <row r="30" spans="1:89" ht="34" customHeight="1" x14ac:dyDescent="0.2">
      <c r="A30" s="40"/>
      <c r="B30" s="24"/>
      <c r="C30" s="20" t="str">
        <f>IF(TRIM($B30)="","",IFERROR(INDEX(People!$A$2:$A$199,MATCH(TRIM($B30),People!$B$2:$B$199,0)),IFERROR(INDEX(Teams!$A$2:$A$9,MATCH(TRIM($B30),Teams!$B$2:$B$9,0)),"?? CHECK NAME")))</f>
        <v/>
      </c>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c r="CK30" s="25"/>
    </row>
    <row r="31" spans="1:89" ht="34" customHeight="1" x14ac:dyDescent="0.2">
      <c r="A31" s="40"/>
      <c r="B31" s="24"/>
      <c r="C31" s="20" t="str">
        <f>IF(TRIM($B31)="","",IFERROR(INDEX(People!$A$2:$A$199,MATCH(TRIM($B31),People!$B$2:$B$199,0)),IFERROR(INDEX(Teams!$A$2:$A$9,MATCH(TRIM($B31),Teams!$B$2:$B$9,0)),"?? CHECK NAME")))</f>
        <v/>
      </c>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5"/>
      <c r="CA31" s="25"/>
      <c r="CB31" s="25"/>
      <c r="CC31" s="25"/>
      <c r="CD31" s="25"/>
      <c r="CE31" s="25"/>
      <c r="CF31" s="25"/>
      <c r="CG31" s="25"/>
      <c r="CH31" s="25"/>
      <c r="CI31" s="25"/>
      <c r="CJ31" s="25"/>
      <c r="CK31" s="25"/>
    </row>
    <row r="32" spans="1:89" ht="34" customHeight="1" x14ac:dyDescent="0.2">
      <c r="A32" s="40"/>
      <c r="B32" s="24"/>
      <c r="C32" s="20" t="str">
        <f>IF(TRIM($B32)="","",IFERROR(INDEX(People!$A$2:$A$199,MATCH(TRIM($B32),People!$B$2:$B$199,0)),IFERROR(INDEX(Teams!$A$2:$A$9,MATCH(TRIM($B32),Teams!$B$2:$B$9,0)),"?? CHECK NAME")))</f>
        <v/>
      </c>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c r="CF32" s="25"/>
      <c r="CG32" s="25"/>
      <c r="CH32" s="25"/>
      <c r="CI32" s="25"/>
      <c r="CJ32" s="25"/>
      <c r="CK32" s="25"/>
    </row>
    <row r="33" spans="1:89" ht="34" customHeight="1" x14ac:dyDescent="0.2">
      <c r="A33" s="41"/>
      <c r="B33" s="24"/>
      <c r="C33" s="20" t="str">
        <f>IF(TRIM($B33)="","",IFERROR(INDEX(People!$A$2:$A$199,MATCH(TRIM($B33),People!$B$2:$B$199,0)),IFERROR(INDEX(Teams!$A$2:$A$9,MATCH(TRIM($B33),Teams!$B$2:$B$9,0)),"?? CHECK NAME")))</f>
        <v/>
      </c>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5"/>
      <c r="CA33" s="25"/>
      <c r="CB33" s="25"/>
      <c r="CC33" s="25"/>
      <c r="CD33" s="25"/>
      <c r="CE33" s="25"/>
      <c r="CF33" s="25"/>
      <c r="CG33" s="25"/>
      <c r="CH33" s="25"/>
      <c r="CI33" s="25"/>
      <c r="CJ33" s="25"/>
      <c r="CK33" s="25"/>
    </row>
    <row r="34" spans="1:89" ht="34" customHeight="1" x14ac:dyDescent="0.2">
      <c r="A34" s="39" t="s">
        <v>235</v>
      </c>
      <c r="B34" s="24"/>
      <c r="C34" s="20" t="str">
        <f>IF(TRIM($B34)="","",IFERROR(INDEX(People!$A$2:$A$199,MATCH(TRIM($B34),People!$B$2:$B$199,0)),IFERROR(INDEX(Teams!$A$2:$A$9,MATCH(TRIM($B34),Teams!$B$2:$B$9,0)),"?? CHECK NAME")))</f>
        <v/>
      </c>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c r="CF34" s="25"/>
      <c r="CG34" s="25"/>
      <c r="CH34" s="25"/>
      <c r="CI34" s="25"/>
      <c r="CJ34" s="25"/>
      <c r="CK34" s="25"/>
    </row>
    <row r="35" spans="1:89" ht="34" customHeight="1" x14ac:dyDescent="0.2">
      <c r="A35" s="40"/>
      <c r="B35" s="24"/>
      <c r="C35" s="20" t="str">
        <f>IF(TRIM($B35)="","",IFERROR(INDEX(People!$A$2:$A$199,MATCH(TRIM($B35),People!$B$2:$B$199,0)),IFERROR(INDEX(Teams!$A$2:$A$9,MATCH(TRIM($B35),Teams!$B$2:$B$9,0)),"?? CHECK NAME")))</f>
        <v/>
      </c>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c r="CK35" s="25"/>
    </row>
    <row r="36" spans="1:89" ht="34" customHeight="1" x14ac:dyDescent="0.2">
      <c r="A36" s="40"/>
      <c r="B36" s="24"/>
      <c r="C36" s="20" t="str">
        <f>IF(TRIM($B36)="","",IFERROR(INDEX(People!$A$2:$A$199,MATCH(TRIM($B36),People!$B$2:$B$199,0)),IFERROR(INDEX(Teams!$A$2:$A$9,MATCH(TRIM($B36),Teams!$B$2:$B$9,0)),"?? CHECK NAME")))</f>
        <v/>
      </c>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c r="BZ36" s="25"/>
      <c r="CA36" s="25"/>
      <c r="CB36" s="25"/>
      <c r="CC36" s="25"/>
      <c r="CD36" s="25"/>
      <c r="CE36" s="25"/>
      <c r="CF36" s="25"/>
      <c r="CG36" s="25"/>
      <c r="CH36" s="25"/>
      <c r="CI36" s="25"/>
      <c r="CJ36" s="25"/>
      <c r="CK36" s="25"/>
    </row>
    <row r="37" spans="1:89" ht="34" customHeight="1" x14ac:dyDescent="0.2">
      <c r="A37" s="40"/>
      <c r="B37" s="24"/>
      <c r="C37" s="20" t="str">
        <f>IF(TRIM($B37)="","",IFERROR(INDEX(People!$A$2:$A$199,MATCH(TRIM($B37),People!$B$2:$B$199,0)),IFERROR(INDEX(Teams!$A$2:$A$9,MATCH(TRIM($B37),Teams!$B$2:$B$9,0)),"?? CHECK NAME")))</f>
        <v/>
      </c>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25"/>
      <c r="BW37" s="25"/>
      <c r="BX37" s="25"/>
      <c r="BY37" s="25"/>
      <c r="BZ37" s="25"/>
      <c r="CA37" s="25"/>
      <c r="CB37" s="25"/>
      <c r="CC37" s="25"/>
      <c r="CD37" s="25"/>
      <c r="CE37" s="25"/>
      <c r="CF37" s="25"/>
      <c r="CG37" s="25"/>
      <c r="CH37" s="25"/>
      <c r="CI37" s="25"/>
      <c r="CJ37" s="25"/>
      <c r="CK37" s="25"/>
    </row>
    <row r="38" spans="1:89" ht="34" customHeight="1" x14ac:dyDescent="0.2">
      <c r="A38" s="41"/>
      <c r="B38" s="24"/>
      <c r="C38" s="20" t="str">
        <f>IF(TRIM($B38)="","",IFERROR(INDEX(People!$A$2:$A$199,MATCH(TRIM($B38),People!$B$2:$B$199,0)),IFERROR(INDEX(Teams!$A$2:$A$9,MATCH(TRIM($B38),Teams!$B$2:$B$9,0)),"?? CHECK NAME")))</f>
        <v/>
      </c>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c r="CA38" s="25"/>
      <c r="CB38" s="25"/>
      <c r="CC38" s="25"/>
      <c r="CD38" s="25"/>
      <c r="CE38" s="25"/>
      <c r="CF38" s="25"/>
      <c r="CG38" s="25"/>
      <c r="CH38" s="25"/>
      <c r="CI38" s="25"/>
      <c r="CJ38" s="25"/>
      <c r="CK38" s="25"/>
    </row>
    <row r="39" spans="1:89" ht="34" customHeight="1" x14ac:dyDescent="0.2">
      <c r="A39" s="39" t="s">
        <v>236</v>
      </c>
      <c r="B39" s="24"/>
      <c r="C39" s="20" t="str">
        <f>IF(TRIM($B39)="","",IFERROR(INDEX(People!$A$2:$A$199,MATCH(TRIM($B39),People!$B$2:$B$199,0)),IFERROR(INDEX(Teams!$A$2:$A$9,MATCH(TRIM($B39),Teams!$B$2:$B$9,0)),"?? CHECK NAME")))</f>
        <v/>
      </c>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c r="BX39" s="25"/>
      <c r="BY39" s="25"/>
      <c r="BZ39" s="25"/>
      <c r="CA39" s="25"/>
      <c r="CB39" s="25"/>
      <c r="CC39" s="25"/>
      <c r="CD39" s="25"/>
      <c r="CE39" s="25"/>
      <c r="CF39" s="25"/>
      <c r="CG39" s="25"/>
      <c r="CH39" s="25"/>
      <c r="CI39" s="25"/>
      <c r="CJ39" s="25"/>
      <c r="CK39" s="25"/>
    </row>
    <row r="40" spans="1:89" ht="34" customHeight="1" x14ac:dyDescent="0.2">
      <c r="A40" s="40"/>
      <c r="B40" s="24"/>
      <c r="C40" s="20" t="str">
        <f>IF(TRIM($B40)="","",IFERROR(INDEX(People!$A$2:$A$199,MATCH(TRIM($B40),People!$B$2:$B$199,0)),IFERROR(INDEX(Teams!$A$2:$A$9,MATCH(TRIM($B40),Teams!$B$2:$B$9,0)),"?? CHECK NAME")))</f>
        <v/>
      </c>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25"/>
      <c r="BW40" s="25"/>
      <c r="BX40" s="25"/>
      <c r="BY40" s="25"/>
      <c r="BZ40" s="25"/>
      <c r="CA40" s="25"/>
      <c r="CB40" s="25"/>
      <c r="CC40" s="25"/>
      <c r="CD40" s="25"/>
      <c r="CE40" s="25"/>
      <c r="CF40" s="25"/>
      <c r="CG40" s="25"/>
      <c r="CH40" s="25"/>
      <c r="CI40" s="25"/>
      <c r="CJ40" s="25"/>
      <c r="CK40" s="25"/>
    </row>
    <row r="41" spans="1:89" ht="34" customHeight="1" x14ac:dyDescent="0.2">
      <c r="A41" s="40"/>
      <c r="B41" s="24"/>
      <c r="C41" s="20" t="str">
        <f>IF(TRIM($B41)="","",IFERROR(INDEX(People!$A$2:$A$199,MATCH(TRIM($B41),People!$B$2:$B$199,0)),IFERROR(INDEX(Teams!$A$2:$A$9,MATCH(TRIM($B41),Teams!$B$2:$B$9,0)),"?? CHECK NAME")))</f>
        <v/>
      </c>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c r="BX41" s="25"/>
      <c r="BY41" s="25"/>
      <c r="BZ41" s="25"/>
      <c r="CA41" s="25"/>
      <c r="CB41" s="25"/>
      <c r="CC41" s="25"/>
      <c r="CD41" s="25"/>
      <c r="CE41" s="25"/>
      <c r="CF41" s="25"/>
      <c r="CG41" s="25"/>
      <c r="CH41" s="25"/>
      <c r="CI41" s="25"/>
      <c r="CJ41" s="25"/>
      <c r="CK41" s="25"/>
    </row>
    <row r="42" spans="1:89" ht="34" customHeight="1" x14ac:dyDescent="0.2">
      <c r="A42" s="40"/>
      <c r="B42" s="24"/>
      <c r="C42" s="20" t="str">
        <f>IF(TRIM($B42)="","",IFERROR(INDEX(People!$A$2:$A$199,MATCH(TRIM($B42),People!$B$2:$B$199,0)),IFERROR(INDEX(Teams!$A$2:$A$9,MATCH(TRIM($B42),Teams!$B$2:$B$9,0)),"?? CHECK NAME")))</f>
        <v/>
      </c>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c r="BV42" s="25"/>
      <c r="BW42" s="25"/>
      <c r="BX42" s="25"/>
      <c r="BY42" s="25"/>
      <c r="BZ42" s="25"/>
      <c r="CA42" s="25"/>
      <c r="CB42" s="25"/>
      <c r="CC42" s="25"/>
      <c r="CD42" s="25"/>
      <c r="CE42" s="25"/>
      <c r="CF42" s="25"/>
      <c r="CG42" s="25"/>
      <c r="CH42" s="25"/>
      <c r="CI42" s="25"/>
      <c r="CJ42" s="25"/>
      <c r="CK42" s="25"/>
    </row>
    <row r="43" spans="1:89" ht="34" customHeight="1" x14ac:dyDescent="0.2">
      <c r="A43" s="41"/>
      <c r="B43" s="24"/>
      <c r="C43" s="20" t="str">
        <f>IF(TRIM($B43)="","",IFERROR(INDEX(People!$A$2:$A$199,MATCH(TRIM($B43),People!$B$2:$B$199,0)),IFERROR(INDEX(Teams!$A$2:$A$9,MATCH(TRIM($B43),Teams!$B$2:$B$9,0)),"?? CHECK NAME")))</f>
        <v/>
      </c>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c r="BX43" s="25"/>
      <c r="BY43" s="25"/>
      <c r="BZ43" s="25"/>
      <c r="CA43" s="25"/>
      <c r="CB43" s="25"/>
      <c r="CC43" s="25"/>
      <c r="CD43" s="25"/>
      <c r="CE43" s="25"/>
      <c r="CF43" s="25"/>
      <c r="CG43" s="25"/>
      <c r="CH43" s="25"/>
      <c r="CI43" s="25"/>
      <c r="CJ43" s="25"/>
      <c r="CK43" s="25"/>
    </row>
    <row r="44" spans="1:89" ht="34" customHeight="1" x14ac:dyDescent="0.2">
      <c r="A44" s="39" t="s">
        <v>178</v>
      </c>
      <c r="B44" s="24"/>
      <c r="C44" s="20" t="str">
        <f>IF(TRIM($B44)="","",IFERROR(INDEX(People!$A$2:$A$199,MATCH(TRIM($B44),People!$B$2:$B$199,0)),IFERROR(INDEX(Teams!$A$2:$A$9,MATCH(TRIM($B44),Teams!$B$2:$B$9,0)),"?? CHECK NAME")))</f>
        <v/>
      </c>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c r="BZ44" s="25"/>
      <c r="CA44" s="25"/>
      <c r="CB44" s="25"/>
      <c r="CC44" s="25"/>
      <c r="CD44" s="25"/>
      <c r="CE44" s="25"/>
      <c r="CF44" s="25"/>
      <c r="CG44" s="25"/>
      <c r="CH44" s="25"/>
      <c r="CI44" s="25"/>
      <c r="CJ44" s="25"/>
      <c r="CK44" s="25"/>
    </row>
    <row r="45" spans="1:89" ht="34" customHeight="1" x14ac:dyDescent="0.2">
      <c r="A45" s="40"/>
      <c r="B45" s="24"/>
      <c r="C45" s="20" t="str">
        <f>IF(TRIM($B45)="","",IFERROR(INDEX(People!$A$2:$A$199,MATCH(TRIM($B45),People!$B$2:$B$199,0)),IFERROR(INDEX(Teams!$A$2:$A$9,MATCH(TRIM($B45),Teams!$B$2:$B$9,0)),"?? CHECK NAME")))</f>
        <v/>
      </c>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c r="BX45" s="25"/>
      <c r="BY45" s="25"/>
      <c r="BZ45" s="25"/>
      <c r="CA45" s="25"/>
      <c r="CB45" s="25"/>
      <c r="CC45" s="25"/>
      <c r="CD45" s="25"/>
      <c r="CE45" s="25"/>
      <c r="CF45" s="25"/>
      <c r="CG45" s="25"/>
      <c r="CH45" s="25"/>
      <c r="CI45" s="25"/>
      <c r="CJ45" s="25"/>
      <c r="CK45" s="25"/>
    </row>
    <row r="46" spans="1:89" ht="34" customHeight="1" x14ac:dyDescent="0.2">
      <c r="A46" s="40"/>
      <c r="B46" s="24"/>
      <c r="C46" s="20" t="str">
        <f>IF(TRIM($B46)="","",IFERROR(INDEX(People!$A$2:$A$199,MATCH(TRIM($B46),People!$B$2:$B$199,0)),IFERROR(INDEX(Teams!$A$2:$A$9,MATCH(TRIM($B46),Teams!$B$2:$B$9,0)),"?? CHECK NAME")))</f>
        <v/>
      </c>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c r="BV46" s="25"/>
      <c r="BW46" s="25"/>
      <c r="BX46" s="25"/>
      <c r="BY46" s="25"/>
      <c r="BZ46" s="25"/>
      <c r="CA46" s="25"/>
      <c r="CB46" s="25"/>
      <c r="CC46" s="25"/>
      <c r="CD46" s="25"/>
      <c r="CE46" s="25"/>
      <c r="CF46" s="25"/>
      <c r="CG46" s="25"/>
      <c r="CH46" s="25"/>
      <c r="CI46" s="25"/>
      <c r="CJ46" s="25"/>
      <c r="CK46" s="25"/>
    </row>
    <row r="47" spans="1:89" ht="34" customHeight="1" x14ac:dyDescent="0.2">
      <c r="A47" s="40"/>
      <c r="B47" s="24"/>
      <c r="C47" s="20" t="str">
        <f>IF(TRIM($B47)="","",IFERROR(INDEX(People!$A$2:$A$199,MATCH(TRIM($B47),People!$B$2:$B$199,0)),IFERROR(INDEX(Teams!$A$2:$A$9,MATCH(TRIM($B47),Teams!$B$2:$B$9,0)),"?? CHECK NAME")))</f>
        <v/>
      </c>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c r="BT47" s="25"/>
      <c r="BU47" s="25"/>
      <c r="BV47" s="25"/>
      <c r="BW47" s="25"/>
      <c r="BX47" s="25"/>
      <c r="BY47" s="25"/>
      <c r="BZ47" s="25"/>
      <c r="CA47" s="25"/>
      <c r="CB47" s="25"/>
      <c r="CC47" s="25"/>
      <c r="CD47" s="25"/>
      <c r="CE47" s="25"/>
      <c r="CF47" s="25"/>
      <c r="CG47" s="25"/>
      <c r="CH47" s="25"/>
      <c r="CI47" s="25"/>
      <c r="CJ47" s="25"/>
      <c r="CK47" s="25"/>
    </row>
    <row r="48" spans="1:89" ht="34" customHeight="1" x14ac:dyDescent="0.2">
      <c r="A48" s="41"/>
      <c r="B48" s="24"/>
      <c r="C48" s="20" t="str">
        <f>IF(TRIM($B48)="","",IFERROR(INDEX(People!$A$2:$A$199,MATCH(TRIM($B48),People!$B$2:$B$199,0)),IFERROR(INDEX(Teams!$A$2:$A$9,MATCH(TRIM($B48),Teams!$B$2:$B$9,0)),"?? CHECK NAME")))</f>
        <v/>
      </c>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c r="CF48" s="25"/>
      <c r="CG48" s="25"/>
      <c r="CH48" s="25"/>
      <c r="CI48" s="25"/>
      <c r="CJ48" s="25"/>
      <c r="CK48" s="25"/>
    </row>
    <row r="49" spans="1:89" ht="34" customHeight="1" x14ac:dyDescent="0.2">
      <c r="A49" s="39" t="s">
        <v>172</v>
      </c>
      <c r="B49" s="24"/>
      <c r="C49" s="20" t="str">
        <f>IF(TRIM($B49)="","",IFERROR(INDEX(People!$A$2:$A$199,MATCH(TRIM($B49),People!$B$2:$B$199,0)),IFERROR(INDEX(Teams!$A$2:$A$9,MATCH(TRIM($B49),Teams!$B$2:$B$9,0)),"?? CHECK NAME")))</f>
        <v/>
      </c>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c r="BV49" s="25"/>
      <c r="BW49" s="25"/>
      <c r="BX49" s="25"/>
      <c r="BY49" s="25"/>
      <c r="BZ49" s="25"/>
      <c r="CA49" s="25"/>
      <c r="CB49" s="25"/>
      <c r="CC49" s="25"/>
      <c r="CD49" s="25"/>
      <c r="CE49" s="25"/>
      <c r="CF49" s="25"/>
      <c r="CG49" s="25"/>
      <c r="CH49" s="25"/>
      <c r="CI49" s="25"/>
      <c r="CJ49" s="25"/>
      <c r="CK49" s="25"/>
    </row>
    <row r="50" spans="1:89" ht="34" customHeight="1" x14ac:dyDescent="0.2">
      <c r="A50" s="40"/>
      <c r="B50" s="24"/>
      <c r="C50" s="20" t="str">
        <f>IF(TRIM($B50)="","",IFERROR(INDEX(People!$A$2:$A$199,MATCH(TRIM($B50),People!$B$2:$B$199,0)),IFERROR(INDEX(Teams!$A$2:$A$9,MATCH(TRIM($B50),Teams!$B$2:$B$9,0)),"?? CHECK NAME")))</f>
        <v/>
      </c>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c r="BU50" s="25"/>
      <c r="BV50" s="25"/>
      <c r="BW50" s="25"/>
      <c r="BX50" s="25"/>
      <c r="BY50" s="25"/>
      <c r="BZ50" s="25"/>
      <c r="CA50" s="25"/>
      <c r="CB50" s="25"/>
      <c r="CC50" s="25"/>
      <c r="CD50" s="25"/>
      <c r="CE50" s="25"/>
      <c r="CF50" s="25"/>
      <c r="CG50" s="25"/>
      <c r="CH50" s="25"/>
      <c r="CI50" s="25"/>
      <c r="CJ50" s="25"/>
      <c r="CK50" s="25"/>
    </row>
    <row r="51" spans="1:89" ht="34" customHeight="1" x14ac:dyDescent="0.2">
      <c r="A51" s="40"/>
      <c r="B51" s="24"/>
      <c r="C51" s="20" t="str">
        <f>IF(TRIM($B51)="","",IFERROR(INDEX(People!$A$2:$A$199,MATCH(TRIM($B51),People!$B$2:$B$199,0)),IFERROR(INDEX(Teams!$A$2:$A$9,MATCH(TRIM($B51),Teams!$B$2:$B$9,0)),"?? CHECK NAME")))</f>
        <v/>
      </c>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c r="BX51" s="25"/>
      <c r="BY51" s="25"/>
      <c r="BZ51" s="25"/>
      <c r="CA51" s="25"/>
      <c r="CB51" s="25"/>
      <c r="CC51" s="25"/>
      <c r="CD51" s="25"/>
      <c r="CE51" s="25"/>
      <c r="CF51" s="25"/>
      <c r="CG51" s="25"/>
      <c r="CH51" s="25"/>
      <c r="CI51" s="25"/>
      <c r="CJ51" s="25"/>
      <c r="CK51" s="25"/>
    </row>
    <row r="52" spans="1:89" ht="34" customHeight="1" x14ac:dyDescent="0.2">
      <c r="A52" s="40"/>
      <c r="B52" s="24"/>
      <c r="C52" s="20" t="str">
        <f>IF(TRIM($B52)="","",IFERROR(INDEX(People!$A$2:$A$199,MATCH(TRIM($B52),People!$B$2:$B$199,0)),IFERROR(INDEX(Teams!$A$2:$A$9,MATCH(TRIM($B52),Teams!$B$2:$B$9,0)),"?? CHECK NAME")))</f>
        <v/>
      </c>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c r="BV52" s="25"/>
      <c r="BW52" s="25"/>
      <c r="BX52" s="25"/>
      <c r="BY52" s="25"/>
      <c r="BZ52" s="25"/>
      <c r="CA52" s="25"/>
      <c r="CB52" s="25"/>
      <c r="CC52" s="25"/>
      <c r="CD52" s="25"/>
      <c r="CE52" s="25"/>
      <c r="CF52" s="25"/>
      <c r="CG52" s="25"/>
      <c r="CH52" s="25"/>
      <c r="CI52" s="25"/>
      <c r="CJ52" s="25"/>
      <c r="CK52" s="25"/>
    </row>
    <row r="53" spans="1:89" ht="34" customHeight="1" x14ac:dyDescent="0.2">
      <c r="A53" s="41"/>
      <c r="B53" s="24"/>
      <c r="C53" s="20" t="str">
        <f>IF(TRIM($B53)="","",IFERROR(INDEX(People!$A$2:$A$199,MATCH(TRIM($B53),People!$B$2:$B$199,0)),IFERROR(INDEX(Teams!$A$2:$A$9,MATCH(TRIM($B53),Teams!$B$2:$B$9,0)),"?? CHECK NAME")))</f>
        <v/>
      </c>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c r="BX53" s="25"/>
      <c r="BY53" s="25"/>
      <c r="BZ53" s="25"/>
      <c r="CA53" s="25"/>
      <c r="CB53" s="25"/>
      <c r="CC53" s="25"/>
      <c r="CD53" s="25"/>
      <c r="CE53" s="25"/>
      <c r="CF53" s="25"/>
      <c r="CG53" s="25"/>
      <c r="CH53" s="25"/>
      <c r="CI53" s="25"/>
      <c r="CJ53" s="25"/>
      <c r="CK53" s="25"/>
    </row>
    <row r="54" spans="1:89" ht="34" customHeight="1" x14ac:dyDescent="0.2">
      <c r="A54" s="39" t="s">
        <v>237</v>
      </c>
      <c r="B54" s="24"/>
      <c r="C54" s="20" t="str">
        <f>IF(TRIM($B54)="","",IFERROR(INDEX(People!$A$2:$A$199,MATCH(TRIM($B54),People!$B$2:$B$199,0)),IFERROR(INDEX(Teams!$A$2:$A$9,MATCH(TRIM($B54),Teams!$B$2:$B$9,0)),"?? CHECK NAME")))</f>
        <v/>
      </c>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c r="BU54" s="25"/>
      <c r="BV54" s="25"/>
      <c r="BW54" s="25"/>
      <c r="BX54" s="25"/>
      <c r="BY54" s="25"/>
      <c r="BZ54" s="25"/>
      <c r="CA54" s="25"/>
      <c r="CB54" s="25"/>
      <c r="CC54" s="25"/>
      <c r="CD54" s="25"/>
      <c r="CE54" s="25"/>
      <c r="CF54" s="25"/>
      <c r="CG54" s="25"/>
      <c r="CH54" s="25"/>
      <c r="CI54" s="25"/>
      <c r="CJ54" s="25"/>
      <c r="CK54" s="25"/>
    </row>
    <row r="55" spans="1:89" ht="34" customHeight="1" x14ac:dyDescent="0.2">
      <c r="A55" s="40"/>
      <c r="B55" s="24"/>
      <c r="C55" s="20" t="str">
        <f>IF(TRIM($B55)="","",IFERROR(INDEX(People!$A$2:$A$199,MATCH(TRIM($B55),People!$B$2:$B$199,0)),IFERROR(INDEX(Teams!$A$2:$A$9,MATCH(TRIM($B55),Teams!$B$2:$B$9,0)),"?? CHECK NAME")))</f>
        <v/>
      </c>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c r="BM55" s="25"/>
      <c r="BN55" s="25"/>
      <c r="BO55" s="25"/>
      <c r="BP55" s="25"/>
      <c r="BQ55" s="25"/>
      <c r="BR55" s="25"/>
      <c r="BS55" s="25"/>
      <c r="BT55" s="25"/>
      <c r="BU55" s="25"/>
      <c r="BV55" s="25"/>
      <c r="BW55" s="25"/>
      <c r="BX55" s="25"/>
      <c r="BY55" s="25"/>
      <c r="BZ55" s="25"/>
      <c r="CA55" s="25"/>
      <c r="CB55" s="25"/>
      <c r="CC55" s="25"/>
      <c r="CD55" s="25"/>
      <c r="CE55" s="25"/>
      <c r="CF55" s="25"/>
      <c r="CG55" s="25"/>
      <c r="CH55" s="25"/>
      <c r="CI55" s="25"/>
      <c r="CJ55" s="25"/>
      <c r="CK55" s="25"/>
    </row>
    <row r="56" spans="1:89" ht="34" customHeight="1" x14ac:dyDescent="0.2">
      <c r="A56" s="40"/>
      <c r="B56" s="24"/>
      <c r="C56" s="20" t="str">
        <f>IF(TRIM($B56)="","",IFERROR(INDEX(People!$A$2:$A$199,MATCH(TRIM($B56),People!$B$2:$B$199,0)),IFERROR(INDEX(Teams!$A$2:$A$9,MATCH(TRIM($B56),Teams!$B$2:$B$9,0)),"?? CHECK NAME")))</f>
        <v/>
      </c>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c r="BQ56" s="25"/>
      <c r="BR56" s="25"/>
      <c r="BS56" s="25"/>
      <c r="BT56" s="25"/>
      <c r="BU56" s="25"/>
      <c r="BV56" s="25"/>
      <c r="BW56" s="25"/>
      <c r="BX56" s="25"/>
      <c r="BY56" s="25"/>
      <c r="BZ56" s="25"/>
      <c r="CA56" s="25"/>
      <c r="CB56" s="25"/>
      <c r="CC56" s="25"/>
      <c r="CD56" s="25"/>
      <c r="CE56" s="25"/>
      <c r="CF56" s="25"/>
      <c r="CG56" s="25"/>
      <c r="CH56" s="25"/>
      <c r="CI56" s="25"/>
      <c r="CJ56" s="25"/>
      <c r="CK56" s="25"/>
    </row>
    <row r="57" spans="1:89" ht="34" customHeight="1" x14ac:dyDescent="0.2">
      <c r="A57" s="40"/>
      <c r="B57" s="24"/>
      <c r="C57" s="20" t="str">
        <f>IF(TRIM($B57)="","",IFERROR(INDEX(People!$A$2:$A$199,MATCH(TRIM($B57),People!$B$2:$B$199,0)),IFERROR(INDEX(Teams!$A$2:$A$9,MATCH(TRIM($B57),Teams!$B$2:$B$9,0)),"?? CHECK NAME")))</f>
        <v/>
      </c>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25"/>
      <c r="BR57" s="25"/>
      <c r="BS57" s="25"/>
      <c r="BT57" s="25"/>
      <c r="BU57" s="25"/>
      <c r="BV57" s="25"/>
      <c r="BW57" s="25"/>
      <c r="BX57" s="25"/>
      <c r="BY57" s="25"/>
      <c r="BZ57" s="25"/>
      <c r="CA57" s="25"/>
      <c r="CB57" s="25"/>
      <c r="CC57" s="25"/>
      <c r="CD57" s="25"/>
      <c r="CE57" s="25"/>
      <c r="CF57" s="25"/>
      <c r="CG57" s="25"/>
      <c r="CH57" s="25"/>
      <c r="CI57" s="25"/>
      <c r="CJ57" s="25"/>
      <c r="CK57" s="25"/>
    </row>
    <row r="58" spans="1:89" ht="34" customHeight="1" x14ac:dyDescent="0.2">
      <c r="A58" s="41"/>
      <c r="B58" s="24"/>
      <c r="C58" s="20" t="str">
        <f>IF(TRIM($B58)="","",IFERROR(INDEX(People!$A$2:$A$199,MATCH(TRIM($B58),People!$B$2:$B$199,0)),IFERROR(INDEX(Teams!$A$2:$A$9,MATCH(TRIM($B58),Teams!$B$2:$B$9,0)),"?? CHECK NAME")))</f>
        <v/>
      </c>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25"/>
      <c r="BR58" s="25"/>
      <c r="BS58" s="25"/>
      <c r="BT58" s="25"/>
      <c r="BU58" s="25"/>
      <c r="BV58" s="25"/>
      <c r="BW58" s="25"/>
      <c r="BX58" s="25"/>
      <c r="BY58" s="25"/>
      <c r="BZ58" s="25"/>
      <c r="CA58" s="25"/>
      <c r="CB58" s="25"/>
      <c r="CC58" s="25"/>
      <c r="CD58" s="25"/>
      <c r="CE58" s="25"/>
      <c r="CF58" s="25"/>
      <c r="CG58" s="25"/>
      <c r="CH58" s="25"/>
      <c r="CI58" s="25"/>
      <c r="CJ58" s="25"/>
      <c r="CK58" s="25"/>
    </row>
    <row r="59" spans="1:89" ht="34" customHeight="1" x14ac:dyDescent="0.2">
      <c r="A59" s="39" t="s">
        <v>238</v>
      </c>
      <c r="B59" s="24"/>
      <c r="C59" s="20" t="str">
        <f>IF(TRIM($B59)="","",IFERROR(INDEX(People!$A$2:$A$199,MATCH(TRIM($B59),People!$B$2:$B$199,0)),IFERROR(INDEX(Teams!$A$2:$A$9,MATCH(TRIM($B59),Teams!$B$2:$B$9,0)),"?? CHECK NAME")))</f>
        <v/>
      </c>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25"/>
      <c r="BR59" s="25"/>
      <c r="BS59" s="25"/>
      <c r="BT59" s="25"/>
      <c r="BU59" s="25"/>
      <c r="BV59" s="25"/>
      <c r="BW59" s="25"/>
      <c r="BX59" s="25"/>
      <c r="BY59" s="25"/>
      <c r="BZ59" s="25"/>
      <c r="CA59" s="25"/>
      <c r="CB59" s="25"/>
      <c r="CC59" s="25"/>
      <c r="CD59" s="25"/>
      <c r="CE59" s="25"/>
      <c r="CF59" s="25"/>
      <c r="CG59" s="25"/>
      <c r="CH59" s="25"/>
      <c r="CI59" s="25"/>
      <c r="CJ59" s="25"/>
      <c r="CK59" s="25"/>
    </row>
    <row r="60" spans="1:89" ht="34" customHeight="1" x14ac:dyDescent="0.2">
      <c r="A60" s="40"/>
      <c r="B60" s="24"/>
      <c r="C60" s="20" t="str">
        <f>IF(TRIM($B60)="","",IFERROR(INDEX(People!$A$2:$A$199,MATCH(TRIM($B60),People!$B$2:$B$199,0)),IFERROR(INDEX(Teams!$A$2:$A$9,MATCH(TRIM($B60),Teams!$B$2:$B$9,0)),"?? CHECK NAME")))</f>
        <v/>
      </c>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c r="BL60" s="25"/>
      <c r="BM60" s="25"/>
      <c r="BN60" s="25"/>
      <c r="BO60" s="25"/>
      <c r="BP60" s="25"/>
      <c r="BQ60" s="25"/>
      <c r="BR60" s="25"/>
      <c r="BS60" s="25"/>
      <c r="BT60" s="25"/>
      <c r="BU60" s="25"/>
      <c r="BV60" s="25"/>
      <c r="BW60" s="25"/>
      <c r="BX60" s="25"/>
      <c r="BY60" s="25"/>
      <c r="BZ60" s="25"/>
      <c r="CA60" s="25"/>
      <c r="CB60" s="25"/>
      <c r="CC60" s="25"/>
      <c r="CD60" s="25"/>
      <c r="CE60" s="25"/>
      <c r="CF60" s="25"/>
      <c r="CG60" s="25"/>
      <c r="CH60" s="25"/>
      <c r="CI60" s="25"/>
      <c r="CJ60" s="25"/>
      <c r="CK60" s="25"/>
    </row>
    <row r="61" spans="1:89" ht="34" customHeight="1" x14ac:dyDescent="0.2">
      <c r="A61" s="40"/>
      <c r="B61" s="24"/>
      <c r="C61" s="20" t="str">
        <f>IF(TRIM($B61)="","",IFERROR(INDEX(People!$A$2:$A$199,MATCH(TRIM($B61),People!$B$2:$B$199,0)),IFERROR(INDEX(Teams!$A$2:$A$9,MATCH(TRIM($B61),Teams!$B$2:$B$9,0)),"?? CHECK NAME")))</f>
        <v/>
      </c>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c r="BJ61" s="25"/>
      <c r="BK61" s="25"/>
      <c r="BL61" s="25"/>
      <c r="BM61" s="25"/>
      <c r="BN61" s="25"/>
      <c r="BO61" s="25"/>
      <c r="BP61" s="25"/>
      <c r="BQ61" s="25"/>
      <c r="BR61" s="25"/>
      <c r="BS61" s="25"/>
      <c r="BT61" s="25"/>
      <c r="BU61" s="25"/>
      <c r="BV61" s="25"/>
      <c r="BW61" s="25"/>
      <c r="BX61" s="25"/>
      <c r="BY61" s="25"/>
      <c r="BZ61" s="25"/>
      <c r="CA61" s="25"/>
      <c r="CB61" s="25"/>
      <c r="CC61" s="25"/>
      <c r="CD61" s="25"/>
      <c r="CE61" s="25"/>
      <c r="CF61" s="25"/>
      <c r="CG61" s="25"/>
      <c r="CH61" s="25"/>
      <c r="CI61" s="25"/>
      <c r="CJ61" s="25"/>
      <c r="CK61" s="25"/>
    </row>
    <row r="62" spans="1:89" ht="34" customHeight="1" x14ac:dyDescent="0.2">
      <c r="A62" s="40"/>
      <c r="B62" s="24"/>
      <c r="C62" s="20" t="str">
        <f>IF(TRIM($B62)="","",IFERROR(INDEX(People!$A$2:$A$199,MATCH(TRIM($B62),People!$B$2:$B$199,0)),IFERROR(INDEX(Teams!$A$2:$A$9,MATCH(TRIM($B62),Teams!$B$2:$B$9,0)),"?? CHECK NAME")))</f>
        <v/>
      </c>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25"/>
      <c r="BR62" s="25"/>
      <c r="BS62" s="25"/>
      <c r="BT62" s="25"/>
      <c r="BU62" s="25"/>
      <c r="BV62" s="25"/>
      <c r="BW62" s="25"/>
      <c r="BX62" s="25"/>
      <c r="BY62" s="25"/>
      <c r="BZ62" s="25"/>
      <c r="CA62" s="25"/>
      <c r="CB62" s="25"/>
      <c r="CC62" s="25"/>
      <c r="CD62" s="25"/>
      <c r="CE62" s="25"/>
      <c r="CF62" s="25"/>
      <c r="CG62" s="25"/>
      <c r="CH62" s="25"/>
      <c r="CI62" s="25"/>
      <c r="CJ62" s="25"/>
      <c r="CK62" s="25"/>
    </row>
    <row r="63" spans="1:89" ht="34" customHeight="1" x14ac:dyDescent="0.2">
      <c r="A63" s="41"/>
      <c r="B63" s="24"/>
      <c r="C63" s="20" t="str">
        <f>IF(TRIM($B63)="","",IFERROR(INDEX(People!$A$2:$A$199,MATCH(TRIM($B63),People!$B$2:$B$199,0)),IFERROR(INDEX(Teams!$A$2:$A$9,MATCH(TRIM($B63),Teams!$B$2:$B$9,0)),"?? CHECK NAME")))</f>
        <v/>
      </c>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c r="BL63" s="25"/>
      <c r="BM63" s="25"/>
      <c r="BN63" s="25"/>
      <c r="BO63" s="25"/>
      <c r="BP63" s="25"/>
      <c r="BQ63" s="25"/>
      <c r="BR63" s="25"/>
      <c r="BS63" s="25"/>
      <c r="BT63" s="25"/>
      <c r="BU63" s="25"/>
      <c r="BV63" s="25"/>
      <c r="BW63" s="25"/>
      <c r="BX63" s="25"/>
      <c r="BY63" s="25"/>
      <c r="BZ63" s="25"/>
      <c r="CA63" s="25"/>
      <c r="CB63" s="25"/>
      <c r="CC63" s="25"/>
      <c r="CD63" s="25"/>
      <c r="CE63" s="25"/>
      <c r="CF63" s="25"/>
      <c r="CG63" s="25"/>
      <c r="CH63" s="25"/>
      <c r="CI63" s="25"/>
      <c r="CJ63" s="25"/>
      <c r="CK63" s="25"/>
    </row>
    <row r="64" spans="1:89" ht="34" customHeight="1" x14ac:dyDescent="0.2">
      <c r="A64" s="39" t="s">
        <v>239</v>
      </c>
      <c r="B64" s="24"/>
      <c r="C64" s="20" t="str">
        <f>IF(TRIM($B64)="","",IFERROR(INDEX(People!$A$2:$A$199,MATCH(TRIM($B64),People!$B$2:$B$199,0)),IFERROR(INDEX(Teams!$A$2:$A$9,MATCH(TRIM($B64),Teams!$B$2:$B$9,0)),"?? CHECK NAME")))</f>
        <v/>
      </c>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c r="BD64" s="25"/>
      <c r="BE64" s="25"/>
      <c r="BF64" s="25"/>
      <c r="BG64" s="25"/>
      <c r="BH64" s="25"/>
      <c r="BI64" s="25"/>
      <c r="BJ64" s="25"/>
      <c r="BK64" s="25"/>
      <c r="BL64" s="25"/>
      <c r="BM64" s="25"/>
      <c r="BN64" s="25"/>
      <c r="BO64" s="25"/>
      <c r="BP64" s="25"/>
      <c r="BQ64" s="25"/>
      <c r="BR64" s="25"/>
      <c r="BS64" s="25"/>
      <c r="BT64" s="25"/>
      <c r="BU64" s="25"/>
      <c r="BV64" s="25"/>
      <c r="BW64" s="25"/>
      <c r="BX64" s="25"/>
      <c r="BY64" s="25"/>
      <c r="BZ64" s="25"/>
      <c r="CA64" s="25"/>
      <c r="CB64" s="25"/>
      <c r="CC64" s="25"/>
      <c r="CD64" s="25"/>
      <c r="CE64" s="25"/>
      <c r="CF64" s="25"/>
      <c r="CG64" s="25"/>
      <c r="CH64" s="25"/>
      <c r="CI64" s="25"/>
      <c r="CJ64" s="25"/>
      <c r="CK64" s="25"/>
    </row>
    <row r="65" spans="1:89" ht="34" customHeight="1" x14ac:dyDescent="0.2">
      <c r="A65" s="40"/>
      <c r="B65" s="24"/>
      <c r="C65" s="20" t="str">
        <f>IF(TRIM($B65)="","",IFERROR(INDEX(People!$A$2:$A$199,MATCH(TRIM($B65),People!$B$2:$B$199,0)),IFERROR(INDEX(Teams!$A$2:$A$9,MATCH(TRIM($B65),Teams!$B$2:$B$9,0)),"?? CHECK NAME")))</f>
        <v/>
      </c>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5"/>
      <c r="BQ65" s="25"/>
      <c r="BR65" s="25"/>
      <c r="BS65" s="25"/>
      <c r="BT65" s="25"/>
      <c r="BU65" s="25"/>
      <c r="BV65" s="25"/>
      <c r="BW65" s="25"/>
      <c r="BX65" s="25"/>
      <c r="BY65" s="25"/>
      <c r="BZ65" s="25"/>
      <c r="CA65" s="25"/>
      <c r="CB65" s="25"/>
      <c r="CC65" s="25"/>
      <c r="CD65" s="25"/>
      <c r="CE65" s="25"/>
      <c r="CF65" s="25"/>
      <c r="CG65" s="25"/>
      <c r="CH65" s="25"/>
      <c r="CI65" s="25"/>
      <c r="CJ65" s="25"/>
      <c r="CK65" s="25"/>
    </row>
    <row r="66" spans="1:89" ht="34" customHeight="1" x14ac:dyDescent="0.2">
      <c r="A66" s="40"/>
      <c r="B66" s="24"/>
      <c r="C66" s="20" t="str">
        <f>IF(TRIM($B66)="","",IFERROR(INDEX(People!$A$2:$A$199,MATCH(TRIM($B66),People!$B$2:$B$199,0)),IFERROR(INDEX(Teams!$A$2:$A$9,MATCH(TRIM($B66),Teams!$B$2:$B$9,0)),"?? CHECK NAME")))</f>
        <v/>
      </c>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c r="BN66" s="25"/>
      <c r="BO66" s="25"/>
      <c r="BP66" s="25"/>
      <c r="BQ66" s="25"/>
      <c r="BR66" s="25"/>
      <c r="BS66" s="25"/>
      <c r="BT66" s="25"/>
      <c r="BU66" s="25"/>
      <c r="BV66" s="25"/>
      <c r="BW66" s="25"/>
      <c r="BX66" s="25"/>
      <c r="BY66" s="25"/>
      <c r="BZ66" s="25"/>
      <c r="CA66" s="25"/>
      <c r="CB66" s="25"/>
      <c r="CC66" s="25"/>
      <c r="CD66" s="25"/>
      <c r="CE66" s="25"/>
      <c r="CF66" s="25"/>
      <c r="CG66" s="25"/>
      <c r="CH66" s="25"/>
      <c r="CI66" s="25"/>
      <c r="CJ66" s="25"/>
      <c r="CK66" s="25"/>
    </row>
    <row r="67" spans="1:89" ht="34" customHeight="1" x14ac:dyDescent="0.2">
      <c r="A67" s="40"/>
      <c r="B67" s="24"/>
      <c r="C67" s="20" t="str">
        <f>IF(TRIM($B67)="","",IFERROR(INDEX(People!$A$2:$A$199,MATCH(TRIM($B67),People!$B$2:$B$199,0)),IFERROR(INDEX(Teams!$A$2:$A$9,MATCH(TRIM($B67),Teams!$B$2:$B$9,0)),"?? CHECK NAME")))</f>
        <v/>
      </c>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c r="BM67" s="25"/>
      <c r="BN67" s="25"/>
      <c r="BO67" s="25"/>
      <c r="BP67" s="25"/>
      <c r="BQ67" s="25"/>
      <c r="BR67" s="25"/>
      <c r="BS67" s="25"/>
      <c r="BT67" s="25"/>
      <c r="BU67" s="25"/>
      <c r="BV67" s="25"/>
      <c r="BW67" s="25"/>
      <c r="BX67" s="25"/>
      <c r="BY67" s="25"/>
      <c r="BZ67" s="25"/>
      <c r="CA67" s="25"/>
      <c r="CB67" s="25"/>
      <c r="CC67" s="25"/>
      <c r="CD67" s="25"/>
      <c r="CE67" s="25"/>
      <c r="CF67" s="25"/>
      <c r="CG67" s="25"/>
      <c r="CH67" s="25"/>
      <c r="CI67" s="25"/>
      <c r="CJ67" s="25"/>
      <c r="CK67" s="25"/>
    </row>
    <row r="68" spans="1:89" ht="34" customHeight="1" x14ac:dyDescent="0.2">
      <c r="A68" s="41"/>
      <c r="B68" s="24"/>
      <c r="C68" s="20" t="str">
        <f>IF(TRIM($B68)="","",IFERROR(INDEX(People!$A$2:$A$199,MATCH(TRIM($B68),People!$B$2:$B$199,0)),IFERROR(INDEX(Teams!$A$2:$A$9,MATCH(TRIM($B68),Teams!$B$2:$B$9,0)),"?? CHECK NAME")))</f>
        <v/>
      </c>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c r="BL68" s="25"/>
      <c r="BM68" s="25"/>
      <c r="BN68" s="25"/>
      <c r="BO68" s="25"/>
      <c r="BP68" s="25"/>
      <c r="BQ68" s="25"/>
      <c r="BR68" s="25"/>
      <c r="BS68" s="25"/>
      <c r="BT68" s="25"/>
      <c r="BU68" s="25"/>
      <c r="BV68" s="25"/>
      <c r="BW68" s="25"/>
      <c r="BX68" s="25"/>
      <c r="BY68" s="25"/>
      <c r="BZ68" s="25"/>
      <c r="CA68" s="25"/>
      <c r="CB68" s="25"/>
      <c r="CC68" s="25"/>
      <c r="CD68" s="25"/>
      <c r="CE68" s="25"/>
      <c r="CF68" s="25"/>
      <c r="CG68" s="25"/>
      <c r="CH68" s="25"/>
      <c r="CI68" s="25"/>
      <c r="CJ68" s="25"/>
      <c r="CK68" s="25"/>
    </row>
    <row r="69" spans="1:89" ht="18" customHeight="1" x14ac:dyDescent="0.2">
      <c r="A69" s="43" t="s">
        <v>251</v>
      </c>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5"/>
    </row>
    <row r="70" spans="1:89" ht="34" customHeight="1" x14ac:dyDescent="0.2">
      <c r="A70" s="10" t="str">
        <f>IFERROR(INDEX(Teams!$B$2:$B$9,MATCH($C70,Teams!$A$2:$A$9,0)),"(not drawn)")</f>
        <v>(not drawn)</v>
      </c>
      <c r="B70" s="11" t="s">
        <v>252</v>
      </c>
      <c r="C70" s="20" t="str">
        <f>IF(TRIM($B70)="","",IFERROR(INDEX(Teams!$A$2:$A$9,MATCH(IFERROR(VALUE(TRIM(SUBSTITUTE(UPPER(TRIM($B70)),"SHOW ORDER",""))),-1),Teams!$D$2:$D$9,0)),"(not drawn)"))</f>
        <v>(not drawn)</v>
      </c>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c r="BQ70" s="27"/>
      <c r="BR70" s="27"/>
      <c r="BS70" s="27"/>
      <c r="BT70" s="27"/>
      <c r="BU70" s="27"/>
      <c r="BV70" s="27"/>
      <c r="BW70" s="27"/>
      <c r="BX70" s="27"/>
      <c r="BY70" s="27"/>
      <c r="BZ70" s="27"/>
      <c r="CA70" s="27"/>
      <c r="CB70" s="27"/>
      <c r="CC70" s="27"/>
      <c r="CD70" s="27"/>
      <c r="CE70" s="27"/>
      <c r="CF70" s="27"/>
      <c r="CG70" s="27"/>
      <c r="CH70" s="27"/>
      <c r="CI70" s="27"/>
      <c r="CJ70" s="27"/>
      <c r="CK70" s="27"/>
    </row>
    <row r="71" spans="1:89" ht="34" customHeight="1" x14ac:dyDescent="0.2">
      <c r="A71" s="10" t="str">
        <f>IFERROR(INDEX(Teams!$B$2:$B$9,MATCH($C71,Teams!$A$2:$A$9,0)),"(not drawn)")</f>
        <v>(not drawn)</v>
      </c>
      <c r="B71" s="11" t="s">
        <v>253</v>
      </c>
      <c r="C71" s="20" t="str">
        <f>IF(TRIM($B71)="","",IFERROR(INDEX(Teams!$A$2:$A$9,MATCH(IFERROR(VALUE(TRIM(SUBSTITUTE(UPPER(TRIM($B71)),"SHOW ORDER",""))),-1),Teams!$D$2:$D$9,0)),"(not drawn)"))</f>
        <v>(not drawn)</v>
      </c>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c r="BQ71" s="27"/>
      <c r="BR71" s="27"/>
      <c r="BS71" s="27"/>
      <c r="BT71" s="27"/>
      <c r="BU71" s="27"/>
      <c r="BV71" s="27"/>
      <c r="BW71" s="27"/>
      <c r="BX71" s="27"/>
      <c r="BY71" s="27"/>
      <c r="BZ71" s="27"/>
      <c r="CA71" s="27"/>
      <c r="CB71" s="27"/>
      <c r="CC71" s="27"/>
      <c r="CD71" s="27"/>
      <c r="CE71" s="27"/>
      <c r="CF71" s="27"/>
      <c r="CG71" s="27"/>
      <c r="CH71" s="27"/>
      <c r="CI71" s="27"/>
      <c r="CJ71" s="27"/>
      <c r="CK71" s="27"/>
    </row>
    <row r="72" spans="1:89" ht="34" customHeight="1" x14ac:dyDescent="0.2">
      <c r="A72" s="10" t="str">
        <f>IFERROR(INDEX(Teams!$B$2:$B$9,MATCH($C72,Teams!$A$2:$A$9,0)),"(not drawn)")</f>
        <v>(not drawn)</v>
      </c>
      <c r="B72" s="11" t="s">
        <v>254</v>
      </c>
      <c r="C72" s="20" t="str">
        <f>IF(TRIM($B72)="","",IFERROR(INDEX(Teams!$A$2:$A$9,MATCH(IFERROR(VALUE(TRIM(SUBSTITUTE(UPPER(TRIM($B72)),"SHOW ORDER",""))),-1),Teams!$D$2:$D$9,0)),"(not drawn)"))</f>
        <v>(not drawn)</v>
      </c>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c r="BP72" s="27"/>
      <c r="BQ72" s="27"/>
      <c r="BR72" s="27"/>
      <c r="BS72" s="27"/>
      <c r="BT72" s="27"/>
      <c r="BU72" s="27"/>
      <c r="BV72" s="27"/>
      <c r="BW72" s="27"/>
      <c r="BX72" s="27"/>
      <c r="BY72" s="27"/>
      <c r="BZ72" s="27"/>
      <c r="CA72" s="27"/>
      <c r="CB72" s="27"/>
      <c r="CC72" s="27"/>
      <c r="CD72" s="27"/>
      <c r="CE72" s="27"/>
      <c r="CF72" s="27"/>
      <c r="CG72" s="27"/>
      <c r="CH72" s="27"/>
      <c r="CI72" s="27"/>
      <c r="CJ72" s="27"/>
      <c r="CK72" s="27"/>
    </row>
    <row r="73" spans="1:89" ht="34" customHeight="1" x14ac:dyDescent="0.2">
      <c r="A73" s="10" t="str">
        <f>IFERROR(INDEX(Teams!$B$2:$B$9,MATCH($C73,Teams!$A$2:$A$9,0)),"(not drawn)")</f>
        <v>(not drawn)</v>
      </c>
      <c r="B73" s="11" t="s">
        <v>255</v>
      </c>
      <c r="C73" s="20" t="str">
        <f>IF(TRIM($B73)="","",IFERROR(INDEX(Teams!$A$2:$A$9,MATCH(IFERROR(VALUE(TRIM(SUBSTITUTE(UPPER(TRIM($B73)),"SHOW ORDER",""))),-1),Teams!$D$2:$D$9,0)),"(not drawn)"))</f>
        <v>(not drawn)</v>
      </c>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c r="BO73" s="27"/>
      <c r="BP73" s="27"/>
      <c r="BQ73" s="27"/>
      <c r="BR73" s="27"/>
      <c r="BS73" s="27"/>
      <c r="BT73" s="27"/>
      <c r="BU73" s="27"/>
      <c r="BV73" s="27"/>
      <c r="BW73" s="27"/>
      <c r="BX73" s="27"/>
      <c r="BY73" s="27"/>
      <c r="BZ73" s="27"/>
      <c r="CA73" s="27"/>
      <c r="CB73" s="27"/>
      <c r="CC73" s="27"/>
      <c r="CD73" s="27"/>
      <c r="CE73" s="27"/>
      <c r="CF73" s="27"/>
      <c r="CG73" s="27"/>
      <c r="CH73" s="27"/>
      <c r="CI73" s="27"/>
      <c r="CJ73" s="27"/>
      <c r="CK73" s="27"/>
    </row>
    <row r="74" spans="1:89" ht="34" customHeight="1" x14ac:dyDescent="0.2">
      <c r="A74" s="10" t="str">
        <f>IFERROR(INDEX(Teams!$B$2:$B$9,MATCH($C74,Teams!$A$2:$A$9,0)),"(not drawn)")</f>
        <v>(not drawn)</v>
      </c>
      <c r="B74" s="11" t="s">
        <v>256</v>
      </c>
      <c r="C74" s="20" t="str">
        <f>IF(TRIM($B74)="","",IFERROR(INDEX(Teams!$A$2:$A$9,MATCH(IFERROR(VALUE(TRIM(SUBSTITUTE(UPPER(TRIM($B74)),"SHOW ORDER",""))),-1),Teams!$D$2:$D$9,0)),"(not drawn)"))</f>
        <v>(not drawn)</v>
      </c>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c r="BQ74" s="27"/>
      <c r="BR74" s="27"/>
      <c r="BS74" s="27"/>
      <c r="BT74" s="27"/>
      <c r="BU74" s="27"/>
      <c r="BV74" s="27"/>
      <c r="BW74" s="27"/>
      <c r="BX74" s="27"/>
      <c r="BY74" s="27"/>
      <c r="BZ74" s="27"/>
      <c r="CA74" s="27"/>
      <c r="CB74" s="27"/>
      <c r="CC74" s="27"/>
      <c r="CD74" s="27"/>
      <c r="CE74" s="27"/>
      <c r="CF74" s="27"/>
      <c r="CG74" s="27"/>
      <c r="CH74" s="27"/>
      <c r="CI74" s="27"/>
      <c r="CJ74" s="27"/>
      <c r="CK74" s="27"/>
    </row>
    <row r="75" spans="1:89" ht="34" customHeight="1" x14ac:dyDescent="0.2">
      <c r="A75" s="10" t="str">
        <f>IFERROR(INDEX(Teams!$B$2:$B$9,MATCH($C75,Teams!$A$2:$A$9,0)),"(not drawn)")</f>
        <v>(not drawn)</v>
      </c>
      <c r="B75" s="11" t="s">
        <v>257</v>
      </c>
      <c r="C75" s="20" t="str">
        <f>IF(TRIM($B75)="","",IFERROR(INDEX(Teams!$A$2:$A$9,MATCH(IFERROR(VALUE(TRIM(SUBSTITUTE(UPPER(TRIM($B75)),"SHOW ORDER",""))),-1),Teams!$D$2:$D$9,0)),"(not drawn)"))</f>
        <v>(not drawn)</v>
      </c>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c r="BO75" s="27"/>
      <c r="BP75" s="27"/>
      <c r="BQ75" s="27"/>
      <c r="BR75" s="27"/>
      <c r="BS75" s="27"/>
      <c r="BT75" s="27"/>
      <c r="BU75" s="27"/>
      <c r="BV75" s="27"/>
      <c r="BW75" s="27"/>
      <c r="BX75" s="27"/>
      <c r="BY75" s="27"/>
      <c r="BZ75" s="27"/>
      <c r="CA75" s="27"/>
      <c r="CB75" s="27"/>
      <c r="CC75" s="27"/>
      <c r="CD75" s="27"/>
      <c r="CE75" s="27"/>
      <c r="CF75" s="27"/>
      <c r="CG75" s="27"/>
      <c r="CH75" s="27"/>
      <c r="CI75" s="27"/>
      <c r="CJ75" s="27"/>
      <c r="CK75" s="27"/>
    </row>
    <row r="76" spans="1:89" ht="34" customHeight="1" x14ac:dyDescent="0.2">
      <c r="A76" s="10" t="str">
        <f>IFERROR(INDEX(Teams!$B$2:$B$9,MATCH($C76,Teams!$A$2:$A$9,0)),"(not drawn)")</f>
        <v>(not drawn)</v>
      </c>
      <c r="B76" s="11" t="s">
        <v>258</v>
      </c>
      <c r="C76" s="20" t="str">
        <f>IF(TRIM($B76)="","",IFERROR(INDEX(Teams!$A$2:$A$9,MATCH(IFERROR(VALUE(TRIM(SUBSTITUTE(UPPER(TRIM($B76)),"SHOW ORDER",""))),-1),Teams!$D$2:$D$9,0)),"(not drawn)"))</f>
        <v>(not drawn)</v>
      </c>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c r="BO76" s="27"/>
      <c r="BP76" s="27"/>
      <c r="BQ76" s="27"/>
      <c r="BR76" s="27"/>
      <c r="BS76" s="27"/>
      <c r="BT76" s="27"/>
      <c r="BU76" s="27"/>
      <c r="BV76" s="27"/>
      <c r="BW76" s="27"/>
      <c r="BX76" s="27"/>
      <c r="BY76" s="27"/>
      <c r="BZ76" s="27"/>
      <c r="CA76" s="27"/>
      <c r="CB76" s="27"/>
      <c r="CC76" s="27"/>
      <c r="CD76" s="27"/>
      <c r="CE76" s="27"/>
      <c r="CF76" s="27"/>
      <c r="CG76" s="27"/>
      <c r="CH76" s="27"/>
      <c r="CI76" s="27"/>
      <c r="CJ76" s="27"/>
      <c r="CK76" s="27"/>
    </row>
    <row r="77" spans="1:89" ht="34" customHeight="1" x14ac:dyDescent="0.2">
      <c r="A77" s="10" t="str">
        <f>IFERROR(INDEX(Teams!$B$2:$B$9,MATCH($C77,Teams!$A$2:$A$9,0)),"(not drawn)")</f>
        <v>(not drawn)</v>
      </c>
      <c r="B77" s="11" t="s">
        <v>259</v>
      </c>
      <c r="C77" s="20" t="str">
        <f>IF(TRIM($B77)="","",IFERROR(INDEX(Teams!$A$2:$A$9,MATCH(IFERROR(VALUE(TRIM(SUBSTITUTE(UPPER(TRIM($B77)),"SHOW ORDER",""))),-1),Teams!$D$2:$D$9,0)),"(not drawn)"))</f>
        <v>(not drawn)</v>
      </c>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c r="BO77" s="27"/>
      <c r="BP77" s="27"/>
      <c r="BQ77" s="27"/>
      <c r="BR77" s="27"/>
      <c r="BS77" s="27"/>
      <c r="BT77" s="27"/>
      <c r="BU77" s="27"/>
      <c r="BV77" s="27"/>
      <c r="BW77" s="27"/>
      <c r="BX77" s="27"/>
      <c r="BY77" s="27"/>
      <c r="BZ77" s="27"/>
      <c r="CA77" s="27"/>
      <c r="CB77" s="27"/>
      <c r="CC77" s="27"/>
      <c r="CD77" s="27"/>
      <c r="CE77" s="27"/>
      <c r="CF77" s="27"/>
      <c r="CG77" s="27"/>
      <c r="CH77" s="27"/>
      <c r="CI77" s="27"/>
      <c r="CJ77" s="27"/>
      <c r="CK77" s="27"/>
    </row>
    <row r="78" spans="1:89" ht="18" customHeight="1" x14ac:dyDescent="0.2">
      <c r="A78" s="43" t="s">
        <v>241</v>
      </c>
      <c r="B78" s="44"/>
      <c r="C78" s="44"/>
      <c r="D78" s="44"/>
      <c r="E78" s="44"/>
      <c r="F78" s="44"/>
      <c r="G78" s="44"/>
      <c r="H78" s="44"/>
      <c r="I78" s="44"/>
      <c r="J78" s="44"/>
      <c r="K78" s="44"/>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5"/>
    </row>
    <row r="79" spans="1:89" ht="34" customHeight="1" x14ac:dyDescent="0.2">
      <c r="A79" s="10" t="s">
        <v>242</v>
      </c>
      <c r="B79" s="11" t="s">
        <v>243</v>
      </c>
      <c r="C79" s="20" t="s">
        <v>244</v>
      </c>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c r="AV79" s="27"/>
      <c r="AW79" s="27"/>
      <c r="AX79" s="27"/>
      <c r="AY79" s="27"/>
      <c r="AZ79" s="27"/>
      <c r="BA79" s="27"/>
      <c r="BB79" s="27"/>
      <c r="BC79" s="27"/>
      <c r="BD79" s="27"/>
      <c r="BE79" s="27"/>
      <c r="BF79" s="27"/>
      <c r="BG79" s="27"/>
      <c r="BH79" s="27"/>
      <c r="BI79" s="27"/>
      <c r="BJ79" s="27"/>
      <c r="BK79" s="27"/>
      <c r="BL79" s="27"/>
      <c r="BM79" s="27"/>
      <c r="BN79" s="27"/>
      <c r="BO79" s="27"/>
      <c r="BP79" s="27"/>
      <c r="BQ79" s="27"/>
      <c r="BR79" s="27"/>
      <c r="BS79" s="27"/>
      <c r="BT79" s="27"/>
      <c r="BU79" s="27"/>
      <c r="BV79" s="27"/>
      <c r="BW79" s="27"/>
      <c r="BX79" s="27"/>
      <c r="BY79" s="27"/>
      <c r="BZ79" s="27"/>
      <c r="CA79" s="27"/>
      <c r="CB79" s="27"/>
      <c r="CC79" s="27"/>
      <c r="CD79" s="27"/>
      <c r="CE79" s="27"/>
      <c r="CF79" s="27"/>
      <c r="CG79" s="27"/>
      <c r="CH79" s="27"/>
      <c r="CI79" s="27"/>
      <c r="CJ79" s="27"/>
      <c r="CK79" s="27"/>
    </row>
    <row r="80" spans="1:89" ht="34" customHeight="1" x14ac:dyDescent="0.2">
      <c r="A80" s="10" t="s">
        <v>245</v>
      </c>
      <c r="B80" s="11" t="s">
        <v>246</v>
      </c>
      <c r="C80" s="20" t="s">
        <v>247</v>
      </c>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7"/>
      <c r="BO80" s="27"/>
      <c r="BP80" s="27"/>
      <c r="BQ80" s="27"/>
      <c r="BR80" s="27"/>
      <c r="BS80" s="27"/>
      <c r="BT80" s="27"/>
      <c r="BU80" s="27"/>
      <c r="BV80" s="27"/>
      <c r="BW80" s="27"/>
      <c r="BX80" s="27"/>
      <c r="BY80" s="27"/>
      <c r="BZ80" s="27"/>
      <c r="CA80" s="27"/>
      <c r="CB80" s="27"/>
      <c r="CC80" s="27"/>
      <c r="CD80" s="27"/>
      <c r="CE80" s="27"/>
      <c r="CF80" s="27"/>
      <c r="CG80" s="27"/>
      <c r="CH80" s="27"/>
      <c r="CI80" s="27"/>
      <c r="CJ80" s="27"/>
      <c r="CK80" s="27"/>
    </row>
    <row r="81" spans="1:89" ht="34" customHeight="1" x14ac:dyDescent="0.2">
      <c r="A81" s="39" t="s">
        <v>248</v>
      </c>
      <c r="B81" s="24"/>
      <c r="C81" s="20" t="str">
        <f>IF(TRIM($B81)="","",IFERROR(INDEX(People!$A$2:$A$199,MATCH(TRIM($B81),People!$B$2:$B$199,0)),IFERROR(INDEX(Teams!$A$2:$A$9,MATCH(TRIM($B81),Teams!$B$2:$B$9,0)),"?? CHECK NAME")))</f>
        <v/>
      </c>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c r="BN81" s="25"/>
      <c r="BO81" s="25"/>
      <c r="BP81" s="25"/>
      <c r="BQ81" s="25"/>
      <c r="BR81" s="25"/>
      <c r="BS81" s="25"/>
      <c r="BT81" s="25"/>
      <c r="BU81" s="25"/>
      <c r="BV81" s="25"/>
      <c r="BW81" s="25"/>
      <c r="BX81" s="25"/>
      <c r="BY81" s="25"/>
      <c r="BZ81" s="25"/>
      <c r="CA81" s="25"/>
      <c r="CB81" s="25"/>
      <c r="CC81" s="25"/>
      <c r="CD81" s="25"/>
      <c r="CE81" s="25"/>
      <c r="CF81" s="25"/>
      <c r="CG81" s="25"/>
      <c r="CH81" s="25"/>
      <c r="CI81" s="25"/>
      <c r="CJ81" s="25"/>
      <c r="CK81" s="25"/>
    </row>
    <row r="82" spans="1:89" ht="34" customHeight="1" x14ac:dyDescent="0.2">
      <c r="A82" s="40"/>
      <c r="B82" s="24"/>
      <c r="C82" s="20" t="str">
        <f>IF(TRIM($B82)="","",IFERROR(INDEX(People!$A$2:$A$199,MATCH(TRIM($B82),People!$B$2:$B$199,0)),IFERROR(INDEX(Teams!$A$2:$A$9,MATCH(TRIM($B82),Teams!$B$2:$B$9,0)),"?? CHECK NAME")))</f>
        <v/>
      </c>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c r="BN82" s="25"/>
      <c r="BO82" s="25"/>
      <c r="BP82" s="25"/>
      <c r="BQ82" s="25"/>
      <c r="BR82" s="25"/>
      <c r="BS82" s="25"/>
      <c r="BT82" s="25"/>
      <c r="BU82" s="25"/>
      <c r="BV82" s="25"/>
      <c r="BW82" s="25"/>
      <c r="BX82" s="25"/>
      <c r="BY82" s="25"/>
      <c r="BZ82" s="25"/>
      <c r="CA82" s="25"/>
      <c r="CB82" s="25"/>
      <c r="CC82" s="25"/>
      <c r="CD82" s="25"/>
      <c r="CE82" s="25"/>
      <c r="CF82" s="25"/>
      <c r="CG82" s="25"/>
      <c r="CH82" s="25"/>
      <c r="CI82" s="25"/>
      <c r="CJ82" s="25"/>
      <c r="CK82" s="25"/>
    </row>
    <row r="83" spans="1:89" ht="34" customHeight="1" x14ac:dyDescent="0.2">
      <c r="A83" s="40"/>
      <c r="B83" s="24"/>
      <c r="C83" s="20" t="str">
        <f>IF(TRIM($B83)="","",IFERROR(INDEX(People!$A$2:$A$199,MATCH(TRIM($B83),People!$B$2:$B$199,0)),IFERROR(INDEX(Teams!$A$2:$A$9,MATCH(TRIM($B83),Teams!$B$2:$B$9,0)),"?? CHECK NAME")))</f>
        <v/>
      </c>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c r="BL83" s="25"/>
      <c r="BM83" s="25"/>
      <c r="BN83" s="25"/>
      <c r="BO83" s="25"/>
      <c r="BP83" s="25"/>
      <c r="BQ83" s="25"/>
      <c r="BR83" s="25"/>
      <c r="BS83" s="25"/>
      <c r="BT83" s="25"/>
      <c r="BU83" s="25"/>
      <c r="BV83" s="25"/>
      <c r="BW83" s="25"/>
      <c r="BX83" s="25"/>
      <c r="BY83" s="25"/>
      <c r="BZ83" s="25"/>
      <c r="CA83" s="25"/>
      <c r="CB83" s="25"/>
      <c r="CC83" s="25"/>
      <c r="CD83" s="25"/>
      <c r="CE83" s="25"/>
      <c r="CF83" s="25"/>
      <c r="CG83" s="25"/>
      <c r="CH83" s="25"/>
      <c r="CI83" s="25"/>
      <c r="CJ83" s="25"/>
      <c r="CK83" s="25"/>
    </row>
    <row r="84" spans="1:89" ht="34" customHeight="1" x14ac:dyDescent="0.2">
      <c r="A84" s="40"/>
      <c r="B84" s="24"/>
      <c r="C84" s="20" t="str">
        <f>IF(TRIM($B84)="","",IFERROR(INDEX(People!$A$2:$A$199,MATCH(TRIM($B84),People!$B$2:$B$199,0)),IFERROR(INDEX(Teams!$A$2:$A$9,MATCH(TRIM($B84),Teams!$B$2:$B$9,0)),"?? CHECK NAME")))</f>
        <v/>
      </c>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c r="BL84" s="25"/>
      <c r="BM84" s="25"/>
      <c r="BN84" s="25"/>
      <c r="BO84" s="25"/>
      <c r="BP84" s="25"/>
      <c r="BQ84" s="25"/>
      <c r="BR84" s="25"/>
      <c r="BS84" s="25"/>
      <c r="BT84" s="25"/>
      <c r="BU84" s="25"/>
      <c r="BV84" s="25"/>
      <c r="BW84" s="25"/>
      <c r="BX84" s="25"/>
      <c r="BY84" s="25"/>
      <c r="BZ84" s="25"/>
      <c r="CA84" s="25"/>
      <c r="CB84" s="25"/>
      <c r="CC84" s="25"/>
      <c r="CD84" s="25"/>
      <c r="CE84" s="25"/>
      <c r="CF84" s="25"/>
      <c r="CG84" s="25"/>
      <c r="CH84" s="25"/>
      <c r="CI84" s="25"/>
      <c r="CJ84" s="25"/>
      <c r="CK84" s="25"/>
    </row>
    <row r="85" spans="1:89" ht="34" customHeight="1" x14ac:dyDescent="0.2">
      <c r="A85" s="41"/>
      <c r="B85" s="24"/>
      <c r="C85" s="20" t="str">
        <f>IF(TRIM($B85)="","",IFERROR(INDEX(People!$A$2:$A$199,MATCH(TRIM($B85),People!$B$2:$B$199,0)),IFERROR(INDEX(Teams!$A$2:$A$9,MATCH(TRIM($B85),Teams!$B$2:$B$9,0)),"?? CHECK NAME")))</f>
        <v/>
      </c>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c r="BK85" s="25"/>
      <c r="BL85" s="25"/>
      <c r="BM85" s="25"/>
      <c r="BN85" s="25"/>
      <c r="BO85" s="25"/>
      <c r="BP85" s="25"/>
      <c r="BQ85" s="25"/>
      <c r="BR85" s="25"/>
      <c r="BS85" s="25"/>
      <c r="BT85" s="25"/>
      <c r="BU85" s="25"/>
      <c r="BV85" s="25"/>
      <c r="BW85" s="25"/>
      <c r="BX85" s="25"/>
      <c r="BY85" s="25"/>
      <c r="BZ85" s="25"/>
      <c r="CA85" s="25"/>
      <c r="CB85" s="25"/>
      <c r="CC85" s="25"/>
      <c r="CD85" s="25"/>
      <c r="CE85" s="25"/>
      <c r="CF85" s="25"/>
      <c r="CG85" s="25"/>
      <c r="CH85" s="25"/>
      <c r="CI85" s="25"/>
      <c r="CJ85" s="25"/>
      <c r="CK85" s="25"/>
    </row>
    <row r="86" spans="1:89" ht="18" customHeight="1" x14ac:dyDescent="0.2">
      <c r="A86" s="43" t="s">
        <v>260</v>
      </c>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5"/>
    </row>
    <row r="87" spans="1:89" ht="34" customHeight="1" x14ac:dyDescent="0.2">
      <c r="A87" s="42" t="str">
        <f>IFERROR("Show Order "&amp;1&amp;"  —  "&amp;INDEX(Teams!$B$2:$B$9,MATCH(1,Teams!$D$2:$D$9,0)),"Show Order "&amp;1&amp;"  —  (not drawn)")</f>
        <v>Show Order 1  —  (not drawn)</v>
      </c>
      <c r="B87" s="28" t="str">
        <f>IFERROR(INDEX(People!$B$2:$B$199,MATCH(INDEX(Teams!$B$2:$B$9,MATCH(1,Teams!$D$2:$D$9,0))&amp;"#"&amp;1,People!$H$2:$H$199,0)),"")</f>
        <v/>
      </c>
      <c r="C87" s="20" t="str">
        <f>IF(TRIM($B87)="","",IFERROR(INDEX(People!$A$2:$A$199,MATCH(TRIM($B87),People!$B$2:$B$199,0)),"?? CHECK NAME"))</f>
        <v/>
      </c>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c r="BN87" s="25"/>
      <c r="BO87" s="25"/>
      <c r="BP87" s="25"/>
      <c r="BQ87" s="25"/>
      <c r="BR87" s="25"/>
      <c r="BS87" s="25"/>
      <c r="BT87" s="25"/>
      <c r="BU87" s="25"/>
      <c r="BV87" s="25"/>
      <c r="BW87" s="25"/>
      <c r="BX87" s="25"/>
      <c r="BY87" s="25"/>
      <c r="BZ87" s="25"/>
      <c r="CA87" s="25"/>
      <c r="CB87" s="25"/>
      <c r="CC87" s="25"/>
      <c r="CD87" s="25"/>
      <c r="CE87" s="25"/>
      <c r="CF87" s="25"/>
      <c r="CG87" s="25"/>
      <c r="CH87" s="25"/>
      <c r="CI87" s="25"/>
      <c r="CJ87" s="25"/>
      <c r="CK87" s="25"/>
    </row>
    <row r="88" spans="1:89" ht="34" customHeight="1" x14ac:dyDescent="0.2">
      <c r="A88" s="40"/>
      <c r="B88" s="28" t="str">
        <f>IFERROR(INDEX(People!$B$2:$B$199,MATCH(INDEX(Teams!$B$2:$B$9,MATCH(1,Teams!$D$2:$D$9,0))&amp;"#"&amp;2,People!$H$2:$H$199,0)),"")</f>
        <v/>
      </c>
      <c r="C88" s="20" t="str">
        <f>IF(TRIM($B88)="","",IFERROR(INDEX(People!$A$2:$A$199,MATCH(TRIM($B88),People!$B$2:$B$199,0)),"?? CHECK NAME"))</f>
        <v/>
      </c>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c r="BN88" s="25"/>
      <c r="BO88" s="25"/>
      <c r="BP88" s="25"/>
      <c r="BQ88" s="25"/>
      <c r="BR88" s="25"/>
      <c r="BS88" s="25"/>
      <c r="BT88" s="25"/>
      <c r="BU88" s="25"/>
      <c r="BV88" s="25"/>
      <c r="BW88" s="25"/>
      <c r="BX88" s="25"/>
      <c r="BY88" s="25"/>
      <c r="BZ88" s="25"/>
      <c r="CA88" s="25"/>
      <c r="CB88" s="25"/>
      <c r="CC88" s="25"/>
      <c r="CD88" s="25"/>
      <c r="CE88" s="25"/>
      <c r="CF88" s="25"/>
      <c r="CG88" s="25"/>
      <c r="CH88" s="25"/>
      <c r="CI88" s="25"/>
      <c r="CJ88" s="25"/>
      <c r="CK88" s="25"/>
    </row>
    <row r="89" spans="1:89" ht="34" customHeight="1" x14ac:dyDescent="0.2">
      <c r="A89" s="40"/>
      <c r="B89" s="28" t="str">
        <f>IFERROR(INDEX(People!$B$2:$B$199,MATCH(INDEX(Teams!$B$2:$B$9,MATCH(1,Teams!$D$2:$D$9,0))&amp;"#"&amp;3,People!$H$2:$H$199,0)),"")</f>
        <v/>
      </c>
      <c r="C89" s="20" t="str">
        <f>IF(TRIM($B89)="","",IFERROR(INDEX(People!$A$2:$A$199,MATCH(TRIM($B89),People!$B$2:$B$199,0)),"?? CHECK NAME"))</f>
        <v/>
      </c>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c r="BL89" s="25"/>
      <c r="BM89" s="25"/>
      <c r="BN89" s="25"/>
      <c r="BO89" s="25"/>
      <c r="BP89" s="25"/>
      <c r="BQ89" s="25"/>
      <c r="BR89" s="25"/>
      <c r="BS89" s="25"/>
      <c r="BT89" s="25"/>
      <c r="BU89" s="25"/>
      <c r="BV89" s="25"/>
      <c r="BW89" s="25"/>
      <c r="BX89" s="25"/>
      <c r="BY89" s="25"/>
      <c r="BZ89" s="25"/>
      <c r="CA89" s="25"/>
      <c r="CB89" s="25"/>
      <c r="CC89" s="25"/>
      <c r="CD89" s="25"/>
      <c r="CE89" s="25"/>
      <c r="CF89" s="25"/>
      <c r="CG89" s="25"/>
      <c r="CH89" s="25"/>
      <c r="CI89" s="25"/>
      <c r="CJ89" s="25"/>
      <c r="CK89" s="25"/>
    </row>
    <row r="90" spans="1:89" ht="34" customHeight="1" x14ac:dyDescent="0.2">
      <c r="A90" s="40"/>
      <c r="B90" s="28" t="str">
        <f>IFERROR(INDEX(People!$B$2:$B$199,MATCH(INDEX(Teams!$B$2:$B$9,MATCH(1,Teams!$D$2:$D$9,0))&amp;"#"&amp;4,People!$H$2:$H$199,0)),"")</f>
        <v/>
      </c>
      <c r="C90" s="20" t="str">
        <f>IF(TRIM($B90)="","",IFERROR(INDEX(People!$A$2:$A$199,MATCH(TRIM($B90),People!$B$2:$B$199,0)),"?? CHECK NAME"))</f>
        <v/>
      </c>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5"/>
      <c r="BK90" s="25"/>
      <c r="BL90" s="25"/>
      <c r="BM90" s="25"/>
      <c r="BN90" s="25"/>
      <c r="BO90" s="25"/>
      <c r="BP90" s="25"/>
      <c r="BQ90" s="25"/>
      <c r="BR90" s="25"/>
      <c r="BS90" s="25"/>
      <c r="BT90" s="25"/>
      <c r="BU90" s="25"/>
      <c r="BV90" s="25"/>
      <c r="BW90" s="25"/>
      <c r="BX90" s="25"/>
      <c r="BY90" s="25"/>
      <c r="BZ90" s="25"/>
      <c r="CA90" s="25"/>
      <c r="CB90" s="25"/>
      <c r="CC90" s="25"/>
      <c r="CD90" s="25"/>
      <c r="CE90" s="25"/>
      <c r="CF90" s="25"/>
      <c r="CG90" s="25"/>
      <c r="CH90" s="25"/>
      <c r="CI90" s="25"/>
      <c r="CJ90" s="25"/>
      <c r="CK90" s="25"/>
    </row>
    <row r="91" spans="1:89" ht="34" customHeight="1" x14ac:dyDescent="0.2">
      <c r="A91" s="41"/>
      <c r="B91" s="28" t="str">
        <f>IFERROR(INDEX(People!$B$2:$B$199,MATCH(INDEX(Teams!$B$2:$B$9,MATCH(1,Teams!$D$2:$D$9,0))&amp;"#"&amp;5,People!$H$2:$H$199,0)),"")</f>
        <v/>
      </c>
      <c r="C91" s="20" t="str">
        <f>IF(TRIM($B91)="","",IFERROR(INDEX(People!$A$2:$A$199,MATCH(TRIM($B91),People!$B$2:$B$199,0)),"?? CHECK NAME"))</f>
        <v/>
      </c>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5"/>
      <c r="BP91" s="25"/>
      <c r="BQ91" s="25"/>
      <c r="BR91" s="25"/>
      <c r="BS91" s="25"/>
      <c r="BT91" s="25"/>
      <c r="BU91" s="25"/>
      <c r="BV91" s="25"/>
      <c r="BW91" s="25"/>
      <c r="BX91" s="25"/>
      <c r="BY91" s="25"/>
      <c r="BZ91" s="25"/>
      <c r="CA91" s="25"/>
      <c r="CB91" s="25"/>
      <c r="CC91" s="25"/>
      <c r="CD91" s="25"/>
      <c r="CE91" s="25"/>
      <c r="CF91" s="25"/>
      <c r="CG91" s="25"/>
      <c r="CH91" s="25"/>
      <c r="CI91" s="25"/>
      <c r="CJ91" s="25"/>
      <c r="CK91" s="25"/>
    </row>
    <row r="92" spans="1:89" ht="34" customHeight="1" x14ac:dyDescent="0.2">
      <c r="A92" s="42" t="str">
        <f>IFERROR("Show Order "&amp;2&amp;"  —  "&amp;INDEX(Teams!$B$2:$B$9,MATCH(2,Teams!$D$2:$D$9,0)),"Show Order "&amp;2&amp;"  —  (not drawn)")</f>
        <v>Show Order 2  —  (not drawn)</v>
      </c>
      <c r="B92" s="28" t="str">
        <f>IFERROR(INDEX(People!$B$2:$B$199,MATCH(INDEX(Teams!$B$2:$B$9,MATCH(2,Teams!$D$2:$D$9,0))&amp;"#"&amp;1,People!$H$2:$H$199,0)),"")</f>
        <v/>
      </c>
      <c r="C92" s="20" t="str">
        <f>IF(TRIM($B92)="","",IFERROR(INDEX(People!$A$2:$A$199,MATCH(TRIM($B92),People!$B$2:$B$199,0)),"?? CHECK NAME"))</f>
        <v/>
      </c>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c r="BN92" s="25"/>
      <c r="BO92" s="25"/>
      <c r="BP92" s="25"/>
      <c r="BQ92" s="25"/>
      <c r="BR92" s="25"/>
      <c r="BS92" s="25"/>
      <c r="BT92" s="25"/>
      <c r="BU92" s="25"/>
      <c r="BV92" s="25"/>
      <c r="BW92" s="25"/>
      <c r="BX92" s="25"/>
      <c r="BY92" s="25"/>
      <c r="BZ92" s="25"/>
      <c r="CA92" s="25"/>
      <c r="CB92" s="25"/>
      <c r="CC92" s="25"/>
      <c r="CD92" s="25"/>
      <c r="CE92" s="25"/>
      <c r="CF92" s="25"/>
      <c r="CG92" s="25"/>
      <c r="CH92" s="25"/>
      <c r="CI92" s="25"/>
      <c r="CJ92" s="25"/>
      <c r="CK92" s="25"/>
    </row>
    <row r="93" spans="1:89" ht="34" customHeight="1" x14ac:dyDescent="0.2">
      <c r="A93" s="40"/>
      <c r="B93" s="28" t="str">
        <f>IFERROR(INDEX(People!$B$2:$B$199,MATCH(INDEX(Teams!$B$2:$B$9,MATCH(2,Teams!$D$2:$D$9,0))&amp;"#"&amp;2,People!$H$2:$H$199,0)),"")</f>
        <v/>
      </c>
      <c r="C93" s="20" t="str">
        <f>IF(TRIM($B93)="","",IFERROR(INDEX(People!$A$2:$A$199,MATCH(TRIM($B93),People!$B$2:$B$199,0)),"?? CHECK NAME"))</f>
        <v/>
      </c>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c r="BK93" s="25"/>
      <c r="BL93" s="25"/>
      <c r="BM93" s="25"/>
      <c r="BN93" s="25"/>
      <c r="BO93" s="25"/>
      <c r="BP93" s="25"/>
      <c r="BQ93" s="25"/>
      <c r="BR93" s="25"/>
      <c r="BS93" s="25"/>
      <c r="BT93" s="25"/>
      <c r="BU93" s="25"/>
      <c r="BV93" s="25"/>
      <c r="BW93" s="25"/>
      <c r="BX93" s="25"/>
      <c r="BY93" s="25"/>
      <c r="BZ93" s="25"/>
      <c r="CA93" s="25"/>
      <c r="CB93" s="25"/>
      <c r="CC93" s="25"/>
      <c r="CD93" s="25"/>
      <c r="CE93" s="25"/>
      <c r="CF93" s="25"/>
      <c r="CG93" s="25"/>
      <c r="CH93" s="25"/>
      <c r="CI93" s="25"/>
      <c r="CJ93" s="25"/>
      <c r="CK93" s="25"/>
    </row>
    <row r="94" spans="1:89" ht="34" customHeight="1" x14ac:dyDescent="0.2">
      <c r="A94" s="40"/>
      <c r="B94" s="28" t="str">
        <f>IFERROR(INDEX(People!$B$2:$B$199,MATCH(INDEX(Teams!$B$2:$B$9,MATCH(2,Teams!$D$2:$D$9,0))&amp;"#"&amp;3,People!$H$2:$H$199,0)),"")</f>
        <v/>
      </c>
      <c r="C94" s="20" t="str">
        <f>IF(TRIM($B94)="","",IFERROR(INDEX(People!$A$2:$A$199,MATCH(TRIM($B94),People!$B$2:$B$199,0)),"?? CHECK NAME"))</f>
        <v/>
      </c>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c r="BK94" s="25"/>
      <c r="BL94" s="25"/>
      <c r="BM94" s="25"/>
      <c r="BN94" s="25"/>
      <c r="BO94" s="25"/>
      <c r="BP94" s="25"/>
      <c r="BQ94" s="25"/>
      <c r="BR94" s="25"/>
      <c r="BS94" s="25"/>
      <c r="BT94" s="25"/>
      <c r="BU94" s="25"/>
      <c r="BV94" s="25"/>
      <c r="BW94" s="25"/>
      <c r="BX94" s="25"/>
      <c r="BY94" s="25"/>
      <c r="BZ94" s="25"/>
      <c r="CA94" s="25"/>
      <c r="CB94" s="25"/>
      <c r="CC94" s="25"/>
      <c r="CD94" s="25"/>
      <c r="CE94" s="25"/>
      <c r="CF94" s="25"/>
      <c r="CG94" s="25"/>
      <c r="CH94" s="25"/>
      <c r="CI94" s="25"/>
      <c r="CJ94" s="25"/>
      <c r="CK94" s="25"/>
    </row>
    <row r="95" spans="1:89" ht="34" customHeight="1" x14ac:dyDescent="0.2">
      <c r="A95" s="40"/>
      <c r="B95" s="28" t="str">
        <f>IFERROR(INDEX(People!$B$2:$B$199,MATCH(INDEX(Teams!$B$2:$B$9,MATCH(2,Teams!$D$2:$D$9,0))&amp;"#"&amp;4,People!$H$2:$H$199,0)),"")</f>
        <v/>
      </c>
      <c r="C95" s="20" t="str">
        <f>IF(TRIM($B95)="","",IFERROR(INDEX(People!$A$2:$A$199,MATCH(TRIM($B95),People!$B$2:$B$199,0)),"?? CHECK NAME"))</f>
        <v/>
      </c>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c r="BK95" s="25"/>
      <c r="BL95" s="25"/>
      <c r="BM95" s="25"/>
      <c r="BN95" s="25"/>
      <c r="BO95" s="25"/>
      <c r="BP95" s="25"/>
      <c r="BQ95" s="25"/>
      <c r="BR95" s="25"/>
      <c r="BS95" s="25"/>
      <c r="BT95" s="25"/>
      <c r="BU95" s="25"/>
      <c r="BV95" s="25"/>
      <c r="BW95" s="25"/>
      <c r="BX95" s="25"/>
      <c r="BY95" s="25"/>
      <c r="BZ95" s="25"/>
      <c r="CA95" s="25"/>
      <c r="CB95" s="25"/>
      <c r="CC95" s="25"/>
      <c r="CD95" s="25"/>
      <c r="CE95" s="25"/>
      <c r="CF95" s="25"/>
      <c r="CG95" s="25"/>
      <c r="CH95" s="25"/>
      <c r="CI95" s="25"/>
      <c r="CJ95" s="25"/>
      <c r="CK95" s="25"/>
    </row>
    <row r="96" spans="1:89" ht="34" customHeight="1" x14ac:dyDescent="0.2">
      <c r="A96" s="41"/>
      <c r="B96" s="28" t="str">
        <f>IFERROR(INDEX(People!$B$2:$B$199,MATCH(INDEX(Teams!$B$2:$B$9,MATCH(2,Teams!$D$2:$D$9,0))&amp;"#"&amp;5,People!$H$2:$H$199,0)),"")</f>
        <v/>
      </c>
      <c r="C96" s="20" t="str">
        <f>IF(TRIM($B96)="","",IFERROR(INDEX(People!$A$2:$A$199,MATCH(TRIM($B96),People!$B$2:$B$199,0)),"?? CHECK NAME"))</f>
        <v/>
      </c>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c r="BK96" s="25"/>
      <c r="BL96" s="25"/>
      <c r="BM96" s="25"/>
      <c r="BN96" s="25"/>
      <c r="BO96" s="25"/>
      <c r="BP96" s="25"/>
      <c r="BQ96" s="25"/>
      <c r="BR96" s="25"/>
      <c r="BS96" s="25"/>
      <c r="BT96" s="25"/>
      <c r="BU96" s="25"/>
      <c r="BV96" s="25"/>
      <c r="BW96" s="25"/>
      <c r="BX96" s="25"/>
      <c r="BY96" s="25"/>
      <c r="BZ96" s="25"/>
      <c r="CA96" s="25"/>
      <c r="CB96" s="25"/>
      <c r="CC96" s="25"/>
      <c r="CD96" s="25"/>
      <c r="CE96" s="25"/>
      <c r="CF96" s="25"/>
      <c r="CG96" s="25"/>
      <c r="CH96" s="25"/>
      <c r="CI96" s="25"/>
      <c r="CJ96" s="25"/>
      <c r="CK96" s="25"/>
    </row>
    <row r="97" spans="1:89" ht="34" customHeight="1" x14ac:dyDescent="0.2">
      <c r="A97" s="42" t="str">
        <f>IFERROR("Show Order "&amp;3&amp;"  —  "&amp;INDEX(Teams!$B$2:$B$9,MATCH(3,Teams!$D$2:$D$9,0)),"Show Order "&amp;3&amp;"  —  (not drawn)")</f>
        <v>Show Order 3  —  (not drawn)</v>
      </c>
      <c r="B97" s="28" t="str">
        <f>IFERROR(INDEX(People!$B$2:$B$199,MATCH(INDEX(Teams!$B$2:$B$9,MATCH(3,Teams!$D$2:$D$9,0))&amp;"#"&amp;1,People!$H$2:$H$199,0)),"")</f>
        <v/>
      </c>
      <c r="C97" s="20" t="str">
        <f>IF(TRIM($B97)="","",IFERROR(INDEX(People!$A$2:$A$199,MATCH(TRIM($B97),People!$B$2:$B$199,0)),"?? CHECK NAME"))</f>
        <v/>
      </c>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c r="BM97" s="25"/>
      <c r="BN97" s="25"/>
      <c r="BO97" s="25"/>
      <c r="BP97" s="25"/>
      <c r="BQ97" s="25"/>
      <c r="BR97" s="25"/>
      <c r="BS97" s="25"/>
      <c r="BT97" s="25"/>
      <c r="BU97" s="25"/>
      <c r="BV97" s="25"/>
      <c r="BW97" s="25"/>
      <c r="BX97" s="25"/>
      <c r="BY97" s="25"/>
      <c r="BZ97" s="25"/>
      <c r="CA97" s="25"/>
      <c r="CB97" s="25"/>
      <c r="CC97" s="25"/>
      <c r="CD97" s="25"/>
      <c r="CE97" s="25"/>
      <c r="CF97" s="25"/>
      <c r="CG97" s="25"/>
      <c r="CH97" s="25"/>
      <c r="CI97" s="25"/>
      <c r="CJ97" s="25"/>
      <c r="CK97" s="25"/>
    </row>
    <row r="98" spans="1:89" ht="34" customHeight="1" x14ac:dyDescent="0.2">
      <c r="A98" s="40"/>
      <c r="B98" s="28" t="str">
        <f>IFERROR(INDEX(People!$B$2:$B$199,MATCH(INDEX(Teams!$B$2:$B$9,MATCH(3,Teams!$D$2:$D$9,0))&amp;"#"&amp;2,People!$H$2:$H$199,0)),"")</f>
        <v/>
      </c>
      <c r="C98" s="20" t="str">
        <f>IF(TRIM($B98)="","",IFERROR(INDEX(People!$A$2:$A$199,MATCH(TRIM($B98),People!$B$2:$B$199,0)),"?? CHECK NAME"))</f>
        <v/>
      </c>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c r="BN98" s="25"/>
      <c r="BO98" s="25"/>
      <c r="BP98" s="25"/>
      <c r="BQ98" s="25"/>
      <c r="BR98" s="25"/>
      <c r="BS98" s="25"/>
      <c r="BT98" s="25"/>
      <c r="BU98" s="25"/>
      <c r="BV98" s="25"/>
      <c r="BW98" s="25"/>
      <c r="BX98" s="25"/>
      <c r="BY98" s="25"/>
      <c r="BZ98" s="25"/>
      <c r="CA98" s="25"/>
      <c r="CB98" s="25"/>
      <c r="CC98" s="25"/>
      <c r="CD98" s="25"/>
      <c r="CE98" s="25"/>
      <c r="CF98" s="25"/>
      <c r="CG98" s="25"/>
      <c r="CH98" s="25"/>
      <c r="CI98" s="25"/>
      <c r="CJ98" s="25"/>
      <c r="CK98" s="25"/>
    </row>
    <row r="99" spans="1:89" ht="34" customHeight="1" x14ac:dyDescent="0.2">
      <c r="A99" s="40"/>
      <c r="B99" s="28" t="str">
        <f>IFERROR(INDEX(People!$B$2:$B$199,MATCH(INDEX(Teams!$B$2:$B$9,MATCH(3,Teams!$D$2:$D$9,0))&amp;"#"&amp;3,People!$H$2:$H$199,0)),"")</f>
        <v/>
      </c>
      <c r="C99" s="20" t="str">
        <f>IF(TRIM($B99)="","",IFERROR(INDEX(People!$A$2:$A$199,MATCH(TRIM($B99),People!$B$2:$B$199,0)),"?? CHECK NAME"))</f>
        <v/>
      </c>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c r="BN99" s="25"/>
      <c r="BO99" s="25"/>
      <c r="BP99" s="25"/>
      <c r="BQ99" s="25"/>
      <c r="BR99" s="25"/>
      <c r="BS99" s="25"/>
      <c r="BT99" s="25"/>
      <c r="BU99" s="25"/>
      <c r="BV99" s="25"/>
      <c r="BW99" s="25"/>
      <c r="BX99" s="25"/>
      <c r="BY99" s="25"/>
      <c r="BZ99" s="25"/>
      <c r="CA99" s="25"/>
      <c r="CB99" s="25"/>
      <c r="CC99" s="25"/>
      <c r="CD99" s="25"/>
      <c r="CE99" s="25"/>
      <c r="CF99" s="25"/>
      <c r="CG99" s="25"/>
      <c r="CH99" s="25"/>
      <c r="CI99" s="25"/>
      <c r="CJ99" s="25"/>
      <c r="CK99" s="25"/>
    </row>
    <row r="100" spans="1:89" ht="34" customHeight="1" x14ac:dyDescent="0.2">
      <c r="A100" s="40"/>
      <c r="B100" s="28" t="str">
        <f>IFERROR(INDEX(People!$B$2:$B$199,MATCH(INDEX(Teams!$B$2:$B$9,MATCH(3,Teams!$D$2:$D$9,0))&amp;"#"&amp;4,People!$H$2:$H$199,0)),"")</f>
        <v/>
      </c>
      <c r="C100" s="20" t="str">
        <f>IF(TRIM($B100)="","",IFERROR(INDEX(People!$A$2:$A$199,MATCH(TRIM($B100),People!$B$2:$B$199,0)),"?? CHECK NAME"))</f>
        <v/>
      </c>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c r="BL100" s="25"/>
      <c r="BM100" s="25"/>
      <c r="BN100" s="25"/>
      <c r="BO100" s="25"/>
      <c r="BP100" s="25"/>
      <c r="BQ100" s="25"/>
      <c r="BR100" s="25"/>
      <c r="BS100" s="25"/>
      <c r="BT100" s="25"/>
      <c r="BU100" s="25"/>
      <c r="BV100" s="25"/>
      <c r="BW100" s="25"/>
      <c r="BX100" s="25"/>
      <c r="BY100" s="25"/>
      <c r="BZ100" s="25"/>
      <c r="CA100" s="25"/>
      <c r="CB100" s="25"/>
      <c r="CC100" s="25"/>
      <c r="CD100" s="25"/>
      <c r="CE100" s="25"/>
      <c r="CF100" s="25"/>
      <c r="CG100" s="25"/>
      <c r="CH100" s="25"/>
      <c r="CI100" s="25"/>
      <c r="CJ100" s="25"/>
      <c r="CK100" s="25"/>
    </row>
    <row r="101" spans="1:89" ht="34" customHeight="1" x14ac:dyDescent="0.2">
      <c r="A101" s="41"/>
      <c r="B101" s="28" t="str">
        <f>IFERROR(INDEX(People!$B$2:$B$199,MATCH(INDEX(Teams!$B$2:$B$9,MATCH(3,Teams!$D$2:$D$9,0))&amp;"#"&amp;5,People!$H$2:$H$199,0)),"")</f>
        <v/>
      </c>
      <c r="C101" s="20" t="str">
        <f>IF(TRIM($B101)="","",IFERROR(INDEX(People!$A$2:$A$199,MATCH(TRIM($B101),People!$B$2:$B$199,0)),"?? CHECK NAME"))</f>
        <v/>
      </c>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25"/>
      <c r="BR101" s="25"/>
      <c r="BS101" s="25"/>
      <c r="BT101" s="25"/>
      <c r="BU101" s="25"/>
      <c r="BV101" s="25"/>
      <c r="BW101" s="25"/>
      <c r="BX101" s="25"/>
      <c r="BY101" s="25"/>
      <c r="BZ101" s="25"/>
      <c r="CA101" s="25"/>
      <c r="CB101" s="25"/>
      <c r="CC101" s="25"/>
      <c r="CD101" s="25"/>
      <c r="CE101" s="25"/>
      <c r="CF101" s="25"/>
      <c r="CG101" s="25"/>
      <c r="CH101" s="25"/>
      <c r="CI101" s="25"/>
      <c r="CJ101" s="25"/>
      <c r="CK101" s="25"/>
    </row>
    <row r="102" spans="1:89" ht="34" customHeight="1" x14ac:dyDescent="0.2">
      <c r="A102" s="42" t="str">
        <f>IFERROR("Show Order "&amp;4&amp;"  —  "&amp;INDEX(Teams!$B$2:$B$9,MATCH(4,Teams!$D$2:$D$9,0)),"Show Order "&amp;4&amp;"  —  (not drawn)")</f>
        <v>Show Order 4  —  (not drawn)</v>
      </c>
      <c r="B102" s="28" t="str">
        <f>IFERROR(INDEX(People!$B$2:$B$199,MATCH(INDEX(Teams!$B$2:$B$9,MATCH(4,Teams!$D$2:$D$9,0))&amp;"#"&amp;1,People!$H$2:$H$199,0)),"")</f>
        <v/>
      </c>
      <c r="C102" s="20" t="str">
        <f>IF(TRIM($B102)="","",IFERROR(INDEX(People!$A$2:$A$199,MATCH(TRIM($B102),People!$B$2:$B$199,0)),"?? CHECK NAME"))</f>
        <v/>
      </c>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c r="BL102" s="25"/>
      <c r="BM102" s="25"/>
      <c r="BN102" s="25"/>
      <c r="BO102" s="25"/>
      <c r="BP102" s="25"/>
      <c r="BQ102" s="25"/>
      <c r="BR102" s="25"/>
      <c r="BS102" s="25"/>
      <c r="BT102" s="25"/>
      <c r="BU102" s="25"/>
      <c r="BV102" s="25"/>
      <c r="BW102" s="25"/>
      <c r="BX102" s="25"/>
      <c r="BY102" s="25"/>
      <c r="BZ102" s="25"/>
      <c r="CA102" s="25"/>
      <c r="CB102" s="25"/>
      <c r="CC102" s="25"/>
      <c r="CD102" s="25"/>
      <c r="CE102" s="25"/>
      <c r="CF102" s="25"/>
      <c r="CG102" s="25"/>
      <c r="CH102" s="25"/>
      <c r="CI102" s="25"/>
      <c r="CJ102" s="25"/>
      <c r="CK102" s="25"/>
    </row>
    <row r="103" spans="1:89" ht="34" customHeight="1" x14ac:dyDescent="0.2">
      <c r="A103" s="40"/>
      <c r="B103" s="28" t="str">
        <f>IFERROR(INDEX(People!$B$2:$B$199,MATCH(INDEX(Teams!$B$2:$B$9,MATCH(4,Teams!$D$2:$D$9,0))&amp;"#"&amp;2,People!$H$2:$H$199,0)),"")</f>
        <v/>
      </c>
      <c r="C103" s="20" t="str">
        <f>IF(TRIM($B103)="","",IFERROR(INDEX(People!$A$2:$A$199,MATCH(TRIM($B103),People!$B$2:$B$199,0)),"?? CHECK NAME"))</f>
        <v/>
      </c>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5"/>
      <c r="BJ103" s="25"/>
      <c r="BK103" s="25"/>
      <c r="BL103" s="25"/>
      <c r="BM103" s="25"/>
      <c r="BN103" s="25"/>
      <c r="BO103" s="25"/>
      <c r="BP103" s="25"/>
      <c r="BQ103" s="25"/>
      <c r="BR103" s="25"/>
      <c r="BS103" s="25"/>
      <c r="BT103" s="25"/>
      <c r="BU103" s="25"/>
      <c r="BV103" s="25"/>
      <c r="BW103" s="25"/>
      <c r="BX103" s="25"/>
      <c r="BY103" s="25"/>
      <c r="BZ103" s="25"/>
      <c r="CA103" s="25"/>
      <c r="CB103" s="25"/>
      <c r="CC103" s="25"/>
      <c r="CD103" s="25"/>
      <c r="CE103" s="25"/>
      <c r="CF103" s="25"/>
      <c r="CG103" s="25"/>
      <c r="CH103" s="25"/>
      <c r="CI103" s="25"/>
      <c r="CJ103" s="25"/>
      <c r="CK103" s="25"/>
    </row>
    <row r="104" spans="1:89" ht="34" customHeight="1" x14ac:dyDescent="0.2">
      <c r="A104" s="40"/>
      <c r="B104" s="28" t="str">
        <f>IFERROR(INDEX(People!$B$2:$B$199,MATCH(INDEX(Teams!$B$2:$B$9,MATCH(4,Teams!$D$2:$D$9,0))&amp;"#"&amp;3,People!$H$2:$H$199,0)),"")</f>
        <v/>
      </c>
      <c r="C104" s="20" t="str">
        <f>IF(TRIM($B104)="","",IFERROR(INDEX(People!$A$2:$A$199,MATCH(TRIM($B104),People!$B$2:$B$199,0)),"?? CHECK NAME"))</f>
        <v/>
      </c>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c r="BF104" s="25"/>
      <c r="BG104" s="25"/>
      <c r="BH104" s="25"/>
      <c r="BI104" s="25"/>
      <c r="BJ104" s="25"/>
      <c r="BK104" s="25"/>
      <c r="BL104" s="25"/>
      <c r="BM104" s="25"/>
      <c r="BN104" s="25"/>
      <c r="BO104" s="25"/>
      <c r="BP104" s="25"/>
      <c r="BQ104" s="25"/>
      <c r="BR104" s="25"/>
      <c r="BS104" s="25"/>
      <c r="BT104" s="25"/>
      <c r="BU104" s="25"/>
      <c r="BV104" s="25"/>
      <c r="BW104" s="25"/>
      <c r="BX104" s="25"/>
      <c r="BY104" s="25"/>
      <c r="BZ104" s="25"/>
      <c r="CA104" s="25"/>
      <c r="CB104" s="25"/>
      <c r="CC104" s="25"/>
      <c r="CD104" s="25"/>
      <c r="CE104" s="25"/>
      <c r="CF104" s="25"/>
      <c r="CG104" s="25"/>
      <c r="CH104" s="25"/>
      <c r="CI104" s="25"/>
      <c r="CJ104" s="25"/>
      <c r="CK104" s="25"/>
    </row>
    <row r="105" spans="1:89" ht="34" customHeight="1" x14ac:dyDescent="0.2">
      <c r="A105" s="40"/>
      <c r="B105" s="28" t="str">
        <f>IFERROR(INDEX(People!$B$2:$B$199,MATCH(INDEX(Teams!$B$2:$B$9,MATCH(4,Teams!$D$2:$D$9,0))&amp;"#"&amp;4,People!$H$2:$H$199,0)),"")</f>
        <v/>
      </c>
      <c r="C105" s="20" t="str">
        <f>IF(TRIM($B105)="","",IFERROR(INDEX(People!$A$2:$A$199,MATCH(TRIM($B105),People!$B$2:$B$199,0)),"?? CHECK NAME"))</f>
        <v/>
      </c>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c r="BK105" s="25"/>
      <c r="BL105" s="25"/>
      <c r="BM105" s="25"/>
      <c r="BN105" s="25"/>
      <c r="BO105" s="25"/>
      <c r="BP105" s="25"/>
      <c r="BQ105" s="25"/>
      <c r="BR105" s="25"/>
      <c r="BS105" s="25"/>
      <c r="BT105" s="25"/>
      <c r="BU105" s="25"/>
      <c r="BV105" s="25"/>
      <c r="BW105" s="25"/>
      <c r="BX105" s="25"/>
      <c r="BY105" s="25"/>
      <c r="BZ105" s="25"/>
      <c r="CA105" s="25"/>
      <c r="CB105" s="25"/>
      <c r="CC105" s="25"/>
      <c r="CD105" s="25"/>
      <c r="CE105" s="25"/>
      <c r="CF105" s="25"/>
      <c r="CG105" s="25"/>
      <c r="CH105" s="25"/>
      <c r="CI105" s="25"/>
      <c r="CJ105" s="25"/>
      <c r="CK105" s="25"/>
    </row>
    <row r="106" spans="1:89" ht="34" customHeight="1" x14ac:dyDescent="0.2">
      <c r="A106" s="41"/>
      <c r="B106" s="28" t="str">
        <f>IFERROR(INDEX(People!$B$2:$B$199,MATCH(INDEX(Teams!$B$2:$B$9,MATCH(4,Teams!$D$2:$D$9,0))&amp;"#"&amp;5,People!$H$2:$H$199,0)),"")</f>
        <v/>
      </c>
      <c r="C106" s="20" t="str">
        <f>IF(TRIM($B106)="","",IFERROR(INDEX(People!$A$2:$A$199,MATCH(TRIM($B106),People!$B$2:$B$199,0)),"?? CHECK NAME"))</f>
        <v/>
      </c>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c r="BJ106" s="25"/>
      <c r="BK106" s="25"/>
      <c r="BL106" s="25"/>
      <c r="BM106" s="25"/>
      <c r="BN106" s="25"/>
      <c r="BO106" s="25"/>
      <c r="BP106" s="25"/>
      <c r="BQ106" s="25"/>
      <c r="BR106" s="25"/>
      <c r="BS106" s="25"/>
      <c r="BT106" s="25"/>
      <c r="BU106" s="25"/>
      <c r="BV106" s="25"/>
      <c r="BW106" s="25"/>
      <c r="BX106" s="25"/>
      <c r="BY106" s="25"/>
      <c r="BZ106" s="25"/>
      <c r="CA106" s="25"/>
      <c r="CB106" s="25"/>
      <c r="CC106" s="25"/>
      <c r="CD106" s="25"/>
      <c r="CE106" s="25"/>
      <c r="CF106" s="25"/>
      <c r="CG106" s="25"/>
      <c r="CH106" s="25"/>
      <c r="CI106" s="25"/>
      <c r="CJ106" s="25"/>
      <c r="CK106" s="25"/>
    </row>
    <row r="107" spans="1:89" ht="34" customHeight="1" x14ac:dyDescent="0.2">
      <c r="A107" s="42" t="str">
        <f>IFERROR("Show Order "&amp;5&amp;"  —  "&amp;INDEX(Teams!$B$2:$B$9,MATCH(5,Teams!$D$2:$D$9,0)),"Show Order "&amp;5&amp;"  —  (not drawn)")</f>
        <v>Show Order 5  —  (not drawn)</v>
      </c>
      <c r="B107" s="28" t="str">
        <f>IFERROR(INDEX(People!$B$2:$B$199,MATCH(INDEX(Teams!$B$2:$B$9,MATCH(5,Teams!$D$2:$D$9,0))&amp;"#"&amp;1,People!$H$2:$H$199,0)),"")</f>
        <v/>
      </c>
      <c r="C107" s="20" t="str">
        <f>IF(TRIM($B107)="","",IFERROR(INDEX(People!$A$2:$A$199,MATCH(TRIM($B107),People!$B$2:$B$199,0)),"?? CHECK NAME"))</f>
        <v/>
      </c>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c r="BJ107" s="25"/>
      <c r="BK107" s="25"/>
      <c r="BL107" s="25"/>
      <c r="BM107" s="25"/>
      <c r="BN107" s="25"/>
      <c r="BO107" s="25"/>
      <c r="BP107" s="25"/>
      <c r="BQ107" s="25"/>
      <c r="BR107" s="25"/>
      <c r="BS107" s="25"/>
      <c r="BT107" s="25"/>
      <c r="BU107" s="25"/>
      <c r="BV107" s="25"/>
      <c r="BW107" s="25"/>
      <c r="BX107" s="25"/>
      <c r="BY107" s="25"/>
      <c r="BZ107" s="25"/>
      <c r="CA107" s="25"/>
      <c r="CB107" s="25"/>
      <c r="CC107" s="25"/>
      <c r="CD107" s="25"/>
      <c r="CE107" s="25"/>
      <c r="CF107" s="25"/>
      <c r="CG107" s="25"/>
      <c r="CH107" s="25"/>
      <c r="CI107" s="25"/>
      <c r="CJ107" s="25"/>
      <c r="CK107" s="25"/>
    </row>
    <row r="108" spans="1:89" ht="34" customHeight="1" x14ac:dyDescent="0.2">
      <c r="A108" s="40"/>
      <c r="B108" s="28" t="str">
        <f>IFERROR(INDEX(People!$B$2:$B$199,MATCH(INDEX(Teams!$B$2:$B$9,MATCH(5,Teams!$D$2:$D$9,0))&amp;"#"&amp;2,People!$H$2:$H$199,0)),"")</f>
        <v/>
      </c>
      <c r="C108" s="20" t="str">
        <f>IF(TRIM($B108)="","",IFERROR(INDEX(People!$A$2:$A$199,MATCH(TRIM($B108),People!$B$2:$B$199,0)),"?? CHECK NAME"))</f>
        <v/>
      </c>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5"/>
      <c r="BJ108" s="25"/>
      <c r="BK108" s="25"/>
      <c r="BL108" s="25"/>
      <c r="BM108" s="25"/>
      <c r="BN108" s="25"/>
      <c r="BO108" s="25"/>
      <c r="BP108" s="25"/>
      <c r="BQ108" s="25"/>
      <c r="BR108" s="25"/>
      <c r="BS108" s="25"/>
      <c r="BT108" s="25"/>
      <c r="BU108" s="25"/>
      <c r="BV108" s="25"/>
      <c r="BW108" s="25"/>
      <c r="BX108" s="25"/>
      <c r="BY108" s="25"/>
      <c r="BZ108" s="25"/>
      <c r="CA108" s="25"/>
      <c r="CB108" s="25"/>
      <c r="CC108" s="25"/>
      <c r="CD108" s="25"/>
      <c r="CE108" s="25"/>
      <c r="CF108" s="25"/>
      <c r="CG108" s="25"/>
      <c r="CH108" s="25"/>
      <c r="CI108" s="25"/>
      <c r="CJ108" s="25"/>
      <c r="CK108" s="25"/>
    </row>
    <row r="109" spans="1:89" ht="34" customHeight="1" x14ac:dyDescent="0.2">
      <c r="A109" s="40"/>
      <c r="B109" s="28" t="str">
        <f>IFERROR(INDEX(People!$B$2:$B$199,MATCH(INDEX(Teams!$B$2:$B$9,MATCH(5,Teams!$D$2:$D$9,0))&amp;"#"&amp;3,People!$H$2:$H$199,0)),"")</f>
        <v/>
      </c>
      <c r="C109" s="20" t="str">
        <f>IF(TRIM($B109)="","",IFERROR(INDEX(People!$A$2:$A$199,MATCH(TRIM($B109),People!$B$2:$B$199,0)),"?? CHECK NAME"))</f>
        <v/>
      </c>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5"/>
      <c r="BJ109" s="25"/>
      <c r="BK109" s="25"/>
      <c r="BL109" s="25"/>
      <c r="BM109" s="25"/>
      <c r="BN109" s="25"/>
      <c r="BO109" s="25"/>
      <c r="BP109" s="25"/>
      <c r="BQ109" s="25"/>
      <c r="BR109" s="25"/>
      <c r="BS109" s="25"/>
      <c r="BT109" s="25"/>
      <c r="BU109" s="25"/>
      <c r="BV109" s="25"/>
      <c r="BW109" s="25"/>
      <c r="BX109" s="25"/>
      <c r="BY109" s="25"/>
      <c r="BZ109" s="25"/>
      <c r="CA109" s="25"/>
      <c r="CB109" s="25"/>
      <c r="CC109" s="25"/>
      <c r="CD109" s="25"/>
      <c r="CE109" s="25"/>
      <c r="CF109" s="25"/>
      <c r="CG109" s="25"/>
      <c r="CH109" s="25"/>
      <c r="CI109" s="25"/>
      <c r="CJ109" s="25"/>
      <c r="CK109" s="25"/>
    </row>
    <row r="110" spans="1:89" ht="34" customHeight="1" x14ac:dyDescent="0.2">
      <c r="A110" s="40"/>
      <c r="B110" s="28" t="str">
        <f>IFERROR(INDEX(People!$B$2:$B$199,MATCH(INDEX(Teams!$B$2:$B$9,MATCH(5,Teams!$D$2:$D$9,0))&amp;"#"&amp;4,People!$H$2:$H$199,0)),"")</f>
        <v/>
      </c>
      <c r="C110" s="20" t="str">
        <f>IF(TRIM($B110)="","",IFERROR(INDEX(People!$A$2:$A$199,MATCH(TRIM($B110),People!$B$2:$B$199,0)),"?? CHECK NAME"))</f>
        <v/>
      </c>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25"/>
      <c r="BH110" s="25"/>
      <c r="BI110" s="25"/>
      <c r="BJ110" s="25"/>
      <c r="BK110" s="25"/>
      <c r="BL110" s="25"/>
      <c r="BM110" s="25"/>
      <c r="BN110" s="25"/>
      <c r="BO110" s="25"/>
      <c r="BP110" s="25"/>
      <c r="BQ110" s="25"/>
      <c r="BR110" s="25"/>
      <c r="BS110" s="25"/>
      <c r="BT110" s="25"/>
      <c r="BU110" s="25"/>
      <c r="BV110" s="25"/>
      <c r="BW110" s="25"/>
      <c r="BX110" s="25"/>
      <c r="BY110" s="25"/>
      <c r="BZ110" s="25"/>
      <c r="CA110" s="25"/>
      <c r="CB110" s="25"/>
      <c r="CC110" s="25"/>
      <c r="CD110" s="25"/>
      <c r="CE110" s="25"/>
      <c r="CF110" s="25"/>
      <c r="CG110" s="25"/>
      <c r="CH110" s="25"/>
      <c r="CI110" s="25"/>
      <c r="CJ110" s="25"/>
      <c r="CK110" s="25"/>
    </row>
    <row r="111" spans="1:89" ht="34" customHeight="1" x14ac:dyDescent="0.2">
      <c r="A111" s="41"/>
      <c r="B111" s="28" t="str">
        <f>IFERROR(INDEX(People!$B$2:$B$199,MATCH(INDEX(Teams!$B$2:$B$9,MATCH(5,Teams!$D$2:$D$9,0))&amp;"#"&amp;5,People!$H$2:$H$199,0)),"")</f>
        <v/>
      </c>
      <c r="C111" s="20" t="str">
        <f>IF(TRIM($B111)="","",IFERROR(INDEX(People!$A$2:$A$199,MATCH(TRIM($B111),People!$B$2:$B$199,0)),"?? CHECK NAME"))</f>
        <v/>
      </c>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c r="BM111" s="25"/>
      <c r="BN111" s="25"/>
      <c r="BO111" s="25"/>
      <c r="BP111" s="25"/>
      <c r="BQ111" s="25"/>
      <c r="BR111" s="25"/>
      <c r="BS111" s="25"/>
      <c r="BT111" s="25"/>
      <c r="BU111" s="25"/>
      <c r="BV111" s="25"/>
      <c r="BW111" s="25"/>
      <c r="BX111" s="25"/>
      <c r="BY111" s="25"/>
      <c r="BZ111" s="25"/>
      <c r="CA111" s="25"/>
      <c r="CB111" s="25"/>
      <c r="CC111" s="25"/>
      <c r="CD111" s="25"/>
      <c r="CE111" s="25"/>
      <c r="CF111" s="25"/>
      <c r="CG111" s="25"/>
      <c r="CH111" s="25"/>
      <c r="CI111" s="25"/>
      <c r="CJ111" s="25"/>
      <c r="CK111" s="25"/>
    </row>
    <row r="112" spans="1:89" ht="34" customHeight="1" x14ac:dyDescent="0.2">
      <c r="A112" s="42" t="str">
        <f>IFERROR("Show Order "&amp;6&amp;"  —  "&amp;INDEX(Teams!$B$2:$B$9,MATCH(6,Teams!$D$2:$D$9,0)),"Show Order "&amp;6&amp;"  —  (not drawn)")</f>
        <v>Show Order 6  —  (not drawn)</v>
      </c>
      <c r="B112" s="28" t="str">
        <f>IFERROR(INDEX(People!$B$2:$B$199,MATCH(INDEX(Teams!$B$2:$B$9,MATCH(6,Teams!$D$2:$D$9,0))&amp;"#"&amp;1,People!$H$2:$H$199,0)),"")</f>
        <v/>
      </c>
      <c r="C112" s="20" t="str">
        <f>IF(TRIM($B112)="","",IFERROR(INDEX(People!$A$2:$A$199,MATCH(TRIM($B112),People!$B$2:$B$199,0)),"?? CHECK NAME"))</f>
        <v/>
      </c>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c r="BL112" s="25"/>
      <c r="BM112" s="25"/>
      <c r="BN112" s="25"/>
      <c r="BO112" s="25"/>
      <c r="BP112" s="25"/>
      <c r="BQ112" s="25"/>
      <c r="BR112" s="25"/>
      <c r="BS112" s="25"/>
      <c r="BT112" s="25"/>
      <c r="BU112" s="25"/>
      <c r="BV112" s="25"/>
      <c r="BW112" s="25"/>
      <c r="BX112" s="25"/>
      <c r="BY112" s="25"/>
      <c r="BZ112" s="25"/>
      <c r="CA112" s="25"/>
      <c r="CB112" s="25"/>
      <c r="CC112" s="25"/>
      <c r="CD112" s="25"/>
      <c r="CE112" s="25"/>
      <c r="CF112" s="25"/>
      <c r="CG112" s="25"/>
      <c r="CH112" s="25"/>
      <c r="CI112" s="25"/>
      <c r="CJ112" s="25"/>
      <c r="CK112" s="25"/>
    </row>
    <row r="113" spans="1:89" ht="34" customHeight="1" x14ac:dyDescent="0.2">
      <c r="A113" s="40"/>
      <c r="B113" s="28" t="str">
        <f>IFERROR(INDEX(People!$B$2:$B$199,MATCH(INDEX(Teams!$B$2:$B$9,MATCH(6,Teams!$D$2:$D$9,0))&amp;"#"&amp;2,People!$H$2:$H$199,0)),"")</f>
        <v/>
      </c>
      <c r="C113" s="20" t="str">
        <f>IF(TRIM($B113)="","",IFERROR(INDEX(People!$A$2:$A$199,MATCH(TRIM($B113),People!$B$2:$B$199,0)),"?? CHECK NAME"))</f>
        <v/>
      </c>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25"/>
      <c r="BH113" s="25"/>
      <c r="BI113" s="25"/>
      <c r="BJ113" s="25"/>
      <c r="BK113" s="25"/>
      <c r="BL113" s="25"/>
      <c r="BM113" s="25"/>
      <c r="BN113" s="25"/>
      <c r="BO113" s="25"/>
      <c r="BP113" s="25"/>
      <c r="BQ113" s="25"/>
      <c r="BR113" s="25"/>
      <c r="BS113" s="25"/>
      <c r="BT113" s="25"/>
      <c r="BU113" s="25"/>
      <c r="BV113" s="25"/>
      <c r="BW113" s="25"/>
      <c r="BX113" s="25"/>
      <c r="BY113" s="25"/>
      <c r="BZ113" s="25"/>
      <c r="CA113" s="25"/>
      <c r="CB113" s="25"/>
      <c r="CC113" s="25"/>
      <c r="CD113" s="25"/>
      <c r="CE113" s="25"/>
      <c r="CF113" s="25"/>
      <c r="CG113" s="25"/>
      <c r="CH113" s="25"/>
      <c r="CI113" s="25"/>
      <c r="CJ113" s="25"/>
      <c r="CK113" s="25"/>
    </row>
    <row r="114" spans="1:89" ht="34" customHeight="1" x14ac:dyDescent="0.2">
      <c r="A114" s="40"/>
      <c r="B114" s="28" t="str">
        <f>IFERROR(INDEX(People!$B$2:$B$199,MATCH(INDEX(Teams!$B$2:$B$9,MATCH(6,Teams!$D$2:$D$9,0))&amp;"#"&amp;3,People!$H$2:$H$199,0)),"")</f>
        <v/>
      </c>
      <c r="C114" s="20" t="str">
        <f>IF(TRIM($B114)="","",IFERROR(INDEX(People!$A$2:$A$199,MATCH(TRIM($B114),People!$B$2:$B$199,0)),"?? CHECK NAME"))</f>
        <v/>
      </c>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25"/>
      <c r="BH114" s="25"/>
      <c r="BI114" s="25"/>
      <c r="BJ114" s="25"/>
      <c r="BK114" s="25"/>
      <c r="BL114" s="25"/>
      <c r="BM114" s="25"/>
      <c r="BN114" s="25"/>
      <c r="BO114" s="25"/>
      <c r="BP114" s="25"/>
      <c r="BQ114" s="25"/>
      <c r="BR114" s="25"/>
      <c r="BS114" s="25"/>
      <c r="BT114" s="25"/>
      <c r="BU114" s="25"/>
      <c r="BV114" s="25"/>
      <c r="BW114" s="25"/>
      <c r="BX114" s="25"/>
      <c r="BY114" s="25"/>
      <c r="BZ114" s="25"/>
      <c r="CA114" s="25"/>
      <c r="CB114" s="25"/>
      <c r="CC114" s="25"/>
      <c r="CD114" s="25"/>
      <c r="CE114" s="25"/>
      <c r="CF114" s="25"/>
      <c r="CG114" s="25"/>
      <c r="CH114" s="25"/>
      <c r="CI114" s="25"/>
      <c r="CJ114" s="25"/>
      <c r="CK114" s="25"/>
    </row>
    <row r="115" spans="1:89" ht="34" customHeight="1" x14ac:dyDescent="0.2">
      <c r="A115" s="40"/>
      <c r="B115" s="28" t="str">
        <f>IFERROR(INDEX(People!$B$2:$B$199,MATCH(INDEX(Teams!$B$2:$B$9,MATCH(6,Teams!$D$2:$D$9,0))&amp;"#"&amp;4,People!$H$2:$H$199,0)),"")</f>
        <v/>
      </c>
      <c r="C115" s="20" t="str">
        <f>IF(TRIM($B115)="","",IFERROR(INDEX(People!$A$2:$A$199,MATCH(TRIM($B115),People!$B$2:$B$199,0)),"?? CHECK NAME"))</f>
        <v/>
      </c>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5"/>
      <c r="BJ115" s="25"/>
      <c r="BK115" s="25"/>
      <c r="BL115" s="25"/>
      <c r="BM115" s="25"/>
      <c r="BN115" s="25"/>
      <c r="BO115" s="25"/>
      <c r="BP115" s="25"/>
      <c r="BQ115" s="25"/>
      <c r="BR115" s="25"/>
      <c r="BS115" s="25"/>
      <c r="BT115" s="25"/>
      <c r="BU115" s="25"/>
      <c r="BV115" s="25"/>
      <c r="BW115" s="25"/>
      <c r="BX115" s="25"/>
      <c r="BY115" s="25"/>
      <c r="BZ115" s="25"/>
      <c r="CA115" s="25"/>
      <c r="CB115" s="25"/>
      <c r="CC115" s="25"/>
      <c r="CD115" s="25"/>
      <c r="CE115" s="25"/>
      <c r="CF115" s="25"/>
      <c r="CG115" s="25"/>
      <c r="CH115" s="25"/>
      <c r="CI115" s="25"/>
      <c r="CJ115" s="25"/>
      <c r="CK115" s="25"/>
    </row>
    <row r="116" spans="1:89" ht="34" customHeight="1" x14ac:dyDescent="0.2">
      <c r="A116" s="41"/>
      <c r="B116" s="28" t="str">
        <f>IFERROR(INDEX(People!$B$2:$B$199,MATCH(INDEX(Teams!$B$2:$B$9,MATCH(6,Teams!$D$2:$D$9,0))&amp;"#"&amp;5,People!$H$2:$H$199,0)),"")</f>
        <v/>
      </c>
      <c r="C116" s="20" t="str">
        <f>IF(TRIM($B116)="","",IFERROR(INDEX(People!$A$2:$A$199,MATCH(TRIM($B116),People!$B$2:$B$199,0)),"?? CHECK NAME"))</f>
        <v/>
      </c>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5"/>
      <c r="BJ116" s="25"/>
      <c r="BK116" s="25"/>
      <c r="BL116" s="25"/>
      <c r="BM116" s="25"/>
      <c r="BN116" s="25"/>
      <c r="BO116" s="25"/>
      <c r="BP116" s="25"/>
      <c r="BQ116" s="25"/>
      <c r="BR116" s="25"/>
      <c r="BS116" s="25"/>
      <c r="BT116" s="25"/>
      <c r="BU116" s="25"/>
      <c r="BV116" s="25"/>
      <c r="BW116" s="25"/>
      <c r="BX116" s="25"/>
      <c r="BY116" s="25"/>
      <c r="BZ116" s="25"/>
      <c r="CA116" s="25"/>
      <c r="CB116" s="25"/>
      <c r="CC116" s="25"/>
      <c r="CD116" s="25"/>
      <c r="CE116" s="25"/>
      <c r="CF116" s="25"/>
      <c r="CG116" s="25"/>
      <c r="CH116" s="25"/>
      <c r="CI116" s="25"/>
      <c r="CJ116" s="25"/>
      <c r="CK116" s="25"/>
    </row>
    <row r="117" spans="1:89" ht="34" customHeight="1" x14ac:dyDescent="0.2">
      <c r="A117" s="42" t="str">
        <f>IFERROR("Show Order "&amp;7&amp;"  —  "&amp;INDEX(Teams!$B$2:$B$9,MATCH(7,Teams!$D$2:$D$9,0)),"Show Order "&amp;7&amp;"  —  (not drawn)")</f>
        <v>Show Order 7  —  (not drawn)</v>
      </c>
      <c r="B117" s="28" t="str">
        <f>IFERROR(INDEX(People!$B$2:$B$199,MATCH(INDEX(Teams!$B$2:$B$9,MATCH(7,Teams!$D$2:$D$9,0))&amp;"#"&amp;1,People!$H$2:$H$199,0)),"")</f>
        <v/>
      </c>
      <c r="C117" s="20" t="str">
        <f>IF(TRIM($B117)="","",IFERROR(INDEX(People!$A$2:$A$199,MATCH(TRIM($B117),People!$B$2:$B$199,0)),"?? CHECK NAME"))</f>
        <v/>
      </c>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c r="BI117" s="25"/>
      <c r="BJ117" s="25"/>
      <c r="BK117" s="25"/>
      <c r="BL117" s="25"/>
      <c r="BM117" s="25"/>
      <c r="BN117" s="25"/>
      <c r="BO117" s="25"/>
      <c r="BP117" s="25"/>
      <c r="BQ117" s="25"/>
      <c r="BR117" s="25"/>
      <c r="BS117" s="25"/>
      <c r="BT117" s="25"/>
      <c r="BU117" s="25"/>
      <c r="BV117" s="25"/>
      <c r="BW117" s="25"/>
      <c r="BX117" s="25"/>
      <c r="BY117" s="25"/>
      <c r="BZ117" s="25"/>
      <c r="CA117" s="25"/>
      <c r="CB117" s="25"/>
      <c r="CC117" s="25"/>
      <c r="CD117" s="25"/>
      <c r="CE117" s="25"/>
      <c r="CF117" s="25"/>
      <c r="CG117" s="25"/>
      <c r="CH117" s="25"/>
      <c r="CI117" s="25"/>
      <c r="CJ117" s="25"/>
      <c r="CK117" s="25"/>
    </row>
    <row r="118" spans="1:89" ht="34" customHeight="1" x14ac:dyDescent="0.2">
      <c r="A118" s="40"/>
      <c r="B118" s="28" t="str">
        <f>IFERROR(INDEX(People!$B$2:$B$199,MATCH(INDEX(Teams!$B$2:$B$9,MATCH(7,Teams!$D$2:$D$9,0))&amp;"#"&amp;2,People!$H$2:$H$199,0)),"")</f>
        <v/>
      </c>
      <c r="C118" s="20" t="str">
        <f>IF(TRIM($B118)="","",IFERROR(INDEX(People!$A$2:$A$199,MATCH(TRIM($B118),People!$B$2:$B$199,0)),"?? CHECK NAME"))</f>
        <v/>
      </c>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c r="BK118" s="25"/>
      <c r="BL118" s="25"/>
      <c r="BM118" s="25"/>
      <c r="BN118" s="25"/>
      <c r="BO118" s="25"/>
      <c r="BP118" s="25"/>
      <c r="BQ118" s="25"/>
      <c r="BR118" s="25"/>
      <c r="BS118" s="25"/>
      <c r="BT118" s="25"/>
      <c r="BU118" s="25"/>
      <c r="BV118" s="25"/>
      <c r="BW118" s="25"/>
      <c r="BX118" s="25"/>
      <c r="BY118" s="25"/>
      <c r="BZ118" s="25"/>
      <c r="CA118" s="25"/>
      <c r="CB118" s="25"/>
      <c r="CC118" s="25"/>
      <c r="CD118" s="25"/>
      <c r="CE118" s="25"/>
      <c r="CF118" s="25"/>
      <c r="CG118" s="25"/>
      <c r="CH118" s="25"/>
      <c r="CI118" s="25"/>
      <c r="CJ118" s="25"/>
      <c r="CK118" s="25"/>
    </row>
    <row r="119" spans="1:89" ht="34" customHeight="1" x14ac:dyDescent="0.2">
      <c r="A119" s="40"/>
      <c r="B119" s="28" t="str">
        <f>IFERROR(INDEX(People!$B$2:$B$199,MATCH(INDEX(Teams!$B$2:$B$9,MATCH(7,Teams!$D$2:$D$9,0))&amp;"#"&amp;3,People!$H$2:$H$199,0)),"")</f>
        <v/>
      </c>
      <c r="C119" s="20" t="str">
        <f>IF(TRIM($B119)="","",IFERROR(INDEX(People!$A$2:$A$199,MATCH(TRIM($B119),People!$B$2:$B$199,0)),"?? CHECK NAME"))</f>
        <v/>
      </c>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c r="BF119" s="25"/>
      <c r="BG119" s="25"/>
      <c r="BH119" s="25"/>
      <c r="BI119" s="25"/>
      <c r="BJ119" s="25"/>
      <c r="BK119" s="25"/>
      <c r="BL119" s="25"/>
      <c r="BM119" s="25"/>
      <c r="BN119" s="25"/>
      <c r="BO119" s="25"/>
      <c r="BP119" s="25"/>
      <c r="BQ119" s="25"/>
      <c r="BR119" s="25"/>
      <c r="BS119" s="25"/>
      <c r="BT119" s="25"/>
      <c r="BU119" s="25"/>
      <c r="BV119" s="25"/>
      <c r="BW119" s="25"/>
      <c r="BX119" s="25"/>
      <c r="BY119" s="25"/>
      <c r="BZ119" s="25"/>
      <c r="CA119" s="25"/>
      <c r="CB119" s="25"/>
      <c r="CC119" s="25"/>
      <c r="CD119" s="25"/>
      <c r="CE119" s="25"/>
      <c r="CF119" s="25"/>
      <c r="CG119" s="25"/>
      <c r="CH119" s="25"/>
      <c r="CI119" s="25"/>
      <c r="CJ119" s="25"/>
      <c r="CK119" s="25"/>
    </row>
    <row r="120" spans="1:89" ht="34" customHeight="1" x14ac:dyDescent="0.2">
      <c r="A120" s="40"/>
      <c r="B120" s="28" t="str">
        <f>IFERROR(INDEX(People!$B$2:$B$199,MATCH(INDEX(Teams!$B$2:$B$9,MATCH(7,Teams!$D$2:$D$9,0))&amp;"#"&amp;4,People!$H$2:$H$199,0)),"")</f>
        <v/>
      </c>
      <c r="C120" s="20" t="str">
        <f>IF(TRIM($B120)="","",IFERROR(INDEX(People!$A$2:$A$199,MATCH(TRIM($B120),People!$B$2:$B$199,0)),"?? CHECK NAME"))</f>
        <v/>
      </c>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c r="BC120" s="25"/>
      <c r="BD120" s="25"/>
      <c r="BE120" s="25"/>
      <c r="BF120" s="25"/>
      <c r="BG120" s="25"/>
      <c r="BH120" s="25"/>
      <c r="BI120" s="25"/>
      <c r="BJ120" s="25"/>
      <c r="BK120" s="25"/>
      <c r="BL120" s="25"/>
      <c r="BM120" s="25"/>
      <c r="BN120" s="25"/>
      <c r="BO120" s="25"/>
      <c r="BP120" s="25"/>
      <c r="BQ120" s="25"/>
      <c r="BR120" s="25"/>
      <c r="BS120" s="25"/>
      <c r="BT120" s="25"/>
      <c r="BU120" s="25"/>
      <c r="BV120" s="25"/>
      <c r="BW120" s="25"/>
      <c r="BX120" s="25"/>
      <c r="BY120" s="25"/>
      <c r="BZ120" s="25"/>
      <c r="CA120" s="25"/>
      <c r="CB120" s="25"/>
      <c r="CC120" s="25"/>
      <c r="CD120" s="25"/>
      <c r="CE120" s="25"/>
      <c r="CF120" s="25"/>
      <c r="CG120" s="25"/>
      <c r="CH120" s="25"/>
      <c r="CI120" s="25"/>
      <c r="CJ120" s="25"/>
      <c r="CK120" s="25"/>
    </row>
    <row r="121" spans="1:89" ht="34" customHeight="1" x14ac:dyDescent="0.2">
      <c r="A121" s="41"/>
      <c r="B121" s="28" t="str">
        <f>IFERROR(INDEX(People!$B$2:$B$199,MATCH(INDEX(Teams!$B$2:$B$9,MATCH(7,Teams!$D$2:$D$9,0))&amp;"#"&amp;5,People!$H$2:$H$199,0)),"")</f>
        <v/>
      </c>
      <c r="C121" s="20" t="str">
        <f>IF(TRIM($B121)="","",IFERROR(INDEX(People!$A$2:$A$199,MATCH(TRIM($B121),People!$B$2:$B$199,0)),"?? CHECK NAME"))</f>
        <v/>
      </c>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c r="BF121" s="25"/>
      <c r="BG121" s="25"/>
      <c r="BH121" s="25"/>
      <c r="BI121" s="25"/>
      <c r="BJ121" s="25"/>
      <c r="BK121" s="25"/>
      <c r="BL121" s="25"/>
      <c r="BM121" s="25"/>
      <c r="BN121" s="25"/>
      <c r="BO121" s="25"/>
      <c r="BP121" s="25"/>
      <c r="BQ121" s="25"/>
      <c r="BR121" s="25"/>
      <c r="BS121" s="25"/>
      <c r="BT121" s="25"/>
      <c r="BU121" s="25"/>
      <c r="BV121" s="25"/>
      <c r="BW121" s="25"/>
      <c r="BX121" s="25"/>
      <c r="BY121" s="25"/>
      <c r="BZ121" s="25"/>
      <c r="CA121" s="25"/>
      <c r="CB121" s="25"/>
      <c r="CC121" s="25"/>
      <c r="CD121" s="25"/>
      <c r="CE121" s="25"/>
      <c r="CF121" s="25"/>
      <c r="CG121" s="25"/>
      <c r="CH121" s="25"/>
      <c r="CI121" s="25"/>
      <c r="CJ121" s="25"/>
      <c r="CK121" s="25"/>
    </row>
    <row r="122" spans="1:89" ht="34" customHeight="1" x14ac:dyDescent="0.2">
      <c r="A122" s="42" t="str">
        <f>IFERROR("Show Order "&amp;8&amp;"  —  "&amp;INDEX(Teams!$B$2:$B$9,MATCH(8,Teams!$D$2:$D$9,0)),"Show Order "&amp;8&amp;"  —  (not drawn)")</f>
        <v>Show Order 8  —  (not drawn)</v>
      </c>
      <c r="B122" s="28" t="str">
        <f>IFERROR(INDEX(People!$B$2:$B$199,MATCH(INDEX(Teams!$B$2:$B$9,MATCH(8,Teams!$D$2:$D$9,0))&amp;"#"&amp;1,People!$H$2:$H$199,0)),"")</f>
        <v/>
      </c>
      <c r="C122" s="20" t="str">
        <f>IF(TRIM($B122)="","",IFERROR(INDEX(People!$A$2:$A$199,MATCH(TRIM($B122),People!$B$2:$B$199,0)),"?? CHECK NAME"))</f>
        <v/>
      </c>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25"/>
      <c r="BH122" s="25"/>
      <c r="BI122" s="25"/>
      <c r="BJ122" s="25"/>
      <c r="BK122" s="25"/>
      <c r="BL122" s="25"/>
      <c r="BM122" s="25"/>
      <c r="BN122" s="25"/>
      <c r="BO122" s="25"/>
      <c r="BP122" s="25"/>
      <c r="BQ122" s="25"/>
      <c r="BR122" s="25"/>
      <c r="BS122" s="25"/>
      <c r="BT122" s="25"/>
      <c r="BU122" s="25"/>
      <c r="BV122" s="25"/>
      <c r="BW122" s="25"/>
      <c r="BX122" s="25"/>
      <c r="BY122" s="25"/>
      <c r="BZ122" s="25"/>
      <c r="CA122" s="25"/>
      <c r="CB122" s="25"/>
      <c r="CC122" s="25"/>
      <c r="CD122" s="25"/>
      <c r="CE122" s="25"/>
      <c r="CF122" s="25"/>
      <c r="CG122" s="25"/>
      <c r="CH122" s="25"/>
      <c r="CI122" s="25"/>
      <c r="CJ122" s="25"/>
      <c r="CK122" s="25"/>
    </row>
    <row r="123" spans="1:89" ht="34" customHeight="1" x14ac:dyDescent="0.2">
      <c r="A123" s="40"/>
      <c r="B123" s="28" t="str">
        <f>IFERROR(INDEX(People!$B$2:$B$199,MATCH(INDEX(Teams!$B$2:$B$9,MATCH(8,Teams!$D$2:$D$9,0))&amp;"#"&amp;2,People!$H$2:$H$199,0)),"")</f>
        <v/>
      </c>
      <c r="C123" s="20" t="str">
        <f>IF(TRIM($B123)="","",IFERROR(INDEX(People!$A$2:$A$199,MATCH(TRIM($B123),People!$B$2:$B$199,0)),"?? CHECK NAME"))</f>
        <v/>
      </c>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5"/>
      <c r="BJ123" s="25"/>
      <c r="BK123" s="25"/>
      <c r="BL123" s="25"/>
      <c r="BM123" s="25"/>
      <c r="BN123" s="25"/>
      <c r="BO123" s="25"/>
      <c r="BP123" s="25"/>
      <c r="BQ123" s="25"/>
      <c r="BR123" s="25"/>
      <c r="BS123" s="25"/>
      <c r="BT123" s="25"/>
      <c r="BU123" s="25"/>
      <c r="BV123" s="25"/>
      <c r="BW123" s="25"/>
      <c r="BX123" s="25"/>
      <c r="BY123" s="25"/>
      <c r="BZ123" s="25"/>
      <c r="CA123" s="25"/>
      <c r="CB123" s="25"/>
      <c r="CC123" s="25"/>
      <c r="CD123" s="25"/>
      <c r="CE123" s="25"/>
      <c r="CF123" s="25"/>
      <c r="CG123" s="25"/>
      <c r="CH123" s="25"/>
      <c r="CI123" s="25"/>
      <c r="CJ123" s="25"/>
      <c r="CK123" s="25"/>
    </row>
    <row r="124" spans="1:89" ht="34" customHeight="1" x14ac:dyDescent="0.2">
      <c r="A124" s="40"/>
      <c r="B124" s="28" t="str">
        <f>IFERROR(INDEX(People!$B$2:$B$199,MATCH(INDEX(Teams!$B$2:$B$9,MATCH(8,Teams!$D$2:$D$9,0))&amp;"#"&amp;3,People!$H$2:$H$199,0)),"")</f>
        <v/>
      </c>
      <c r="C124" s="20" t="str">
        <f>IF(TRIM($B124)="","",IFERROR(INDEX(People!$A$2:$A$199,MATCH(TRIM($B124),People!$B$2:$B$199,0)),"?? CHECK NAME"))</f>
        <v/>
      </c>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c r="BQ124" s="25"/>
      <c r="BR124" s="25"/>
      <c r="BS124" s="25"/>
      <c r="BT124" s="25"/>
      <c r="BU124" s="25"/>
      <c r="BV124" s="25"/>
      <c r="BW124" s="25"/>
      <c r="BX124" s="25"/>
      <c r="BY124" s="25"/>
      <c r="BZ124" s="25"/>
      <c r="CA124" s="25"/>
      <c r="CB124" s="25"/>
      <c r="CC124" s="25"/>
      <c r="CD124" s="25"/>
      <c r="CE124" s="25"/>
      <c r="CF124" s="25"/>
      <c r="CG124" s="25"/>
      <c r="CH124" s="25"/>
      <c r="CI124" s="25"/>
      <c r="CJ124" s="25"/>
      <c r="CK124" s="25"/>
    </row>
    <row r="125" spans="1:89" ht="34" customHeight="1" x14ac:dyDescent="0.2">
      <c r="A125" s="40"/>
      <c r="B125" s="28" t="str">
        <f>IFERROR(INDEX(People!$B$2:$B$199,MATCH(INDEX(Teams!$B$2:$B$9,MATCH(8,Teams!$D$2:$D$9,0))&amp;"#"&amp;4,People!$H$2:$H$199,0)),"")</f>
        <v/>
      </c>
      <c r="C125" s="20" t="str">
        <f>IF(TRIM($B125)="","",IFERROR(INDEX(People!$A$2:$A$199,MATCH(TRIM($B125),People!$B$2:$B$199,0)),"?? CHECK NAME"))</f>
        <v/>
      </c>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25"/>
      <c r="BR125" s="25"/>
      <c r="BS125" s="25"/>
      <c r="BT125" s="25"/>
      <c r="BU125" s="25"/>
      <c r="BV125" s="25"/>
      <c r="BW125" s="25"/>
      <c r="BX125" s="25"/>
      <c r="BY125" s="25"/>
      <c r="BZ125" s="25"/>
      <c r="CA125" s="25"/>
      <c r="CB125" s="25"/>
      <c r="CC125" s="25"/>
      <c r="CD125" s="25"/>
      <c r="CE125" s="25"/>
      <c r="CF125" s="25"/>
      <c r="CG125" s="25"/>
      <c r="CH125" s="25"/>
      <c r="CI125" s="25"/>
      <c r="CJ125" s="25"/>
      <c r="CK125" s="25"/>
    </row>
    <row r="126" spans="1:89" ht="34" customHeight="1" x14ac:dyDescent="0.2">
      <c r="A126" s="41"/>
      <c r="B126" s="28" t="str">
        <f>IFERROR(INDEX(People!$B$2:$B$199,MATCH(INDEX(Teams!$B$2:$B$9,MATCH(8,Teams!$D$2:$D$9,0))&amp;"#"&amp;5,People!$H$2:$H$199,0)),"")</f>
        <v/>
      </c>
      <c r="C126" s="20" t="str">
        <f>IF(TRIM($B126)="","",IFERROR(INDEX(People!$A$2:$A$199,MATCH(TRIM($B126),People!$B$2:$B$199,0)),"?? CHECK NAME"))</f>
        <v/>
      </c>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25"/>
      <c r="BR126" s="25"/>
      <c r="BS126" s="25"/>
      <c r="BT126" s="25"/>
      <c r="BU126" s="25"/>
      <c r="BV126" s="25"/>
      <c r="BW126" s="25"/>
      <c r="BX126" s="25"/>
      <c r="BY126" s="25"/>
      <c r="BZ126" s="25"/>
      <c r="CA126" s="25"/>
      <c r="CB126" s="25"/>
      <c r="CC126" s="25"/>
      <c r="CD126" s="25"/>
      <c r="CE126" s="25"/>
      <c r="CF126" s="25"/>
      <c r="CG126" s="25"/>
      <c r="CH126" s="25"/>
      <c r="CI126" s="25"/>
      <c r="CJ126" s="25"/>
      <c r="CK126" s="25"/>
    </row>
    <row r="127" spans="1:89" ht="34" customHeight="1" x14ac:dyDescent="0.2">
      <c r="A127" s="39" t="s">
        <v>250</v>
      </c>
      <c r="B127" s="24"/>
      <c r="C127" s="20" t="str">
        <f>IF(TRIM($B127)="","",IFERROR(INDEX(People!$A$2:$A$199,MATCH(TRIM($B127),People!$B$2:$B$199,0)),IFERROR(INDEX(Teams!$A$2:$A$9,MATCH(TRIM($B127),Teams!$B$2:$B$9,0)),"?? CHECK NAME")))</f>
        <v/>
      </c>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5"/>
      <c r="BR127" s="25"/>
      <c r="BS127" s="25"/>
      <c r="BT127" s="25"/>
      <c r="BU127" s="25"/>
      <c r="BV127" s="25"/>
      <c r="BW127" s="25"/>
      <c r="BX127" s="25"/>
      <c r="BY127" s="25"/>
      <c r="BZ127" s="25"/>
      <c r="CA127" s="25"/>
      <c r="CB127" s="25"/>
      <c r="CC127" s="25"/>
      <c r="CD127" s="25"/>
      <c r="CE127" s="25"/>
      <c r="CF127" s="25"/>
      <c r="CG127" s="25"/>
      <c r="CH127" s="25"/>
      <c r="CI127" s="25"/>
      <c r="CJ127" s="25"/>
      <c r="CK127" s="25"/>
    </row>
    <row r="128" spans="1:89" ht="34" customHeight="1" x14ac:dyDescent="0.2">
      <c r="A128" s="40"/>
      <c r="B128" s="24"/>
      <c r="C128" s="20" t="str">
        <f>IF(TRIM($B128)="","",IFERROR(INDEX(People!$A$2:$A$199,MATCH(TRIM($B128),People!$B$2:$B$199,0)),IFERROR(INDEX(Teams!$A$2:$A$9,MATCH(TRIM($B128),Teams!$B$2:$B$9,0)),"?? CHECK NAME")))</f>
        <v/>
      </c>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c r="BQ128" s="25"/>
      <c r="BR128" s="25"/>
      <c r="BS128" s="25"/>
      <c r="BT128" s="25"/>
      <c r="BU128" s="25"/>
      <c r="BV128" s="25"/>
      <c r="BW128" s="25"/>
      <c r="BX128" s="25"/>
      <c r="BY128" s="25"/>
      <c r="BZ128" s="25"/>
      <c r="CA128" s="25"/>
      <c r="CB128" s="25"/>
      <c r="CC128" s="25"/>
      <c r="CD128" s="25"/>
      <c r="CE128" s="25"/>
      <c r="CF128" s="25"/>
      <c r="CG128" s="25"/>
      <c r="CH128" s="25"/>
      <c r="CI128" s="25"/>
      <c r="CJ128" s="25"/>
      <c r="CK128" s="25"/>
    </row>
    <row r="129" spans="1:89" ht="34" customHeight="1" x14ac:dyDescent="0.2">
      <c r="A129" s="40"/>
      <c r="B129" s="24"/>
      <c r="C129" s="20" t="str">
        <f>IF(TRIM($B129)="","",IFERROR(INDEX(People!$A$2:$A$199,MATCH(TRIM($B129),People!$B$2:$B$199,0)),IFERROR(INDEX(Teams!$A$2:$A$9,MATCH(TRIM($B129),Teams!$B$2:$B$9,0)),"?? CHECK NAME")))</f>
        <v/>
      </c>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25"/>
      <c r="BH129" s="25"/>
      <c r="BI129" s="25"/>
      <c r="BJ129" s="25"/>
      <c r="BK129" s="25"/>
      <c r="BL129" s="25"/>
      <c r="BM129" s="25"/>
      <c r="BN129" s="25"/>
      <c r="BO129" s="25"/>
      <c r="BP129" s="25"/>
      <c r="BQ129" s="25"/>
      <c r="BR129" s="25"/>
      <c r="BS129" s="25"/>
      <c r="BT129" s="25"/>
      <c r="BU129" s="25"/>
      <c r="BV129" s="25"/>
      <c r="BW129" s="25"/>
      <c r="BX129" s="25"/>
      <c r="BY129" s="25"/>
      <c r="BZ129" s="25"/>
      <c r="CA129" s="25"/>
      <c r="CB129" s="25"/>
      <c r="CC129" s="25"/>
      <c r="CD129" s="25"/>
      <c r="CE129" s="25"/>
      <c r="CF129" s="25"/>
      <c r="CG129" s="25"/>
      <c r="CH129" s="25"/>
      <c r="CI129" s="25"/>
      <c r="CJ129" s="25"/>
      <c r="CK129" s="25"/>
    </row>
    <row r="130" spans="1:89" ht="34" customHeight="1" x14ac:dyDescent="0.2">
      <c r="A130" s="40"/>
      <c r="B130" s="24"/>
      <c r="C130" s="20" t="str">
        <f>IF(TRIM($B130)="","",IFERROR(INDEX(People!$A$2:$A$199,MATCH(TRIM($B130),People!$B$2:$B$199,0)),IFERROR(INDEX(Teams!$A$2:$A$9,MATCH(TRIM($B130),Teams!$B$2:$B$9,0)),"?? CHECK NAME")))</f>
        <v/>
      </c>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c r="BG130" s="25"/>
      <c r="BH130" s="25"/>
      <c r="BI130" s="25"/>
      <c r="BJ130" s="25"/>
      <c r="BK130" s="25"/>
      <c r="BL130" s="25"/>
      <c r="BM130" s="25"/>
      <c r="BN130" s="25"/>
      <c r="BO130" s="25"/>
      <c r="BP130" s="25"/>
      <c r="BQ130" s="25"/>
      <c r="BR130" s="25"/>
      <c r="BS130" s="25"/>
      <c r="BT130" s="25"/>
      <c r="BU130" s="25"/>
      <c r="BV130" s="25"/>
      <c r="BW130" s="25"/>
      <c r="BX130" s="25"/>
      <c r="BY130" s="25"/>
      <c r="BZ130" s="25"/>
      <c r="CA130" s="25"/>
      <c r="CB130" s="25"/>
      <c r="CC130" s="25"/>
      <c r="CD130" s="25"/>
      <c r="CE130" s="25"/>
      <c r="CF130" s="25"/>
      <c r="CG130" s="25"/>
      <c r="CH130" s="25"/>
      <c r="CI130" s="25"/>
      <c r="CJ130" s="25"/>
      <c r="CK130" s="25"/>
    </row>
    <row r="131" spans="1:89" ht="34" customHeight="1" x14ac:dyDescent="0.2">
      <c r="A131" s="41"/>
      <c r="B131" s="24"/>
      <c r="C131" s="20" t="str">
        <f>IF(TRIM($B131)="","",IFERROR(INDEX(People!$A$2:$A$199,MATCH(TRIM($B131),People!$B$2:$B$199,0)),IFERROR(INDEX(Teams!$A$2:$A$9,MATCH(TRIM($B131),Teams!$B$2:$B$9,0)),"?? CHECK NAME")))</f>
        <v/>
      </c>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c r="BF131" s="25"/>
      <c r="BG131" s="25"/>
      <c r="BH131" s="25"/>
      <c r="BI131" s="25"/>
      <c r="BJ131" s="25"/>
      <c r="BK131" s="25"/>
      <c r="BL131" s="25"/>
      <c r="BM131" s="25"/>
      <c r="BN131" s="25"/>
      <c r="BO131" s="25"/>
      <c r="BP131" s="25"/>
      <c r="BQ131" s="25"/>
      <c r="BR131" s="25"/>
      <c r="BS131" s="25"/>
      <c r="BT131" s="25"/>
      <c r="BU131" s="25"/>
      <c r="BV131" s="25"/>
      <c r="BW131" s="25"/>
      <c r="BX131" s="25"/>
      <c r="BY131" s="25"/>
      <c r="BZ131" s="25"/>
      <c r="CA131" s="25"/>
      <c r="CB131" s="25"/>
      <c r="CC131" s="25"/>
      <c r="CD131" s="25"/>
      <c r="CE131" s="25"/>
      <c r="CF131" s="25"/>
      <c r="CG131" s="25"/>
      <c r="CH131" s="25"/>
      <c r="CI131" s="25"/>
      <c r="CJ131" s="25"/>
      <c r="CK131" s="25"/>
    </row>
  </sheetData>
  <mergeCells count="29">
    <mergeCell ref="A107:A111"/>
    <mergeCell ref="A54:A58"/>
    <mergeCell ref="A78:CK78"/>
    <mergeCell ref="A69:CK69"/>
    <mergeCell ref="CH1:CK1"/>
    <mergeCell ref="A87:A91"/>
    <mergeCell ref="D1:CG1"/>
    <mergeCell ref="A3:CK3"/>
    <mergeCell ref="A122:A126"/>
    <mergeCell ref="A29:A33"/>
    <mergeCell ref="A9:A13"/>
    <mergeCell ref="A81:A85"/>
    <mergeCell ref="A127:A131"/>
    <mergeCell ref="A112:A116"/>
    <mergeCell ref="A19:A23"/>
    <mergeCell ref="A64:A68"/>
    <mergeCell ref="A59:A63"/>
    <mergeCell ref="A102:A106"/>
    <mergeCell ref="A117:A121"/>
    <mergeCell ref="A49:A53"/>
    <mergeCell ref="A34:A38"/>
    <mergeCell ref="A92:A96"/>
    <mergeCell ref="A39:A43"/>
    <mergeCell ref="A24:A28"/>
    <mergeCell ref="A86:CK86"/>
    <mergeCell ref="A4:A8"/>
    <mergeCell ref="A14:A18"/>
    <mergeCell ref="A97:A101"/>
    <mergeCell ref="A44:A48"/>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W131"/>
  <sheetViews>
    <sheetView workbookViewId="0">
      <pane xSplit="3" ySplit="2" topLeftCell="D3" activePane="bottomRight" state="frozen"/>
      <selection pane="topRight"/>
      <selection pane="bottomLeft"/>
      <selection pane="bottomRight"/>
    </sheetView>
  </sheetViews>
  <sheetFormatPr baseColWidth="10" defaultColWidth="8.83203125" defaultRowHeight="15" x14ac:dyDescent="0.2"/>
  <cols>
    <col min="1" max="1" width="20" customWidth="1"/>
    <col min="2" max="2" width="22" customWidth="1"/>
    <col min="3" max="3" width="10" customWidth="1"/>
    <col min="4" max="75" width="5.5" customWidth="1"/>
  </cols>
  <sheetData>
    <row r="1" spans="1:75" x14ac:dyDescent="0.2">
      <c r="A1" s="12" t="s">
        <v>143</v>
      </c>
      <c r="B1" s="12" t="s">
        <v>229</v>
      </c>
      <c r="C1" s="12" t="s">
        <v>141</v>
      </c>
      <c r="D1" s="46">
        <f>Instructions!$C$14+2</f>
        <v>46243</v>
      </c>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c r="BM1" s="47"/>
      <c r="BN1" s="47"/>
      <c r="BO1" s="47"/>
      <c r="BP1" s="47"/>
      <c r="BQ1" s="47"/>
      <c r="BR1" s="47"/>
      <c r="BS1" s="47"/>
      <c r="BT1" s="47"/>
      <c r="BU1" s="47"/>
      <c r="BV1" s="47"/>
      <c r="BW1" s="47"/>
    </row>
    <row r="2" spans="1:75" ht="58" customHeight="1" x14ac:dyDescent="0.2">
      <c r="A2" s="22"/>
      <c r="B2" s="22"/>
      <c r="C2" s="22"/>
      <c r="D2" s="23">
        <v>0.125</v>
      </c>
      <c r="E2" s="23">
        <v>0.13541666666666671</v>
      </c>
      <c r="F2" s="23">
        <v>0.14583333333333329</v>
      </c>
      <c r="G2" s="23">
        <v>0.15625</v>
      </c>
      <c r="H2" s="23">
        <v>0.16666666666666671</v>
      </c>
      <c r="I2" s="23">
        <v>0.17708333333333329</v>
      </c>
      <c r="J2" s="23">
        <v>0.1875</v>
      </c>
      <c r="K2" s="23">
        <v>0.19791666666666671</v>
      </c>
      <c r="L2" s="23">
        <v>0.20833333333333329</v>
      </c>
      <c r="M2" s="23">
        <v>0.21875</v>
      </c>
      <c r="N2" s="23">
        <v>0.22916666666666671</v>
      </c>
      <c r="O2" s="23">
        <v>0.23958333333333329</v>
      </c>
      <c r="P2" s="23">
        <v>0.25</v>
      </c>
      <c r="Q2" s="23">
        <v>0.26041666666666669</v>
      </c>
      <c r="R2" s="23">
        <v>0.27083333333333331</v>
      </c>
      <c r="S2" s="23">
        <v>0.28125</v>
      </c>
      <c r="T2" s="23">
        <v>0.29166666666666669</v>
      </c>
      <c r="U2" s="23">
        <v>0.30208333333333331</v>
      </c>
      <c r="V2" s="23">
        <v>0.3125</v>
      </c>
      <c r="W2" s="23">
        <v>0.32291666666666669</v>
      </c>
      <c r="X2" s="23">
        <v>0.33333333333333331</v>
      </c>
      <c r="Y2" s="23">
        <v>0.34375</v>
      </c>
      <c r="Z2" s="23">
        <v>0.35416666666666669</v>
      </c>
      <c r="AA2" s="23">
        <v>0.36458333333333331</v>
      </c>
      <c r="AB2" s="23">
        <v>0.375</v>
      </c>
      <c r="AC2" s="23">
        <v>0.38541666666666669</v>
      </c>
      <c r="AD2" s="23">
        <v>0.39583333333333331</v>
      </c>
      <c r="AE2" s="23">
        <v>0.40625</v>
      </c>
      <c r="AF2" s="23">
        <v>0.41666666666666669</v>
      </c>
      <c r="AG2" s="23">
        <v>0.42708333333333331</v>
      </c>
      <c r="AH2" s="23">
        <v>0.4375</v>
      </c>
      <c r="AI2" s="23">
        <v>0.44791666666666669</v>
      </c>
      <c r="AJ2" s="23">
        <v>0.45833333333333331</v>
      </c>
      <c r="AK2" s="23">
        <v>0.46875</v>
      </c>
      <c r="AL2" s="23">
        <v>0.47916666666666669</v>
      </c>
      <c r="AM2" s="23">
        <v>0.48958333333333331</v>
      </c>
      <c r="AN2" s="23">
        <v>0.5</v>
      </c>
      <c r="AO2" s="23">
        <v>0.51041666666666663</v>
      </c>
      <c r="AP2" s="23">
        <v>0.52083333333333337</v>
      </c>
      <c r="AQ2" s="23">
        <v>0.53125</v>
      </c>
      <c r="AR2" s="23">
        <v>0.54166666666666663</v>
      </c>
      <c r="AS2" s="23">
        <v>0.55208333333333337</v>
      </c>
      <c r="AT2" s="23">
        <v>0.5625</v>
      </c>
      <c r="AU2" s="23">
        <v>0.57291666666666663</v>
      </c>
      <c r="AV2" s="23">
        <v>0.58333333333333337</v>
      </c>
      <c r="AW2" s="23">
        <v>0.59375</v>
      </c>
      <c r="AX2" s="23">
        <v>0.60416666666666663</v>
      </c>
      <c r="AY2" s="23">
        <v>0.61458333333333337</v>
      </c>
      <c r="AZ2" s="23">
        <v>0.625</v>
      </c>
      <c r="BA2" s="23">
        <v>0.63541666666666663</v>
      </c>
      <c r="BB2" s="23">
        <v>0.64583333333333337</v>
      </c>
      <c r="BC2" s="23">
        <v>0.65625</v>
      </c>
      <c r="BD2" s="23">
        <v>0.66666666666666663</v>
      </c>
      <c r="BE2" s="23">
        <v>0.67708333333333337</v>
      </c>
      <c r="BF2" s="23">
        <v>0.6875</v>
      </c>
      <c r="BG2" s="23">
        <v>0.69791666666666663</v>
      </c>
      <c r="BH2" s="23">
        <v>0.70833333333333337</v>
      </c>
      <c r="BI2" s="23">
        <v>0.71875</v>
      </c>
      <c r="BJ2" s="23">
        <v>0.72916666666666663</v>
      </c>
      <c r="BK2" s="23">
        <v>0.73958333333333337</v>
      </c>
      <c r="BL2" s="23">
        <v>0.75</v>
      </c>
      <c r="BM2" s="23">
        <v>0.76041666666666663</v>
      </c>
      <c r="BN2" s="23">
        <v>0.77083333333333337</v>
      </c>
      <c r="BO2" s="23">
        <v>0.78125</v>
      </c>
      <c r="BP2" s="23">
        <v>0.79166666666666663</v>
      </c>
      <c r="BQ2" s="23">
        <v>0.80208333333333337</v>
      </c>
      <c r="BR2" s="23">
        <v>0.8125</v>
      </c>
      <c r="BS2" s="23">
        <v>0.82291666666666663</v>
      </c>
      <c r="BT2" s="23">
        <v>0.83333333333333337</v>
      </c>
      <c r="BU2" s="23">
        <v>0.84375</v>
      </c>
      <c r="BV2" s="23">
        <v>0.85416666666666663</v>
      </c>
      <c r="BW2" s="23">
        <v>0.86458333333333337</v>
      </c>
    </row>
    <row r="3" spans="1:75" ht="18" customHeight="1" x14ac:dyDescent="0.2">
      <c r="A3" s="43" t="s">
        <v>78</v>
      </c>
      <c r="B3" s="44"/>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5"/>
    </row>
    <row r="4" spans="1:75" ht="34" customHeight="1" x14ac:dyDescent="0.2">
      <c r="A4" s="39" t="s">
        <v>151</v>
      </c>
      <c r="B4" s="24"/>
      <c r="C4" s="20" t="str">
        <f>IF(TRIM($B4)="","",IFERROR(INDEX(People!$A$2:$A$199,MATCH(TRIM($B4),People!$B$2:$B$199,0)),IFERROR(INDEX(Teams!$A$2:$A$9,MATCH(TRIM($B4),Teams!$B$2:$B$9,0)),"?? CHECK NAME")))</f>
        <v/>
      </c>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c r="BG4" s="25"/>
      <c r="BH4" s="25"/>
      <c r="BI4" s="25"/>
      <c r="BJ4" s="25"/>
      <c r="BK4" s="25"/>
      <c r="BL4" s="25"/>
      <c r="BM4" s="25"/>
      <c r="BN4" s="25"/>
      <c r="BO4" s="25"/>
      <c r="BP4" s="25"/>
      <c r="BQ4" s="25"/>
      <c r="BR4" s="25"/>
      <c r="BS4" s="25"/>
      <c r="BT4" s="25"/>
      <c r="BU4" s="25"/>
      <c r="BV4" s="25"/>
      <c r="BW4" s="25"/>
    </row>
    <row r="5" spans="1:75" ht="34" customHeight="1" x14ac:dyDescent="0.2">
      <c r="A5" s="40"/>
      <c r="B5" s="24"/>
      <c r="C5" s="20" t="str">
        <f>IF(TRIM($B5)="","",IFERROR(INDEX(People!$A$2:$A$199,MATCH(TRIM($B5),People!$B$2:$B$199,0)),IFERROR(INDEX(Teams!$A$2:$A$9,MATCH(TRIM($B5),Teams!$B$2:$B$9,0)),"?? CHECK NAME")))</f>
        <v/>
      </c>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c r="BT5" s="25"/>
      <c r="BU5" s="25"/>
      <c r="BV5" s="25"/>
      <c r="BW5" s="25"/>
    </row>
    <row r="6" spans="1:75" ht="34" customHeight="1" x14ac:dyDescent="0.2">
      <c r="A6" s="40"/>
      <c r="B6" s="24"/>
      <c r="C6" s="20" t="str">
        <f>IF(TRIM($B6)="","",IFERROR(INDEX(People!$A$2:$A$199,MATCH(TRIM($B6),People!$B$2:$B$199,0)),IFERROR(INDEX(Teams!$A$2:$A$9,MATCH(TRIM($B6),Teams!$B$2:$B$9,0)),"?? CHECK NAME")))</f>
        <v/>
      </c>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25"/>
      <c r="BL6" s="25"/>
      <c r="BM6" s="25"/>
      <c r="BN6" s="25"/>
      <c r="BO6" s="25"/>
      <c r="BP6" s="25"/>
      <c r="BQ6" s="25"/>
      <c r="BR6" s="25"/>
      <c r="BS6" s="25"/>
      <c r="BT6" s="25"/>
      <c r="BU6" s="25"/>
      <c r="BV6" s="25"/>
      <c r="BW6" s="25"/>
    </row>
    <row r="7" spans="1:75" ht="34" customHeight="1" x14ac:dyDescent="0.2">
      <c r="A7" s="40"/>
      <c r="B7" s="24"/>
      <c r="C7" s="20" t="str">
        <f>IF(TRIM($B7)="","",IFERROR(INDEX(People!$A$2:$A$199,MATCH(TRIM($B7),People!$B$2:$B$199,0)),IFERROR(INDEX(Teams!$A$2:$A$9,MATCH(TRIM($B7),Teams!$B$2:$B$9,0)),"?? CHECK NAME")))</f>
        <v/>
      </c>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row>
    <row r="8" spans="1:75" ht="34" customHeight="1" x14ac:dyDescent="0.2">
      <c r="A8" s="41"/>
      <c r="B8" s="24"/>
      <c r="C8" s="20" t="str">
        <f>IF(TRIM($B8)="","",IFERROR(INDEX(People!$A$2:$A$199,MATCH(TRIM($B8),People!$B$2:$B$199,0)),IFERROR(INDEX(Teams!$A$2:$A$9,MATCH(TRIM($B8),Teams!$B$2:$B$9,0)),"?? CHECK NAME")))</f>
        <v/>
      </c>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row>
    <row r="9" spans="1:75" ht="34" customHeight="1" x14ac:dyDescent="0.2">
      <c r="A9" s="39" t="s">
        <v>230</v>
      </c>
      <c r="B9" s="24"/>
      <c r="C9" s="20" t="str">
        <f>IF(TRIM($B9)="","",IFERROR(INDEX(People!$A$2:$A$199,MATCH(TRIM($B9),People!$B$2:$B$199,0)),IFERROR(INDEX(Teams!$A$2:$A$9,MATCH(TRIM($B9),Teams!$B$2:$B$9,0)),"?? CHECK NAME")))</f>
        <v/>
      </c>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row>
    <row r="10" spans="1:75" ht="34" customHeight="1" x14ac:dyDescent="0.2">
      <c r="A10" s="40"/>
      <c r="B10" s="24"/>
      <c r="C10" s="20" t="str">
        <f>IF(TRIM($B10)="","",IFERROR(INDEX(People!$A$2:$A$199,MATCH(TRIM($B10),People!$B$2:$B$199,0)),IFERROR(INDEX(Teams!$A$2:$A$9,MATCH(TRIM($B10),Teams!$B$2:$B$9,0)),"?? CHECK NAME")))</f>
        <v/>
      </c>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row>
    <row r="11" spans="1:75" ht="34" customHeight="1" x14ac:dyDescent="0.2">
      <c r="A11" s="40"/>
      <c r="B11" s="24"/>
      <c r="C11" s="20" t="str">
        <f>IF(TRIM($B11)="","",IFERROR(INDEX(People!$A$2:$A$199,MATCH(TRIM($B11),People!$B$2:$B$199,0)),IFERROR(INDEX(Teams!$A$2:$A$9,MATCH(TRIM($B11),Teams!$B$2:$B$9,0)),"?? CHECK NAME")))</f>
        <v/>
      </c>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row>
    <row r="12" spans="1:75" ht="34" customHeight="1" x14ac:dyDescent="0.2">
      <c r="A12" s="40"/>
      <c r="B12" s="24"/>
      <c r="C12" s="20" t="str">
        <f>IF(TRIM($B12)="","",IFERROR(INDEX(People!$A$2:$A$199,MATCH(TRIM($B12),People!$B$2:$B$199,0)),IFERROR(INDEX(Teams!$A$2:$A$9,MATCH(TRIM($B12),Teams!$B$2:$B$9,0)),"?? CHECK NAME")))</f>
        <v/>
      </c>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row>
    <row r="13" spans="1:75" ht="34" customHeight="1" x14ac:dyDescent="0.2">
      <c r="A13" s="41"/>
      <c r="B13" s="24"/>
      <c r="C13" s="20" t="str">
        <f>IF(TRIM($B13)="","",IFERROR(INDEX(People!$A$2:$A$199,MATCH(TRIM($B13),People!$B$2:$B$199,0)),IFERROR(INDEX(Teams!$A$2:$A$9,MATCH(TRIM($B13),Teams!$B$2:$B$9,0)),"?? CHECK NAME")))</f>
        <v/>
      </c>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row>
    <row r="14" spans="1:75" ht="34" customHeight="1" x14ac:dyDescent="0.2">
      <c r="A14" s="39" t="s">
        <v>231</v>
      </c>
      <c r="B14" s="24"/>
      <c r="C14" s="20" t="str">
        <f>IF(TRIM($B14)="","",IFERROR(INDEX(People!$A$2:$A$199,MATCH(TRIM($B14),People!$B$2:$B$199,0)),IFERROR(INDEX(Teams!$A$2:$A$9,MATCH(TRIM($B14),Teams!$B$2:$B$9,0)),"?? CHECK NAME")))</f>
        <v/>
      </c>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row>
    <row r="15" spans="1:75" ht="34" customHeight="1" x14ac:dyDescent="0.2">
      <c r="A15" s="40"/>
      <c r="B15" s="24"/>
      <c r="C15" s="20" t="str">
        <f>IF(TRIM($B15)="","",IFERROR(INDEX(People!$A$2:$A$199,MATCH(TRIM($B15),People!$B$2:$B$199,0)),IFERROR(INDEX(Teams!$A$2:$A$9,MATCH(TRIM($B15),Teams!$B$2:$B$9,0)),"?? CHECK NAME")))</f>
        <v/>
      </c>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row>
    <row r="16" spans="1:75" ht="34" customHeight="1" x14ac:dyDescent="0.2">
      <c r="A16" s="40"/>
      <c r="B16" s="24"/>
      <c r="C16" s="20" t="str">
        <f>IF(TRIM($B16)="","",IFERROR(INDEX(People!$A$2:$A$199,MATCH(TRIM($B16),People!$B$2:$B$199,0)),IFERROR(INDEX(Teams!$A$2:$A$9,MATCH(TRIM($B16),Teams!$B$2:$B$9,0)),"?? CHECK NAME")))</f>
        <v/>
      </c>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row>
    <row r="17" spans="1:75" ht="34" customHeight="1" x14ac:dyDescent="0.2">
      <c r="A17" s="40"/>
      <c r="B17" s="24"/>
      <c r="C17" s="20" t="str">
        <f>IF(TRIM($B17)="","",IFERROR(INDEX(People!$A$2:$A$199,MATCH(TRIM($B17),People!$B$2:$B$199,0)),IFERROR(INDEX(Teams!$A$2:$A$9,MATCH(TRIM($B17),Teams!$B$2:$B$9,0)),"?? CHECK NAME")))</f>
        <v/>
      </c>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row>
    <row r="18" spans="1:75" ht="34" customHeight="1" x14ac:dyDescent="0.2">
      <c r="A18" s="41"/>
      <c r="B18" s="24"/>
      <c r="C18" s="20" t="str">
        <f>IF(TRIM($B18)="","",IFERROR(INDEX(People!$A$2:$A$199,MATCH(TRIM($B18),People!$B$2:$B$199,0)),IFERROR(INDEX(Teams!$A$2:$A$9,MATCH(TRIM($B18),Teams!$B$2:$B$9,0)),"?? CHECK NAME")))</f>
        <v/>
      </c>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row>
    <row r="19" spans="1:75" ht="34" customHeight="1" x14ac:dyDescent="0.2">
      <c r="A19" s="39" t="s">
        <v>232</v>
      </c>
      <c r="B19" s="24"/>
      <c r="C19" s="20" t="str">
        <f>IF(TRIM($B19)="","",IFERROR(INDEX(People!$A$2:$A$199,MATCH(TRIM($B19),People!$B$2:$B$199,0)),IFERROR(INDEX(Teams!$A$2:$A$9,MATCH(TRIM($B19),Teams!$B$2:$B$9,0)),"?? CHECK NAME")))</f>
        <v/>
      </c>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row>
    <row r="20" spans="1:75" ht="34" customHeight="1" x14ac:dyDescent="0.2">
      <c r="A20" s="40"/>
      <c r="B20" s="24"/>
      <c r="C20" s="20" t="str">
        <f>IF(TRIM($B20)="","",IFERROR(INDEX(People!$A$2:$A$199,MATCH(TRIM($B20),People!$B$2:$B$199,0)),IFERROR(INDEX(Teams!$A$2:$A$9,MATCH(TRIM($B20),Teams!$B$2:$B$9,0)),"?? CHECK NAME")))</f>
        <v/>
      </c>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c r="BV20" s="25"/>
      <c r="BW20" s="25"/>
    </row>
    <row r="21" spans="1:75" ht="34" customHeight="1" x14ac:dyDescent="0.2">
      <c r="A21" s="40"/>
      <c r="B21" s="24"/>
      <c r="C21" s="20" t="str">
        <f>IF(TRIM($B21)="","",IFERROR(INDEX(People!$A$2:$A$199,MATCH(TRIM($B21),People!$B$2:$B$199,0)),IFERROR(INDEX(Teams!$A$2:$A$9,MATCH(TRIM($B21),Teams!$B$2:$B$9,0)),"?? CHECK NAME")))</f>
        <v/>
      </c>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row>
    <row r="22" spans="1:75" ht="34" customHeight="1" x14ac:dyDescent="0.2">
      <c r="A22" s="40"/>
      <c r="B22" s="24"/>
      <c r="C22" s="20" t="str">
        <f>IF(TRIM($B22)="","",IFERROR(INDEX(People!$A$2:$A$199,MATCH(TRIM($B22),People!$B$2:$B$199,0)),IFERROR(INDEX(Teams!$A$2:$A$9,MATCH(TRIM($B22),Teams!$B$2:$B$9,0)),"?? CHECK NAME")))</f>
        <v/>
      </c>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row>
    <row r="23" spans="1:75" ht="34" customHeight="1" x14ac:dyDescent="0.2">
      <c r="A23" s="41"/>
      <c r="B23" s="24"/>
      <c r="C23" s="20" t="str">
        <f>IF(TRIM($B23)="","",IFERROR(INDEX(People!$A$2:$A$199,MATCH(TRIM($B23),People!$B$2:$B$199,0)),IFERROR(INDEX(Teams!$A$2:$A$9,MATCH(TRIM($B23),Teams!$B$2:$B$9,0)),"?? CHECK NAME")))</f>
        <v/>
      </c>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row>
    <row r="24" spans="1:75" ht="34" customHeight="1" x14ac:dyDescent="0.2">
      <c r="A24" s="39" t="s">
        <v>233</v>
      </c>
      <c r="B24" s="24"/>
      <c r="C24" s="20" t="str">
        <f>IF(TRIM($B24)="","",IFERROR(INDEX(People!$A$2:$A$199,MATCH(TRIM($B24),People!$B$2:$B$199,0)),IFERROR(INDEX(Teams!$A$2:$A$9,MATCH(TRIM($B24),Teams!$B$2:$B$9,0)),"?? CHECK NAME")))</f>
        <v/>
      </c>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row>
    <row r="25" spans="1:75" ht="34" customHeight="1" x14ac:dyDescent="0.2">
      <c r="A25" s="40"/>
      <c r="B25" s="24"/>
      <c r="C25" s="20" t="str">
        <f>IF(TRIM($B25)="","",IFERROR(INDEX(People!$A$2:$A$199,MATCH(TRIM($B25),People!$B$2:$B$199,0)),IFERROR(INDEX(Teams!$A$2:$A$9,MATCH(TRIM($B25),Teams!$B$2:$B$9,0)),"?? CHECK NAME")))</f>
        <v/>
      </c>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row>
    <row r="26" spans="1:75" ht="34" customHeight="1" x14ac:dyDescent="0.2">
      <c r="A26" s="40"/>
      <c r="B26" s="24"/>
      <c r="C26" s="20" t="str">
        <f>IF(TRIM($B26)="","",IFERROR(INDEX(People!$A$2:$A$199,MATCH(TRIM($B26),People!$B$2:$B$199,0)),IFERROR(INDEX(Teams!$A$2:$A$9,MATCH(TRIM($B26),Teams!$B$2:$B$9,0)),"?? CHECK NAME")))</f>
        <v/>
      </c>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row>
    <row r="27" spans="1:75" ht="34" customHeight="1" x14ac:dyDescent="0.2">
      <c r="A27" s="40"/>
      <c r="B27" s="24"/>
      <c r="C27" s="20" t="str">
        <f>IF(TRIM($B27)="","",IFERROR(INDEX(People!$A$2:$A$199,MATCH(TRIM($B27),People!$B$2:$B$199,0)),IFERROR(INDEX(Teams!$A$2:$A$9,MATCH(TRIM($B27),Teams!$B$2:$B$9,0)),"?? CHECK NAME")))</f>
        <v/>
      </c>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row>
    <row r="28" spans="1:75" ht="34" customHeight="1" x14ac:dyDescent="0.2">
      <c r="A28" s="41"/>
      <c r="B28" s="24"/>
      <c r="C28" s="20" t="str">
        <f>IF(TRIM($B28)="","",IFERROR(INDEX(People!$A$2:$A$199,MATCH(TRIM($B28),People!$B$2:$B$199,0)),IFERROR(INDEX(Teams!$A$2:$A$9,MATCH(TRIM($B28),Teams!$B$2:$B$9,0)),"?? CHECK NAME")))</f>
        <v/>
      </c>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row>
    <row r="29" spans="1:75" ht="34" customHeight="1" x14ac:dyDescent="0.2">
      <c r="A29" s="39" t="s">
        <v>234</v>
      </c>
      <c r="B29" s="24"/>
      <c r="C29" s="20" t="str">
        <f>IF(TRIM($B29)="","",IFERROR(INDEX(People!$A$2:$A$199,MATCH(TRIM($B29),People!$B$2:$B$199,0)),IFERROR(INDEX(Teams!$A$2:$A$9,MATCH(TRIM($B29),Teams!$B$2:$B$9,0)),"?? CHECK NAME")))</f>
        <v/>
      </c>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row>
    <row r="30" spans="1:75" ht="34" customHeight="1" x14ac:dyDescent="0.2">
      <c r="A30" s="40"/>
      <c r="B30" s="24"/>
      <c r="C30" s="20" t="str">
        <f>IF(TRIM($B30)="","",IFERROR(INDEX(People!$A$2:$A$199,MATCH(TRIM($B30),People!$B$2:$B$199,0)),IFERROR(INDEX(Teams!$A$2:$A$9,MATCH(TRIM($B30),Teams!$B$2:$B$9,0)),"?? CHECK NAME")))</f>
        <v/>
      </c>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row>
    <row r="31" spans="1:75" ht="34" customHeight="1" x14ac:dyDescent="0.2">
      <c r="A31" s="40"/>
      <c r="B31" s="24"/>
      <c r="C31" s="20" t="str">
        <f>IF(TRIM($B31)="","",IFERROR(INDEX(People!$A$2:$A$199,MATCH(TRIM($B31),People!$B$2:$B$199,0)),IFERROR(INDEX(Teams!$A$2:$A$9,MATCH(TRIM($B31),Teams!$B$2:$B$9,0)),"?? CHECK NAME")))</f>
        <v/>
      </c>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row>
    <row r="32" spans="1:75" ht="34" customHeight="1" x14ac:dyDescent="0.2">
      <c r="A32" s="40"/>
      <c r="B32" s="24"/>
      <c r="C32" s="20" t="str">
        <f>IF(TRIM($B32)="","",IFERROR(INDEX(People!$A$2:$A$199,MATCH(TRIM($B32),People!$B$2:$B$199,0)),IFERROR(INDEX(Teams!$A$2:$A$9,MATCH(TRIM($B32),Teams!$B$2:$B$9,0)),"?? CHECK NAME")))</f>
        <v/>
      </c>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row>
    <row r="33" spans="1:75" ht="34" customHeight="1" x14ac:dyDescent="0.2">
      <c r="A33" s="41"/>
      <c r="B33" s="24"/>
      <c r="C33" s="20" t="str">
        <f>IF(TRIM($B33)="","",IFERROR(INDEX(People!$A$2:$A$199,MATCH(TRIM($B33),People!$B$2:$B$199,0)),IFERROR(INDEX(Teams!$A$2:$A$9,MATCH(TRIM($B33),Teams!$B$2:$B$9,0)),"?? CHECK NAME")))</f>
        <v/>
      </c>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row>
    <row r="34" spans="1:75" ht="34" customHeight="1" x14ac:dyDescent="0.2">
      <c r="A34" s="39" t="s">
        <v>235</v>
      </c>
      <c r="B34" s="24"/>
      <c r="C34" s="20" t="str">
        <f>IF(TRIM($B34)="","",IFERROR(INDEX(People!$A$2:$A$199,MATCH(TRIM($B34),People!$B$2:$B$199,0)),IFERROR(INDEX(Teams!$A$2:$A$9,MATCH(TRIM($B34),Teams!$B$2:$B$9,0)),"?? CHECK NAME")))</f>
        <v/>
      </c>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row>
    <row r="35" spans="1:75" ht="34" customHeight="1" x14ac:dyDescent="0.2">
      <c r="A35" s="40"/>
      <c r="B35" s="24"/>
      <c r="C35" s="20" t="str">
        <f>IF(TRIM($B35)="","",IFERROR(INDEX(People!$A$2:$A$199,MATCH(TRIM($B35),People!$B$2:$B$199,0)),IFERROR(INDEX(Teams!$A$2:$A$9,MATCH(TRIM($B35),Teams!$B$2:$B$9,0)),"?? CHECK NAME")))</f>
        <v/>
      </c>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row>
    <row r="36" spans="1:75" ht="34" customHeight="1" x14ac:dyDescent="0.2">
      <c r="A36" s="40"/>
      <c r="B36" s="24"/>
      <c r="C36" s="20" t="str">
        <f>IF(TRIM($B36)="","",IFERROR(INDEX(People!$A$2:$A$199,MATCH(TRIM($B36),People!$B$2:$B$199,0)),IFERROR(INDEX(Teams!$A$2:$A$9,MATCH(TRIM($B36),Teams!$B$2:$B$9,0)),"?? CHECK NAME")))</f>
        <v/>
      </c>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row>
    <row r="37" spans="1:75" ht="34" customHeight="1" x14ac:dyDescent="0.2">
      <c r="A37" s="40"/>
      <c r="B37" s="24"/>
      <c r="C37" s="20" t="str">
        <f>IF(TRIM($B37)="","",IFERROR(INDEX(People!$A$2:$A$199,MATCH(TRIM($B37),People!$B$2:$B$199,0)),IFERROR(INDEX(Teams!$A$2:$A$9,MATCH(TRIM($B37),Teams!$B$2:$B$9,0)),"?? CHECK NAME")))</f>
        <v/>
      </c>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25"/>
      <c r="BW37" s="25"/>
    </row>
    <row r="38" spans="1:75" ht="34" customHeight="1" x14ac:dyDescent="0.2">
      <c r="A38" s="41"/>
      <c r="B38" s="24"/>
      <c r="C38" s="20" t="str">
        <f>IF(TRIM($B38)="","",IFERROR(INDEX(People!$A$2:$A$199,MATCH(TRIM($B38),People!$B$2:$B$199,0)),IFERROR(INDEX(Teams!$A$2:$A$9,MATCH(TRIM($B38),Teams!$B$2:$B$9,0)),"?? CHECK NAME")))</f>
        <v/>
      </c>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row>
    <row r="39" spans="1:75" ht="34" customHeight="1" x14ac:dyDescent="0.2">
      <c r="A39" s="39" t="s">
        <v>236</v>
      </c>
      <c r="B39" s="24"/>
      <c r="C39" s="20" t="str">
        <f>IF(TRIM($B39)="","",IFERROR(INDEX(People!$A$2:$A$199,MATCH(TRIM($B39),People!$B$2:$B$199,0)),IFERROR(INDEX(Teams!$A$2:$A$9,MATCH(TRIM($B39),Teams!$B$2:$B$9,0)),"?? CHECK NAME")))</f>
        <v/>
      </c>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row>
    <row r="40" spans="1:75" ht="34" customHeight="1" x14ac:dyDescent="0.2">
      <c r="A40" s="40"/>
      <c r="B40" s="24"/>
      <c r="C40" s="20" t="str">
        <f>IF(TRIM($B40)="","",IFERROR(INDEX(People!$A$2:$A$199,MATCH(TRIM($B40),People!$B$2:$B$199,0)),IFERROR(INDEX(Teams!$A$2:$A$9,MATCH(TRIM($B40),Teams!$B$2:$B$9,0)),"?? CHECK NAME")))</f>
        <v/>
      </c>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25"/>
      <c r="BW40" s="25"/>
    </row>
    <row r="41" spans="1:75" ht="34" customHeight="1" x14ac:dyDescent="0.2">
      <c r="A41" s="40"/>
      <c r="B41" s="24"/>
      <c r="C41" s="20" t="str">
        <f>IF(TRIM($B41)="","",IFERROR(INDEX(People!$A$2:$A$199,MATCH(TRIM($B41),People!$B$2:$B$199,0)),IFERROR(INDEX(Teams!$A$2:$A$9,MATCH(TRIM($B41),Teams!$B$2:$B$9,0)),"?? CHECK NAME")))</f>
        <v/>
      </c>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row>
    <row r="42" spans="1:75" ht="34" customHeight="1" x14ac:dyDescent="0.2">
      <c r="A42" s="40"/>
      <c r="B42" s="24"/>
      <c r="C42" s="20" t="str">
        <f>IF(TRIM($B42)="","",IFERROR(INDEX(People!$A$2:$A$199,MATCH(TRIM($B42),People!$B$2:$B$199,0)),IFERROR(INDEX(Teams!$A$2:$A$9,MATCH(TRIM($B42),Teams!$B$2:$B$9,0)),"?? CHECK NAME")))</f>
        <v/>
      </c>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c r="BV42" s="25"/>
      <c r="BW42" s="25"/>
    </row>
    <row r="43" spans="1:75" ht="34" customHeight="1" x14ac:dyDescent="0.2">
      <c r="A43" s="41"/>
      <c r="B43" s="24"/>
      <c r="C43" s="20" t="str">
        <f>IF(TRIM($B43)="","",IFERROR(INDEX(People!$A$2:$A$199,MATCH(TRIM($B43),People!$B$2:$B$199,0)),IFERROR(INDEX(Teams!$A$2:$A$9,MATCH(TRIM($B43),Teams!$B$2:$B$9,0)),"?? CHECK NAME")))</f>
        <v/>
      </c>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row>
    <row r="44" spans="1:75" ht="34" customHeight="1" x14ac:dyDescent="0.2">
      <c r="A44" s="39" t="s">
        <v>178</v>
      </c>
      <c r="B44" s="24"/>
      <c r="C44" s="20" t="str">
        <f>IF(TRIM($B44)="","",IFERROR(INDEX(People!$A$2:$A$199,MATCH(TRIM($B44),People!$B$2:$B$199,0)),IFERROR(INDEX(Teams!$A$2:$A$9,MATCH(TRIM($B44),Teams!$B$2:$B$9,0)),"?? CHECK NAME")))</f>
        <v/>
      </c>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row>
    <row r="45" spans="1:75" ht="34" customHeight="1" x14ac:dyDescent="0.2">
      <c r="A45" s="40"/>
      <c r="B45" s="24"/>
      <c r="C45" s="20" t="str">
        <f>IF(TRIM($B45)="","",IFERROR(INDEX(People!$A$2:$A$199,MATCH(TRIM($B45),People!$B$2:$B$199,0)),IFERROR(INDEX(Teams!$A$2:$A$9,MATCH(TRIM($B45),Teams!$B$2:$B$9,0)),"?? CHECK NAME")))</f>
        <v/>
      </c>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row>
    <row r="46" spans="1:75" ht="34" customHeight="1" x14ac:dyDescent="0.2">
      <c r="A46" s="40"/>
      <c r="B46" s="24"/>
      <c r="C46" s="20" t="str">
        <f>IF(TRIM($B46)="","",IFERROR(INDEX(People!$A$2:$A$199,MATCH(TRIM($B46),People!$B$2:$B$199,0)),IFERROR(INDEX(Teams!$A$2:$A$9,MATCH(TRIM($B46),Teams!$B$2:$B$9,0)),"?? CHECK NAME")))</f>
        <v/>
      </c>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c r="BV46" s="25"/>
      <c r="BW46" s="25"/>
    </row>
    <row r="47" spans="1:75" ht="34" customHeight="1" x14ac:dyDescent="0.2">
      <c r="A47" s="40"/>
      <c r="B47" s="24"/>
      <c r="C47" s="20" t="str">
        <f>IF(TRIM($B47)="","",IFERROR(INDEX(People!$A$2:$A$199,MATCH(TRIM($B47),People!$B$2:$B$199,0)),IFERROR(INDEX(Teams!$A$2:$A$9,MATCH(TRIM($B47),Teams!$B$2:$B$9,0)),"?? CHECK NAME")))</f>
        <v/>
      </c>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c r="BT47" s="25"/>
      <c r="BU47" s="25"/>
      <c r="BV47" s="25"/>
      <c r="BW47" s="25"/>
    </row>
    <row r="48" spans="1:75" ht="34" customHeight="1" x14ac:dyDescent="0.2">
      <c r="A48" s="41"/>
      <c r="B48" s="24"/>
      <c r="C48" s="20" t="str">
        <f>IF(TRIM($B48)="","",IFERROR(INDEX(People!$A$2:$A$199,MATCH(TRIM($B48),People!$B$2:$B$199,0)),IFERROR(INDEX(Teams!$A$2:$A$9,MATCH(TRIM($B48),Teams!$B$2:$B$9,0)),"?? CHECK NAME")))</f>
        <v/>
      </c>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row>
    <row r="49" spans="1:75" ht="34" customHeight="1" x14ac:dyDescent="0.2">
      <c r="A49" s="39" t="s">
        <v>172</v>
      </c>
      <c r="B49" s="24"/>
      <c r="C49" s="20" t="str">
        <f>IF(TRIM($B49)="","",IFERROR(INDEX(People!$A$2:$A$199,MATCH(TRIM($B49),People!$B$2:$B$199,0)),IFERROR(INDEX(Teams!$A$2:$A$9,MATCH(TRIM($B49),Teams!$B$2:$B$9,0)),"?? CHECK NAME")))</f>
        <v/>
      </c>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c r="BV49" s="25"/>
      <c r="BW49" s="25"/>
    </row>
    <row r="50" spans="1:75" ht="34" customHeight="1" x14ac:dyDescent="0.2">
      <c r="A50" s="40"/>
      <c r="B50" s="24"/>
      <c r="C50" s="20" t="str">
        <f>IF(TRIM($B50)="","",IFERROR(INDEX(People!$A$2:$A$199,MATCH(TRIM($B50),People!$B$2:$B$199,0)),IFERROR(INDEX(Teams!$A$2:$A$9,MATCH(TRIM($B50),Teams!$B$2:$B$9,0)),"?? CHECK NAME")))</f>
        <v/>
      </c>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c r="BU50" s="25"/>
      <c r="BV50" s="25"/>
      <c r="BW50" s="25"/>
    </row>
    <row r="51" spans="1:75" ht="34" customHeight="1" x14ac:dyDescent="0.2">
      <c r="A51" s="40"/>
      <c r="B51" s="24"/>
      <c r="C51" s="20" t="str">
        <f>IF(TRIM($B51)="","",IFERROR(INDEX(People!$A$2:$A$199,MATCH(TRIM($B51),People!$B$2:$B$199,0)),IFERROR(INDEX(Teams!$A$2:$A$9,MATCH(TRIM($B51),Teams!$B$2:$B$9,0)),"?? CHECK NAME")))</f>
        <v/>
      </c>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row>
    <row r="52" spans="1:75" ht="34" customHeight="1" x14ac:dyDescent="0.2">
      <c r="A52" s="40"/>
      <c r="B52" s="24"/>
      <c r="C52" s="20" t="str">
        <f>IF(TRIM($B52)="","",IFERROR(INDEX(People!$A$2:$A$199,MATCH(TRIM($B52),People!$B$2:$B$199,0)),IFERROR(INDEX(Teams!$A$2:$A$9,MATCH(TRIM($B52),Teams!$B$2:$B$9,0)),"?? CHECK NAME")))</f>
        <v/>
      </c>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c r="BV52" s="25"/>
      <c r="BW52" s="25"/>
    </row>
    <row r="53" spans="1:75" ht="34" customHeight="1" x14ac:dyDescent="0.2">
      <c r="A53" s="41"/>
      <c r="B53" s="24"/>
      <c r="C53" s="20" t="str">
        <f>IF(TRIM($B53)="","",IFERROR(INDEX(People!$A$2:$A$199,MATCH(TRIM($B53),People!$B$2:$B$199,0)),IFERROR(INDEX(Teams!$A$2:$A$9,MATCH(TRIM($B53),Teams!$B$2:$B$9,0)),"?? CHECK NAME")))</f>
        <v/>
      </c>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row>
    <row r="54" spans="1:75" ht="34" customHeight="1" x14ac:dyDescent="0.2">
      <c r="A54" s="39" t="s">
        <v>237</v>
      </c>
      <c r="B54" s="24"/>
      <c r="C54" s="20" t="str">
        <f>IF(TRIM($B54)="","",IFERROR(INDEX(People!$A$2:$A$199,MATCH(TRIM($B54),People!$B$2:$B$199,0)),IFERROR(INDEX(Teams!$A$2:$A$9,MATCH(TRIM($B54),Teams!$B$2:$B$9,0)),"?? CHECK NAME")))</f>
        <v/>
      </c>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c r="BU54" s="25"/>
      <c r="BV54" s="25"/>
      <c r="BW54" s="25"/>
    </row>
    <row r="55" spans="1:75" ht="34" customHeight="1" x14ac:dyDescent="0.2">
      <c r="A55" s="40"/>
      <c r="B55" s="24"/>
      <c r="C55" s="20" t="str">
        <f>IF(TRIM($B55)="","",IFERROR(INDEX(People!$A$2:$A$199,MATCH(TRIM($B55),People!$B$2:$B$199,0)),IFERROR(INDEX(Teams!$A$2:$A$9,MATCH(TRIM($B55),Teams!$B$2:$B$9,0)),"?? CHECK NAME")))</f>
        <v/>
      </c>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c r="BM55" s="25"/>
      <c r="BN55" s="25"/>
      <c r="BO55" s="25"/>
      <c r="BP55" s="25"/>
      <c r="BQ55" s="25"/>
      <c r="BR55" s="25"/>
      <c r="BS55" s="25"/>
      <c r="BT55" s="25"/>
      <c r="BU55" s="25"/>
      <c r="BV55" s="25"/>
      <c r="BW55" s="25"/>
    </row>
    <row r="56" spans="1:75" ht="34" customHeight="1" x14ac:dyDescent="0.2">
      <c r="A56" s="40"/>
      <c r="B56" s="24"/>
      <c r="C56" s="20" t="str">
        <f>IF(TRIM($B56)="","",IFERROR(INDEX(People!$A$2:$A$199,MATCH(TRIM($B56),People!$B$2:$B$199,0)),IFERROR(INDEX(Teams!$A$2:$A$9,MATCH(TRIM($B56),Teams!$B$2:$B$9,0)),"?? CHECK NAME")))</f>
        <v/>
      </c>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c r="BQ56" s="25"/>
      <c r="BR56" s="25"/>
      <c r="BS56" s="25"/>
      <c r="BT56" s="25"/>
      <c r="BU56" s="25"/>
      <c r="BV56" s="25"/>
      <c r="BW56" s="25"/>
    </row>
    <row r="57" spans="1:75" ht="34" customHeight="1" x14ac:dyDescent="0.2">
      <c r="A57" s="40"/>
      <c r="B57" s="24"/>
      <c r="C57" s="20" t="str">
        <f>IF(TRIM($B57)="","",IFERROR(INDEX(People!$A$2:$A$199,MATCH(TRIM($B57),People!$B$2:$B$199,0)),IFERROR(INDEX(Teams!$A$2:$A$9,MATCH(TRIM($B57),Teams!$B$2:$B$9,0)),"?? CHECK NAME")))</f>
        <v/>
      </c>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25"/>
      <c r="BR57" s="25"/>
      <c r="BS57" s="25"/>
      <c r="BT57" s="25"/>
      <c r="BU57" s="25"/>
      <c r="BV57" s="25"/>
      <c r="BW57" s="25"/>
    </row>
    <row r="58" spans="1:75" ht="34" customHeight="1" x14ac:dyDescent="0.2">
      <c r="A58" s="41"/>
      <c r="B58" s="24"/>
      <c r="C58" s="20" t="str">
        <f>IF(TRIM($B58)="","",IFERROR(INDEX(People!$A$2:$A$199,MATCH(TRIM($B58),People!$B$2:$B$199,0)),IFERROR(INDEX(Teams!$A$2:$A$9,MATCH(TRIM($B58),Teams!$B$2:$B$9,0)),"?? CHECK NAME")))</f>
        <v/>
      </c>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25"/>
      <c r="BR58" s="25"/>
      <c r="BS58" s="25"/>
      <c r="BT58" s="25"/>
      <c r="BU58" s="25"/>
      <c r="BV58" s="25"/>
      <c r="BW58" s="25"/>
    </row>
    <row r="59" spans="1:75" ht="34" customHeight="1" x14ac:dyDescent="0.2">
      <c r="A59" s="39" t="s">
        <v>238</v>
      </c>
      <c r="B59" s="24"/>
      <c r="C59" s="20" t="str">
        <f>IF(TRIM($B59)="","",IFERROR(INDEX(People!$A$2:$A$199,MATCH(TRIM($B59),People!$B$2:$B$199,0)),IFERROR(INDEX(Teams!$A$2:$A$9,MATCH(TRIM($B59),Teams!$B$2:$B$9,0)),"?? CHECK NAME")))</f>
        <v/>
      </c>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25"/>
      <c r="BR59" s="25"/>
      <c r="BS59" s="25"/>
      <c r="BT59" s="25"/>
      <c r="BU59" s="25"/>
      <c r="BV59" s="25"/>
      <c r="BW59" s="25"/>
    </row>
    <row r="60" spans="1:75" ht="34" customHeight="1" x14ac:dyDescent="0.2">
      <c r="A60" s="40"/>
      <c r="B60" s="24"/>
      <c r="C60" s="20" t="str">
        <f>IF(TRIM($B60)="","",IFERROR(INDEX(People!$A$2:$A$199,MATCH(TRIM($B60),People!$B$2:$B$199,0)),IFERROR(INDEX(Teams!$A$2:$A$9,MATCH(TRIM($B60),Teams!$B$2:$B$9,0)),"?? CHECK NAME")))</f>
        <v/>
      </c>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c r="BL60" s="25"/>
      <c r="BM60" s="25"/>
      <c r="BN60" s="25"/>
      <c r="BO60" s="25"/>
      <c r="BP60" s="25"/>
      <c r="BQ60" s="25"/>
      <c r="BR60" s="25"/>
      <c r="BS60" s="25"/>
      <c r="BT60" s="25"/>
      <c r="BU60" s="25"/>
      <c r="BV60" s="25"/>
      <c r="BW60" s="25"/>
    </row>
    <row r="61" spans="1:75" ht="34" customHeight="1" x14ac:dyDescent="0.2">
      <c r="A61" s="40"/>
      <c r="B61" s="24"/>
      <c r="C61" s="20" t="str">
        <f>IF(TRIM($B61)="","",IFERROR(INDEX(People!$A$2:$A$199,MATCH(TRIM($B61),People!$B$2:$B$199,0)),IFERROR(INDEX(Teams!$A$2:$A$9,MATCH(TRIM($B61),Teams!$B$2:$B$9,0)),"?? CHECK NAME")))</f>
        <v/>
      </c>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c r="BJ61" s="25"/>
      <c r="BK61" s="25"/>
      <c r="BL61" s="25"/>
      <c r="BM61" s="25"/>
      <c r="BN61" s="25"/>
      <c r="BO61" s="25"/>
      <c r="BP61" s="25"/>
      <c r="BQ61" s="25"/>
      <c r="BR61" s="25"/>
      <c r="BS61" s="25"/>
      <c r="BT61" s="25"/>
      <c r="BU61" s="25"/>
      <c r="BV61" s="25"/>
      <c r="BW61" s="25"/>
    </row>
    <row r="62" spans="1:75" ht="34" customHeight="1" x14ac:dyDescent="0.2">
      <c r="A62" s="40"/>
      <c r="B62" s="24"/>
      <c r="C62" s="20" t="str">
        <f>IF(TRIM($B62)="","",IFERROR(INDEX(People!$A$2:$A$199,MATCH(TRIM($B62),People!$B$2:$B$199,0)),IFERROR(INDEX(Teams!$A$2:$A$9,MATCH(TRIM($B62),Teams!$B$2:$B$9,0)),"?? CHECK NAME")))</f>
        <v/>
      </c>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25"/>
      <c r="BR62" s="25"/>
      <c r="BS62" s="25"/>
      <c r="BT62" s="25"/>
      <c r="BU62" s="25"/>
      <c r="BV62" s="25"/>
      <c r="BW62" s="25"/>
    </row>
    <row r="63" spans="1:75" ht="34" customHeight="1" x14ac:dyDescent="0.2">
      <c r="A63" s="41"/>
      <c r="B63" s="24"/>
      <c r="C63" s="20" t="str">
        <f>IF(TRIM($B63)="","",IFERROR(INDEX(People!$A$2:$A$199,MATCH(TRIM($B63),People!$B$2:$B$199,0)),IFERROR(INDEX(Teams!$A$2:$A$9,MATCH(TRIM($B63),Teams!$B$2:$B$9,0)),"?? CHECK NAME")))</f>
        <v/>
      </c>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c r="BL63" s="25"/>
      <c r="BM63" s="25"/>
      <c r="BN63" s="25"/>
      <c r="BO63" s="25"/>
      <c r="BP63" s="25"/>
      <c r="BQ63" s="25"/>
      <c r="BR63" s="25"/>
      <c r="BS63" s="25"/>
      <c r="BT63" s="25"/>
      <c r="BU63" s="25"/>
      <c r="BV63" s="25"/>
      <c r="BW63" s="25"/>
    </row>
    <row r="64" spans="1:75" ht="34" customHeight="1" x14ac:dyDescent="0.2">
      <c r="A64" s="39" t="s">
        <v>239</v>
      </c>
      <c r="B64" s="24"/>
      <c r="C64" s="20" t="str">
        <f>IF(TRIM($B64)="","",IFERROR(INDEX(People!$A$2:$A$199,MATCH(TRIM($B64),People!$B$2:$B$199,0)),IFERROR(INDEX(Teams!$A$2:$A$9,MATCH(TRIM($B64),Teams!$B$2:$B$9,0)),"?? CHECK NAME")))</f>
        <v/>
      </c>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c r="BD64" s="25"/>
      <c r="BE64" s="25"/>
      <c r="BF64" s="25"/>
      <c r="BG64" s="25"/>
      <c r="BH64" s="25"/>
      <c r="BI64" s="25"/>
      <c r="BJ64" s="25"/>
      <c r="BK64" s="25"/>
      <c r="BL64" s="25"/>
      <c r="BM64" s="25"/>
      <c r="BN64" s="25"/>
      <c r="BO64" s="25"/>
      <c r="BP64" s="25"/>
      <c r="BQ64" s="25"/>
      <c r="BR64" s="25"/>
      <c r="BS64" s="25"/>
      <c r="BT64" s="25"/>
      <c r="BU64" s="25"/>
      <c r="BV64" s="25"/>
      <c r="BW64" s="25"/>
    </row>
    <row r="65" spans="1:75" ht="34" customHeight="1" x14ac:dyDescent="0.2">
      <c r="A65" s="40"/>
      <c r="B65" s="24"/>
      <c r="C65" s="20" t="str">
        <f>IF(TRIM($B65)="","",IFERROR(INDEX(People!$A$2:$A$199,MATCH(TRIM($B65),People!$B$2:$B$199,0)),IFERROR(INDEX(Teams!$A$2:$A$9,MATCH(TRIM($B65),Teams!$B$2:$B$9,0)),"?? CHECK NAME")))</f>
        <v/>
      </c>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5"/>
      <c r="BQ65" s="25"/>
      <c r="BR65" s="25"/>
      <c r="BS65" s="25"/>
      <c r="BT65" s="25"/>
      <c r="BU65" s="25"/>
      <c r="BV65" s="25"/>
      <c r="BW65" s="25"/>
    </row>
    <row r="66" spans="1:75" ht="34" customHeight="1" x14ac:dyDescent="0.2">
      <c r="A66" s="40"/>
      <c r="B66" s="24"/>
      <c r="C66" s="20" t="str">
        <f>IF(TRIM($B66)="","",IFERROR(INDEX(People!$A$2:$A$199,MATCH(TRIM($B66),People!$B$2:$B$199,0)),IFERROR(INDEX(Teams!$A$2:$A$9,MATCH(TRIM($B66),Teams!$B$2:$B$9,0)),"?? CHECK NAME")))</f>
        <v/>
      </c>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c r="BN66" s="25"/>
      <c r="BO66" s="25"/>
      <c r="BP66" s="25"/>
      <c r="BQ66" s="25"/>
      <c r="BR66" s="25"/>
      <c r="BS66" s="25"/>
      <c r="BT66" s="25"/>
      <c r="BU66" s="25"/>
      <c r="BV66" s="25"/>
      <c r="BW66" s="25"/>
    </row>
    <row r="67" spans="1:75" ht="34" customHeight="1" x14ac:dyDescent="0.2">
      <c r="A67" s="40"/>
      <c r="B67" s="24"/>
      <c r="C67" s="20" t="str">
        <f>IF(TRIM($B67)="","",IFERROR(INDEX(People!$A$2:$A$199,MATCH(TRIM($B67),People!$B$2:$B$199,0)),IFERROR(INDEX(Teams!$A$2:$A$9,MATCH(TRIM($B67),Teams!$B$2:$B$9,0)),"?? CHECK NAME")))</f>
        <v/>
      </c>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c r="BM67" s="25"/>
      <c r="BN67" s="25"/>
      <c r="BO67" s="25"/>
      <c r="BP67" s="25"/>
      <c r="BQ67" s="25"/>
      <c r="BR67" s="25"/>
      <c r="BS67" s="25"/>
      <c r="BT67" s="25"/>
      <c r="BU67" s="25"/>
      <c r="BV67" s="25"/>
      <c r="BW67" s="25"/>
    </row>
    <row r="68" spans="1:75" ht="34" customHeight="1" x14ac:dyDescent="0.2">
      <c r="A68" s="41"/>
      <c r="B68" s="24"/>
      <c r="C68" s="20" t="str">
        <f>IF(TRIM($B68)="","",IFERROR(INDEX(People!$A$2:$A$199,MATCH(TRIM($B68),People!$B$2:$B$199,0)),IFERROR(INDEX(Teams!$A$2:$A$9,MATCH(TRIM($B68),Teams!$B$2:$B$9,0)),"?? CHECK NAME")))</f>
        <v/>
      </c>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c r="BL68" s="25"/>
      <c r="BM68" s="25"/>
      <c r="BN68" s="25"/>
      <c r="BO68" s="25"/>
      <c r="BP68" s="25"/>
      <c r="BQ68" s="25"/>
      <c r="BR68" s="25"/>
      <c r="BS68" s="25"/>
      <c r="BT68" s="25"/>
      <c r="BU68" s="25"/>
      <c r="BV68" s="25"/>
      <c r="BW68" s="25"/>
    </row>
    <row r="69" spans="1:75" ht="18" customHeight="1" x14ac:dyDescent="0.2">
      <c r="A69" s="43" t="s">
        <v>240</v>
      </c>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5"/>
    </row>
    <row r="70" spans="1:75" ht="34" customHeight="1" x14ac:dyDescent="0.2">
      <c r="A70" s="10" t="s">
        <v>144</v>
      </c>
      <c r="B70" s="26" t="s">
        <v>158</v>
      </c>
      <c r="C70" s="20" t="str">
        <f>IF(TRIM($B70)="","",IFERROR(INDEX(People!$A$2:$A$199,MATCH(TRIM($B70),People!$B$2:$B$199,0)),IFERROR(INDEX(Teams!$A$2:$A$9,MATCH(TRIM($B70),Teams!$B$2:$B$9,0)),"?? CHECK NAME")))</f>
        <v>TM-UNC</v>
      </c>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c r="BQ70" s="27"/>
      <c r="BR70" s="27"/>
      <c r="BS70" s="27"/>
      <c r="BT70" s="27"/>
      <c r="BU70" s="27"/>
      <c r="BV70" s="27"/>
      <c r="BW70" s="27"/>
    </row>
    <row r="71" spans="1:75" ht="34" customHeight="1" x14ac:dyDescent="0.2">
      <c r="A71" s="10" t="s">
        <v>144</v>
      </c>
      <c r="B71" s="26" t="s">
        <v>193</v>
      </c>
      <c r="C71" s="20" t="str">
        <f>IF(TRIM($B71)="","",IFERROR(INDEX(People!$A$2:$A$199,MATCH(TRIM($B71),People!$B$2:$B$199,0)),IFERROR(INDEX(Teams!$A$2:$A$9,MATCH(TRIM($B71),Teams!$B$2:$B$9,0)),"?? CHECK NAME")))</f>
        <v>TM-ILL</v>
      </c>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c r="BQ71" s="27"/>
      <c r="BR71" s="27"/>
      <c r="BS71" s="27"/>
      <c r="BT71" s="27"/>
      <c r="BU71" s="27"/>
      <c r="BV71" s="27"/>
      <c r="BW71" s="27"/>
    </row>
    <row r="72" spans="1:75" ht="34" customHeight="1" x14ac:dyDescent="0.2">
      <c r="A72" s="10" t="s">
        <v>144</v>
      </c>
      <c r="B72" s="26" t="s">
        <v>196</v>
      </c>
      <c r="C72" s="20" t="str">
        <f>IF(TRIM($B72)="","",IFERROR(INDEX(People!$A$2:$A$199,MATCH(TRIM($B72),People!$B$2:$B$199,0)),IFERROR(INDEX(Teams!$A$2:$A$9,MATCH(TRIM($B72),Teams!$B$2:$B$9,0)),"?? CHECK NAME")))</f>
        <v>TM-UTD</v>
      </c>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c r="BP72" s="27"/>
      <c r="BQ72" s="27"/>
      <c r="BR72" s="27"/>
      <c r="BS72" s="27"/>
      <c r="BT72" s="27"/>
      <c r="BU72" s="27"/>
      <c r="BV72" s="27"/>
      <c r="BW72" s="27"/>
    </row>
    <row r="73" spans="1:75" ht="34" customHeight="1" x14ac:dyDescent="0.2">
      <c r="A73" s="10" t="s">
        <v>144</v>
      </c>
      <c r="B73" s="26" t="s">
        <v>199</v>
      </c>
      <c r="C73" s="20" t="str">
        <f>IF(TRIM($B73)="","",IFERROR(INDEX(People!$A$2:$A$199,MATCH(TRIM($B73),People!$B$2:$B$199,0)),IFERROR(INDEX(Teams!$A$2:$A$9,MATCH(TRIM($B73),Teams!$B$2:$B$9,0)),"?? CHECK NAME")))</f>
        <v>TM-UVA</v>
      </c>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c r="BO73" s="27"/>
      <c r="BP73" s="27"/>
      <c r="BQ73" s="27"/>
      <c r="BR73" s="27"/>
      <c r="BS73" s="27"/>
      <c r="BT73" s="27"/>
      <c r="BU73" s="27"/>
      <c r="BV73" s="27"/>
      <c r="BW73" s="27"/>
    </row>
    <row r="74" spans="1:75" ht="34" customHeight="1" x14ac:dyDescent="0.2">
      <c r="A74" s="10" t="s">
        <v>144</v>
      </c>
      <c r="B74" s="26" t="s">
        <v>202</v>
      </c>
      <c r="C74" s="20" t="str">
        <f>IF(TRIM($B74)="","",IFERROR(INDEX(People!$A$2:$A$199,MATCH(TRIM($B74),People!$B$2:$B$199,0)),IFERROR(INDEX(Teams!$A$2:$A$9,MATCH(TRIM($B74),Teams!$B$2:$B$9,0)),"?? CHECK NAME")))</f>
        <v>TM-UMD</v>
      </c>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c r="BQ74" s="27"/>
      <c r="BR74" s="27"/>
      <c r="BS74" s="27"/>
      <c r="BT74" s="27"/>
      <c r="BU74" s="27"/>
      <c r="BV74" s="27"/>
      <c r="BW74" s="27"/>
    </row>
    <row r="75" spans="1:75" ht="34" customHeight="1" x14ac:dyDescent="0.2">
      <c r="A75" s="10" t="s">
        <v>144</v>
      </c>
      <c r="B75" s="26" t="s">
        <v>205</v>
      </c>
      <c r="C75" s="20" t="str">
        <f>IF(TRIM($B75)="","",IFERROR(INDEX(People!$A$2:$A$199,MATCH(TRIM($B75),People!$B$2:$B$199,0)),IFERROR(INDEX(Teams!$A$2:$A$9,MATCH(TRIM($B75),Teams!$B$2:$B$9,0)),"?? CHECK NAME")))</f>
        <v>TM-UMI</v>
      </c>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c r="BO75" s="27"/>
      <c r="BP75" s="27"/>
      <c r="BQ75" s="27"/>
      <c r="BR75" s="27"/>
      <c r="BS75" s="27"/>
      <c r="BT75" s="27"/>
      <c r="BU75" s="27"/>
      <c r="BV75" s="27"/>
      <c r="BW75" s="27"/>
    </row>
    <row r="76" spans="1:75" ht="34" customHeight="1" x14ac:dyDescent="0.2">
      <c r="A76" s="10" t="s">
        <v>144</v>
      </c>
      <c r="B76" s="26" t="s">
        <v>208</v>
      </c>
      <c r="C76" s="20" t="str">
        <f>IF(TRIM($B76)="","",IFERROR(INDEX(People!$A$2:$A$199,MATCH(TRIM($B76),People!$B$2:$B$199,0)),IFERROR(INDEX(Teams!$A$2:$A$9,MATCH(TRIM($B76),Teams!$B$2:$B$9,0)),"?? CHECK NAME")))</f>
        <v>TM-MSU</v>
      </c>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c r="BO76" s="27"/>
      <c r="BP76" s="27"/>
      <c r="BQ76" s="27"/>
      <c r="BR76" s="27"/>
      <c r="BS76" s="27"/>
      <c r="BT76" s="27"/>
      <c r="BU76" s="27"/>
      <c r="BV76" s="27"/>
      <c r="BW76" s="27"/>
    </row>
    <row r="77" spans="1:75" ht="34" customHeight="1" x14ac:dyDescent="0.2">
      <c r="A77" s="10" t="s">
        <v>144</v>
      </c>
      <c r="B77" s="26" t="s">
        <v>211</v>
      </c>
      <c r="C77" s="20" t="str">
        <f>IF(TRIM($B77)="","",IFERROR(INDEX(People!$A$2:$A$199,MATCH(TRIM($B77),People!$B$2:$B$199,0)),IFERROR(INDEX(Teams!$A$2:$A$9,MATCH(TRIM($B77),Teams!$B$2:$B$9,0)),"?? CHECK NAME")))</f>
        <v>TM-GT</v>
      </c>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c r="BO77" s="27"/>
      <c r="BP77" s="27"/>
      <c r="BQ77" s="27"/>
      <c r="BR77" s="27"/>
      <c r="BS77" s="27"/>
      <c r="BT77" s="27"/>
      <c r="BU77" s="27"/>
      <c r="BV77" s="27"/>
      <c r="BW77" s="27"/>
    </row>
    <row r="78" spans="1:75" ht="18" customHeight="1" x14ac:dyDescent="0.2">
      <c r="A78" s="43" t="s">
        <v>241</v>
      </c>
      <c r="B78" s="44"/>
      <c r="C78" s="44"/>
      <c r="D78" s="44"/>
      <c r="E78" s="44"/>
      <c r="F78" s="44"/>
      <c r="G78" s="44"/>
      <c r="H78" s="44"/>
      <c r="I78" s="44"/>
      <c r="J78" s="44"/>
      <c r="K78" s="44"/>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5"/>
    </row>
    <row r="79" spans="1:75" ht="34" customHeight="1" x14ac:dyDescent="0.2">
      <c r="A79" s="10" t="s">
        <v>242</v>
      </c>
      <c r="B79" s="11" t="s">
        <v>243</v>
      </c>
      <c r="C79" s="20" t="s">
        <v>244</v>
      </c>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c r="AV79" s="27"/>
      <c r="AW79" s="27"/>
      <c r="AX79" s="27"/>
      <c r="AY79" s="27"/>
      <c r="AZ79" s="27"/>
      <c r="BA79" s="27"/>
      <c r="BB79" s="27"/>
      <c r="BC79" s="27"/>
      <c r="BD79" s="27"/>
      <c r="BE79" s="27"/>
      <c r="BF79" s="27"/>
      <c r="BG79" s="27"/>
      <c r="BH79" s="27"/>
      <c r="BI79" s="27"/>
      <c r="BJ79" s="27"/>
      <c r="BK79" s="27"/>
      <c r="BL79" s="27"/>
      <c r="BM79" s="27"/>
      <c r="BN79" s="27"/>
      <c r="BO79" s="27"/>
      <c r="BP79" s="27"/>
      <c r="BQ79" s="27"/>
      <c r="BR79" s="27"/>
      <c r="BS79" s="27"/>
      <c r="BT79" s="27"/>
      <c r="BU79" s="27"/>
      <c r="BV79" s="27"/>
      <c r="BW79" s="27"/>
    </row>
    <row r="80" spans="1:75" ht="34" customHeight="1" x14ac:dyDescent="0.2">
      <c r="A80" s="10" t="s">
        <v>245</v>
      </c>
      <c r="B80" s="11" t="s">
        <v>246</v>
      </c>
      <c r="C80" s="20" t="s">
        <v>247</v>
      </c>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7"/>
      <c r="BO80" s="27"/>
      <c r="BP80" s="27"/>
      <c r="BQ80" s="27"/>
      <c r="BR80" s="27"/>
      <c r="BS80" s="27"/>
      <c r="BT80" s="27"/>
      <c r="BU80" s="27"/>
      <c r="BV80" s="27"/>
      <c r="BW80" s="27"/>
    </row>
    <row r="81" spans="1:75" ht="34" customHeight="1" x14ac:dyDescent="0.2">
      <c r="A81" s="39" t="s">
        <v>248</v>
      </c>
      <c r="B81" s="24"/>
      <c r="C81" s="20" t="str">
        <f>IF(TRIM($B81)="","",IFERROR(INDEX(People!$A$2:$A$199,MATCH(TRIM($B81),People!$B$2:$B$199,0)),IFERROR(INDEX(Teams!$A$2:$A$9,MATCH(TRIM($B81),Teams!$B$2:$B$9,0)),"?? CHECK NAME")))</f>
        <v/>
      </c>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c r="BN81" s="25"/>
      <c r="BO81" s="25"/>
      <c r="BP81" s="25"/>
      <c r="BQ81" s="25"/>
      <c r="BR81" s="25"/>
      <c r="BS81" s="25"/>
      <c r="BT81" s="25"/>
      <c r="BU81" s="25"/>
      <c r="BV81" s="25"/>
      <c r="BW81" s="25"/>
    </row>
    <row r="82" spans="1:75" ht="34" customHeight="1" x14ac:dyDescent="0.2">
      <c r="A82" s="40"/>
      <c r="B82" s="24"/>
      <c r="C82" s="20" t="str">
        <f>IF(TRIM($B82)="","",IFERROR(INDEX(People!$A$2:$A$199,MATCH(TRIM($B82),People!$B$2:$B$199,0)),IFERROR(INDEX(Teams!$A$2:$A$9,MATCH(TRIM($B82),Teams!$B$2:$B$9,0)),"?? CHECK NAME")))</f>
        <v/>
      </c>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c r="BN82" s="25"/>
      <c r="BO82" s="25"/>
      <c r="BP82" s="25"/>
      <c r="BQ82" s="25"/>
      <c r="BR82" s="25"/>
      <c r="BS82" s="25"/>
      <c r="BT82" s="25"/>
      <c r="BU82" s="25"/>
      <c r="BV82" s="25"/>
      <c r="BW82" s="25"/>
    </row>
    <row r="83" spans="1:75" ht="34" customHeight="1" x14ac:dyDescent="0.2">
      <c r="A83" s="40"/>
      <c r="B83" s="24"/>
      <c r="C83" s="20" t="str">
        <f>IF(TRIM($B83)="","",IFERROR(INDEX(People!$A$2:$A$199,MATCH(TRIM($B83),People!$B$2:$B$199,0)),IFERROR(INDEX(Teams!$A$2:$A$9,MATCH(TRIM($B83),Teams!$B$2:$B$9,0)),"?? CHECK NAME")))</f>
        <v/>
      </c>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c r="BL83" s="25"/>
      <c r="BM83" s="25"/>
      <c r="BN83" s="25"/>
      <c r="BO83" s="25"/>
      <c r="BP83" s="25"/>
      <c r="BQ83" s="25"/>
      <c r="BR83" s="25"/>
      <c r="BS83" s="25"/>
      <c r="BT83" s="25"/>
      <c r="BU83" s="25"/>
      <c r="BV83" s="25"/>
      <c r="BW83" s="25"/>
    </row>
    <row r="84" spans="1:75" ht="34" customHeight="1" x14ac:dyDescent="0.2">
      <c r="A84" s="40"/>
      <c r="B84" s="24"/>
      <c r="C84" s="20" t="str">
        <f>IF(TRIM($B84)="","",IFERROR(INDEX(People!$A$2:$A$199,MATCH(TRIM($B84),People!$B$2:$B$199,0)),IFERROR(INDEX(Teams!$A$2:$A$9,MATCH(TRIM($B84),Teams!$B$2:$B$9,0)),"?? CHECK NAME")))</f>
        <v/>
      </c>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c r="BL84" s="25"/>
      <c r="BM84" s="25"/>
      <c r="BN84" s="25"/>
      <c r="BO84" s="25"/>
      <c r="BP84" s="25"/>
      <c r="BQ84" s="25"/>
      <c r="BR84" s="25"/>
      <c r="BS84" s="25"/>
      <c r="BT84" s="25"/>
      <c r="BU84" s="25"/>
      <c r="BV84" s="25"/>
      <c r="BW84" s="25"/>
    </row>
    <row r="85" spans="1:75" ht="34" customHeight="1" x14ac:dyDescent="0.2">
      <c r="A85" s="41"/>
      <c r="B85" s="24"/>
      <c r="C85" s="20" t="str">
        <f>IF(TRIM($B85)="","",IFERROR(INDEX(People!$A$2:$A$199,MATCH(TRIM($B85),People!$B$2:$B$199,0)),IFERROR(INDEX(Teams!$A$2:$A$9,MATCH(TRIM($B85),Teams!$B$2:$B$9,0)),"?? CHECK NAME")))</f>
        <v/>
      </c>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c r="BK85" s="25"/>
      <c r="BL85" s="25"/>
      <c r="BM85" s="25"/>
      <c r="BN85" s="25"/>
      <c r="BO85" s="25"/>
      <c r="BP85" s="25"/>
      <c r="BQ85" s="25"/>
      <c r="BR85" s="25"/>
      <c r="BS85" s="25"/>
      <c r="BT85" s="25"/>
      <c r="BU85" s="25"/>
      <c r="BV85" s="25"/>
      <c r="BW85" s="25"/>
    </row>
    <row r="86" spans="1:75" ht="18" customHeight="1" x14ac:dyDescent="0.2">
      <c r="A86" s="43" t="s">
        <v>249</v>
      </c>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5"/>
    </row>
    <row r="87" spans="1:75" ht="34" customHeight="1" x14ac:dyDescent="0.2">
      <c r="A87" s="42" t="s">
        <v>158</v>
      </c>
      <c r="B87" s="28" t="str">
        <f>IFERROR(INDEX(People!$B$2:$B$199,MATCH($A$87&amp;"#"&amp;1,People!$H$2:$H$199,0)),"")</f>
        <v>Example Liaison One</v>
      </c>
      <c r="C87" s="20" t="str">
        <f>IF(TRIM($B87)="","",IFERROR(INDEX(People!$A$2:$A$199,MATCH(TRIM($B87),People!$B$2:$B$199,0)),"?? CHECK NAME"))</f>
        <v>LIA-01</v>
      </c>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c r="BN87" s="25"/>
      <c r="BO87" s="25"/>
      <c r="BP87" s="25"/>
      <c r="BQ87" s="25"/>
      <c r="BR87" s="25"/>
      <c r="BS87" s="25"/>
      <c r="BT87" s="25"/>
      <c r="BU87" s="25"/>
      <c r="BV87" s="25"/>
      <c r="BW87" s="25"/>
    </row>
    <row r="88" spans="1:75" ht="34" customHeight="1" x14ac:dyDescent="0.2">
      <c r="A88" s="40"/>
      <c r="B88" s="28" t="str">
        <f>IFERROR(INDEX(People!$B$2:$B$199,MATCH($A$87&amp;"#"&amp;2,People!$H$2:$H$199,0)),"")</f>
        <v>Example Liaison Two</v>
      </c>
      <c r="C88" s="20" t="str">
        <f>IF(TRIM($B88)="","",IFERROR(INDEX(People!$A$2:$A$199,MATCH(TRIM($B88),People!$B$2:$B$199,0)),"?? CHECK NAME"))</f>
        <v>LIA-02</v>
      </c>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c r="BN88" s="25"/>
      <c r="BO88" s="25"/>
      <c r="BP88" s="25"/>
      <c r="BQ88" s="25"/>
      <c r="BR88" s="25"/>
      <c r="BS88" s="25"/>
      <c r="BT88" s="25"/>
      <c r="BU88" s="25"/>
      <c r="BV88" s="25"/>
      <c r="BW88" s="25"/>
    </row>
    <row r="89" spans="1:75" ht="34" customHeight="1" x14ac:dyDescent="0.2">
      <c r="A89" s="40"/>
      <c r="B89" s="28" t="str">
        <f>IFERROR(INDEX(People!$B$2:$B$199,MATCH($A$87&amp;"#"&amp;3,People!$H$2:$H$199,0)),"")</f>
        <v>Example Liaison Three</v>
      </c>
      <c r="C89" s="20" t="str">
        <f>IF(TRIM($B89)="","",IFERROR(INDEX(People!$A$2:$A$199,MATCH(TRIM($B89),People!$B$2:$B$199,0)),"?? CHECK NAME"))</f>
        <v>LIA-03</v>
      </c>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c r="BL89" s="25"/>
      <c r="BM89" s="25"/>
      <c r="BN89" s="25"/>
      <c r="BO89" s="25"/>
      <c r="BP89" s="25"/>
      <c r="BQ89" s="25"/>
      <c r="BR89" s="25"/>
      <c r="BS89" s="25"/>
      <c r="BT89" s="25"/>
      <c r="BU89" s="25"/>
      <c r="BV89" s="25"/>
      <c r="BW89" s="25"/>
    </row>
    <row r="90" spans="1:75" ht="34" customHeight="1" x14ac:dyDescent="0.2">
      <c r="A90" s="40"/>
      <c r="B90" s="28" t="str">
        <f>IFERROR(INDEX(People!$B$2:$B$199,MATCH($A$87&amp;"#"&amp;4,People!$H$2:$H$199,0)),"")</f>
        <v/>
      </c>
      <c r="C90" s="20" t="str">
        <f>IF(TRIM($B90)="","",IFERROR(INDEX(People!$A$2:$A$199,MATCH(TRIM($B90),People!$B$2:$B$199,0)),"?? CHECK NAME"))</f>
        <v/>
      </c>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5"/>
      <c r="BK90" s="25"/>
      <c r="BL90" s="25"/>
      <c r="BM90" s="25"/>
      <c r="BN90" s="25"/>
      <c r="BO90" s="25"/>
      <c r="BP90" s="25"/>
      <c r="BQ90" s="25"/>
      <c r="BR90" s="25"/>
      <c r="BS90" s="25"/>
      <c r="BT90" s="25"/>
      <c r="BU90" s="25"/>
      <c r="BV90" s="25"/>
      <c r="BW90" s="25"/>
    </row>
    <row r="91" spans="1:75" ht="34" customHeight="1" x14ac:dyDescent="0.2">
      <c r="A91" s="41"/>
      <c r="B91" s="28" t="str">
        <f>IFERROR(INDEX(People!$B$2:$B$199,MATCH($A$87&amp;"#"&amp;5,People!$H$2:$H$199,0)),"")</f>
        <v/>
      </c>
      <c r="C91" s="20" t="str">
        <f>IF(TRIM($B91)="","",IFERROR(INDEX(People!$A$2:$A$199,MATCH(TRIM($B91),People!$B$2:$B$199,0)),"?? CHECK NAME"))</f>
        <v/>
      </c>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5"/>
      <c r="BP91" s="25"/>
      <c r="BQ91" s="25"/>
      <c r="BR91" s="25"/>
      <c r="BS91" s="25"/>
      <c r="BT91" s="25"/>
      <c r="BU91" s="25"/>
      <c r="BV91" s="25"/>
      <c r="BW91" s="25"/>
    </row>
    <row r="92" spans="1:75" ht="34" customHeight="1" x14ac:dyDescent="0.2">
      <c r="A92" s="42" t="s">
        <v>193</v>
      </c>
      <c r="B92" s="28" t="str">
        <f>IFERROR(INDEX(People!$B$2:$B$199,MATCH($A$92&amp;"#"&amp;1,People!$H$2:$H$199,0)),"")</f>
        <v/>
      </c>
      <c r="C92" s="20" t="str">
        <f>IF(TRIM($B92)="","",IFERROR(INDEX(People!$A$2:$A$199,MATCH(TRIM($B92),People!$B$2:$B$199,0)),"?? CHECK NAME"))</f>
        <v/>
      </c>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c r="BN92" s="25"/>
      <c r="BO92" s="25"/>
      <c r="BP92" s="25"/>
      <c r="BQ92" s="25"/>
      <c r="BR92" s="25"/>
      <c r="BS92" s="25"/>
      <c r="BT92" s="25"/>
      <c r="BU92" s="25"/>
      <c r="BV92" s="25"/>
      <c r="BW92" s="25"/>
    </row>
    <row r="93" spans="1:75" ht="34" customHeight="1" x14ac:dyDescent="0.2">
      <c r="A93" s="40"/>
      <c r="B93" s="28" t="str">
        <f>IFERROR(INDEX(People!$B$2:$B$199,MATCH($A$92&amp;"#"&amp;2,People!$H$2:$H$199,0)),"")</f>
        <v/>
      </c>
      <c r="C93" s="20" t="str">
        <f>IF(TRIM($B93)="","",IFERROR(INDEX(People!$A$2:$A$199,MATCH(TRIM($B93),People!$B$2:$B$199,0)),"?? CHECK NAME"))</f>
        <v/>
      </c>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c r="BK93" s="25"/>
      <c r="BL93" s="25"/>
      <c r="BM93" s="25"/>
      <c r="BN93" s="25"/>
      <c r="BO93" s="25"/>
      <c r="BP93" s="25"/>
      <c r="BQ93" s="25"/>
      <c r="BR93" s="25"/>
      <c r="BS93" s="25"/>
      <c r="BT93" s="25"/>
      <c r="BU93" s="25"/>
      <c r="BV93" s="25"/>
      <c r="BW93" s="25"/>
    </row>
    <row r="94" spans="1:75" ht="34" customHeight="1" x14ac:dyDescent="0.2">
      <c r="A94" s="40"/>
      <c r="B94" s="28" t="str">
        <f>IFERROR(INDEX(People!$B$2:$B$199,MATCH($A$92&amp;"#"&amp;3,People!$H$2:$H$199,0)),"")</f>
        <v/>
      </c>
      <c r="C94" s="20" t="str">
        <f>IF(TRIM($B94)="","",IFERROR(INDEX(People!$A$2:$A$199,MATCH(TRIM($B94),People!$B$2:$B$199,0)),"?? CHECK NAME"))</f>
        <v/>
      </c>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c r="BK94" s="25"/>
      <c r="BL94" s="25"/>
      <c r="BM94" s="25"/>
      <c r="BN94" s="25"/>
      <c r="BO94" s="25"/>
      <c r="BP94" s="25"/>
      <c r="BQ94" s="25"/>
      <c r="BR94" s="25"/>
      <c r="BS94" s="25"/>
      <c r="BT94" s="25"/>
      <c r="BU94" s="25"/>
      <c r="BV94" s="25"/>
      <c r="BW94" s="25"/>
    </row>
    <row r="95" spans="1:75" ht="34" customHeight="1" x14ac:dyDescent="0.2">
      <c r="A95" s="40"/>
      <c r="B95" s="28" t="str">
        <f>IFERROR(INDEX(People!$B$2:$B$199,MATCH($A$92&amp;"#"&amp;4,People!$H$2:$H$199,0)),"")</f>
        <v/>
      </c>
      <c r="C95" s="20" t="str">
        <f>IF(TRIM($B95)="","",IFERROR(INDEX(People!$A$2:$A$199,MATCH(TRIM($B95),People!$B$2:$B$199,0)),"?? CHECK NAME"))</f>
        <v/>
      </c>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c r="BK95" s="25"/>
      <c r="BL95" s="25"/>
      <c r="BM95" s="25"/>
      <c r="BN95" s="25"/>
      <c r="BO95" s="25"/>
      <c r="BP95" s="25"/>
      <c r="BQ95" s="25"/>
      <c r="BR95" s="25"/>
      <c r="BS95" s="25"/>
      <c r="BT95" s="25"/>
      <c r="BU95" s="25"/>
      <c r="BV95" s="25"/>
      <c r="BW95" s="25"/>
    </row>
    <row r="96" spans="1:75" ht="34" customHeight="1" x14ac:dyDescent="0.2">
      <c r="A96" s="41"/>
      <c r="B96" s="28" t="str">
        <f>IFERROR(INDEX(People!$B$2:$B$199,MATCH($A$92&amp;"#"&amp;5,People!$H$2:$H$199,0)),"")</f>
        <v/>
      </c>
      <c r="C96" s="20" t="str">
        <f>IF(TRIM($B96)="","",IFERROR(INDEX(People!$A$2:$A$199,MATCH(TRIM($B96),People!$B$2:$B$199,0)),"?? CHECK NAME"))</f>
        <v/>
      </c>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c r="BK96" s="25"/>
      <c r="BL96" s="25"/>
      <c r="BM96" s="25"/>
      <c r="BN96" s="25"/>
      <c r="BO96" s="25"/>
      <c r="BP96" s="25"/>
      <c r="BQ96" s="25"/>
      <c r="BR96" s="25"/>
      <c r="BS96" s="25"/>
      <c r="BT96" s="25"/>
      <c r="BU96" s="25"/>
      <c r="BV96" s="25"/>
      <c r="BW96" s="25"/>
    </row>
    <row r="97" spans="1:75" ht="34" customHeight="1" x14ac:dyDescent="0.2">
      <c r="A97" s="42" t="s">
        <v>196</v>
      </c>
      <c r="B97" s="28" t="str">
        <f>IFERROR(INDEX(People!$B$2:$B$199,MATCH($A$97&amp;"#"&amp;1,People!$H$2:$H$199,0)),"")</f>
        <v/>
      </c>
      <c r="C97" s="20" t="str">
        <f>IF(TRIM($B97)="","",IFERROR(INDEX(People!$A$2:$A$199,MATCH(TRIM($B97),People!$B$2:$B$199,0)),"?? CHECK NAME"))</f>
        <v/>
      </c>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c r="BM97" s="25"/>
      <c r="BN97" s="25"/>
      <c r="BO97" s="25"/>
      <c r="BP97" s="25"/>
      <c r="BQ97" s="25"/>
      <c r="BR97" s="25"/>
      <c r="BS97" s="25"/>
      <c r="BT97" s="25"/>
      <c r="BU97" s="25"/>
      <c r="BV97" s="25"/>
      <c r="BW97" s="25"/>
    </row>
    <row r="98" spans="1:75" ht="34" customHeight="1" x14ac:dyDescent="0.2">
      <c r="A98" s="40"/>
      <c r="B98" s="28" t="str">
        <f>IFERROR(INDEX(People!$B$2:$B$199,MATCH($A$97&amp;"#"&amp;2,People!$H$2:$H$199,0)),"")</f>
        <v/>
      </c>
      <c r="C98" s="20" t="str">
        <f>IF(TRIM($B98)="","",IFERROR(INDEX(People!$A$2:$A$199,MATCH(TRIM($B98),People!$B$2:$B$199,0)),"?? CHECK NAME"))</f>
        <v/>
      </c>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c r="BN98" s="25"/>
      <c r="BO98" s="25"/>
      <c r="BP98" s="25"/>
      <c r="BQ98" s="25"/>
      <c r="BR98" s="25"/>
      <c r="BS98" s="25"/>
      <c r="BT98" s="25"/>
      <c r="BU98" s="25"/>
      <c r="BV98" s="25"/>
      <c r="BW98" s="25"/>
    </row>
    <row r="99" spans="1:75" ht="34" customHeight="1" x14ac:dyDescent="0.2">
      <c r="A99" s="40"/>
      <c r="B99" s="28" t="str">
        <f>IFERROR(INDEX(People!$B$2:$B$199,MATCH($A$97&amp;"#"&amp;3,People!$H$2:$H$199,0)),"")</f>
        <v/>
      </c>
      <c r="C99" s="20" t="str">
        <f>IF(TRIM($B99)="","",IFERROR(INDEX(People!$A$2:$A$199,MATCH(TRIM($B99),People!$B$2:$B$199,0)),"?? CHECK NAME"))</f>
        <v/>
      </c>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c r="BN99" s="25"/>
      <c r="BO99" s="25"/>
      <c r="BP99" s="25"/>
      <c r="BQ99" s="25"/>
      <c r="BR99" s="25"/>
      <c r="BS99" s="25"/>
      <c r="BT99" s="25"/>
      <c r="BU99" s="25"/>
      <c r="BV99" s="25"/>
      <c r="BW99" s="25"/>
    </row>
    <row r="100" spans="1:75" ht="34" customHeight="1" x14ac:dyDescent="0.2">
      <c r="A100" s="40"/>
      <c r="B100" s="28" t="str">
        <f>IFERROR(INDEX(People!$B$2:$B$199,MATCH($A$97&amp;"#"&amp;4,People!$H$2:$H$199,0)),"")</f>
        <v/>
      </c>
      <c r="C100" s="20" t="str">
        <f>IF(TRIM($B100)="","",IFERROR(INDEX(People!$A$2:$A$199,MATCH(TRIM($B100),People!$B$2:$B$199,0)),"?? CHECK NAME"))</f>
        <v/>
      </c>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c r="BL100" s="25"/>
      <c r="BM100" s="25"/>
      <c r="BN100" s="25"/>
      <c r="BO100" s="25"/>
      <c r="BP100" s="25"/>
      <c r="BQ100" s="25"/>
      <c r="BR100" s="25"/>
      <c r="BS100" s="25"/>
      <c r="BT100" s="25"/>
      <c r="BU100" s="25"/>
      <c r="BV100" s="25"/>
      <c r="BW100" s="25"/>
    </row>
    <row r="101" spans="1:75" ht="34" customHeight="1" x14ac:dyDescent="0.2">
      <c r="A101" s="41"/>
      <c r="B101" s="28" t="str">
        <f>IFERROR(INDEX(People!$B$2:$B$199,MATCH($A$97&amp;"#"&amp;5,People!$H$2:$H$199,0)),"")</f>
        <v/>
      </c>
      <c r="C101" s="20" t="str">
        <f>IF(TRIM($B101)="","",IFERROR(INDEX(People!$A$2:$A$199,MATCH(TRIM($B101),People!$B$2:$B$199,0)),"?? CHECK NAME"))</f>
        <v/>
      </c>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25"/>
      <c r="BR101" s="25"/>
      <c r="BS101" s="25"/>
      <c r="BT101" s="25"/>
      <c r="BU101" s="25"/>
      <c r="BV101" s="25"/>
      <c r="BW101" s="25"/>
    </row>
    <row r="102" spans="1:75" ht="34" customHeight="1" x14ac:dyDescent="0.2">
      <c r="A102" s="42" t="s">
        <v>199</v>
      </c>
      <c r="B102" s="28" t="str">
        <f>IFERROR(INDEX(People!$B$2:$B$199,MATCH($A$102&amp;"#"&amp;1,People!$H$2:$H$199,0)),"")</f>
        <v/>
      </c>
      <c r="C102" s="20" t="str">
        <f>IF(TRIM($B102)="","",IFERROR(INDEX(People!$A$2:$A$199,MATCH(TRIM($B102),People!$B$2:$B$199,0)),"?? CHECK NAME"))</f>
        <v/>
      </c>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c r="BL102" s="25"/>
      <c r="BM102" s="25"/>
      <c r="BN102" s="25"/>
      <c r="BO102" s="25"/>
      <c r="BP102" s="25"/>
      <c r="BQ102" s="25"/>
      <c r="BR102" s="25"/>
      <c r="BS102" s="25"/>
      <c r="BT102" s="25"/>
      <c r="BU102" s="25"/>
      <c r="BV102" s="25"/>
      <c r="BW102" s="25"/>
    </row>
    <row r="103" spans="1:75" ht="34" customHeight="1" x14ac:dyDescent="0.2">
      <c r="A103" s="40"/>
      <c r="B103" s="28" t="str">
        <f>IFERROR(INDEX(People!$B$2:$B$199,MATCH($A$102&amp;"#"&amp;2,People!$H$2:$H$199,0)),"")</f>
        <v/>
      </c>
      <c r="C103" s="20" t="str">
        <f>IF(TRIM($B103)="","",IFERROR(INDEX(People!$A$2:$A$199,MATCH(TRIM($B103),People!$B$2:$B$199,0)),"?? CHECK NAME"))</f>
        <v/>
      </c>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5"/>
      <c r="BJ103" s="25"/>
      <c r="BK103" s="25"/>
      <c r="BL103" s="25"/>
      <c r="BM103" s="25"/>
      <c r="BN103" s="25"/>
      <c r="BO103" s="25"/>
      <c r="BP103" s="25"/>
      <c r="BQ103" s="25"/>
      <c r="BR103" s="25"/>
      <c r="BS103" s="25"/>
      <c r="BT103" s="25"/>
      <c r="BU103" s="25"/>
      <c r="BV103" s="25"/>
      <c r="BW103" s="25"/>
    </row>
    <row r="104" spans="1:75" ht="34" customHeight="1" x14ac:dyDescent="0.2">
      <c r="A104" s="40"/>
      <c r="B104" s="28" t="str">
        <f>IFERROR(INDEX(People!$B$2:$B$199,MATCH($A$102&amp;"#"&amp;3,People!$H$2:$H$199,0)),"")</f>
        <v/>
      </c>
      <c r="C104" s="20" t="str">
        <f>IF(TRIM($B104)="","",IFERROR(INDEX(People!$A$2:$A$199,MATCH(TRIM($B104),People!$B$2:$B$199,0)),"?? CHECK NAME"))</f>
        <v/>
      </c>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c r="BF104" s="25"/>
      <c r="BG104" s="25"/>
      <c r="BH104" s="25"/>
      <c r="BI104" s="25"/>
      <c r="BJ104" s="25"/>
      <c r="BK104" s="25"/>
      <c r="BL104" s="25"/>
      <c r="BM104" s="25"/>
      <c r="BN104" s="25"/>
      <c r="BO104" s="25"/>
      <c r="BP104" s="25"/>
      <c r="BQ104" s="25"/>
      <c r="BR104" s="25"/>
      <c r="BS104" s="25"/>
      <c r="BT104" s="25"/>
      <c r="BU104" s="25"/>
      <c r="BV104" s="25"/>
      <c r="BW104" s="25"/>
    </row>
    <row r="105" spans="1:75" ht="34" customHeight="1" x14ac:dyDescent="0.2">
      <c r="A105" s="40"/>
      <c r="B105" s="28" t="str">
        <f>IFERROR(INDEX(People!$B$2:$B$199,MATCH($A$102&amp;"#"&amp;4,People!$H$2:$H$199,0)),"")</f>
        <v/>
      </c>
      <c r="C105" s="20" t="str">
        <f>IF(TRIM($B105)="","",IFERROR(INDEX(People!$A$2:$A$199,MATCH(TRIM($B105),People!$B$2:$B$199,0)),"?? CHECK NAME"))</f>
        <v/>
      </c>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c r="BK105" s="25"/>
      <c r="BL105" s="25"/>
      <c r="BM105" s="25"/>
      <c r="BN105" s="25"/>
      <c r="BO105" s="25"/>
      <c r="BP105" s="25"/>
      <c r="BQ105" s="25"/>
      <c r="BR105" s="25"/>
      <c r="BS105" s="25"/>
      <c r="BT105" s="25"/>
      <c r="BU105" s="25"/>
      <c r="BV105" s="25"/>
      <c r="BW105" s="25"/>
    </row>
    <row r="106" spans="1:75" ht="34" customHeight="1" x14ac:dyDescent="0.2">
      <c r="A106" s="41"/>
      <c r="B106" s="28" t="str">
        <f>IFERROR(INDEX(People!$B$2:$B$199,MATCH($A$102&amp;"#"&amp;5,People!$H$2:$H$199,0)),"")</f>
        <v/>
      </c>
      <c r="C106" s="20" t="str">
        <f>IF(TRIM($B106)="","",IFERROR(INDEX(People!$A$2:$A$199,MATCH(TRIM($B106),People!$B$2:$B$199,0)),"?? CHECK NAME"))</f>
        <v/>
      </c>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c r="BJ106" s="25"/>
      <c r="BK106" s="25"/>
      <c r="BL106" s="25"/>
      <c r="BM106" s="25"/>
      <c r="BN106" s="25"/>
      <c r="BO106" s="25"/>
      <c r="BP106" s="25"/>
      <c r="BQ106" s="25"/>
      <c r="BR106" s="25"/>
      <c r="BS106" s="25"/>
      <c r="BT106" s="25"/>
      <c r="BU106" s="25"/>
      <c r="BV106" s="25"/>
      <c r="BW106" s="25"/>
    </row>
    <row r="107" spans="1:75" ht="34" customHeight="1" x14ac:dyDescent="0.2">
      <c r="A107" s="42" t="s">
        <v>202</v>
      </c>
      <c r="B107" s="28" t="str">
        <f>IFERROR(INDEX(People!$B$2:$B$199,MATCH($A$107&amp;"#"&amp;1,People!$H$2:$H$199,0)),"")</f>
        <v/>
      </c>
      <c r="C107" s="20" t="str">
        <f>IF(TRIM($B107)="","",IFERROR(INDEX(People!$A$2:$A$199,MATCH(TRIM($B107),People!$B$2:$B$199,0)),"?? CHECK NAME"))</f>
        <v/>
      </c>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c r="BJ107" s="25"/>
      <c r="BK107" s="25"/>
      <c r="BL107" s="25"/>
      <c r="BM107" s="25"/>
      <c r="BN107" s="25"/>
      <c r="BO107" s="25"/>
      <c r="BP107" s="25"/>
      <c r="BQ107" s="25"/>
      <c r="BR107" s="25"/>
      <c r="BS107" s="25"/>
      <c r="BT107" s="25"/>
      <c r="BU107" s="25"/>
      <c r="BV107" s="25"/>
      <c r="BW107" s="25"/>
    </row>
    <row r="108" spans="1:75" ht="34" customHeight="1" x14ac:dyDescent="0.2">
      <c r="A108" s="40"/>
      <c r="B108" s="28" t="str">
        <f>IFERROR(INDEX(People!$B$2:$B$199,MATCH($A$107&amp;"#"&amp;2,People!$H$2:$H$199,0)),"")</f>
        <v/>
      </c>
      <c r="C108" s="20" t="str">
        <f>IF(TRIM($B108)="","",IFERROR(INDEX(People!$A$2:$A$199,MATCH(TRIM($B108),People!$B$2:$B$199,0)),"?? CHECK NAME"))</f>
        <v/>
      </c>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5"/>
      <c r="BJ108" s="25"/>
      <c r="BK108" s="25"/>
      <c r="BL108" s="25"/>
      <c r="BM108" s="25"/>
      <c r="BN108" s="25"/>
      <c r="BO108" s="25"/>
      <c r="BP108" s="25"/>
      <c r="BQ108" s="25"/>
      <c r="BR108" s="25"/>
      <c r="BS108" s="25"/>
      <c r="BT108" s="25"/>
      <c r="BU108" s="25"/>
      <c r="BV108" s="25"/>
      <c r="BW108" s="25"/>
    </row>
    <row r="109" spans="1:75" ht="34" customHeight="1" x14ac:dyDescent="0.2">
      <c r="A109" s="40"/>
      <c r="B109" s="28" t="str">
        <f>IFERROR(INDEX(People!$B$2:$B$199,MATCH($A$107&amp;"#"&amp;3,People!$H$2:$H$199,0)),"")</f>
        <v/>
      </c>
      <c r="C109" s="20" t="str">
        <f>IF(TRIM($B109)="","",IFERROR(INDEX(People!$A$2:$A$199,MATCH(TRIM($B109),People!$B$2:$B$199,0)),"?? CHECK NAME"))</f>
        <v/>
      </c>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5"/>
      <c r="BJ109" s="25"/>
      <c r="BK109" s="25"/>
      <c r="BL109" s="25"/>
      <c r="BM109" s="25"/>
      <c r="BN109" s="25"/>
      <c r="BO109" s="25"/>
      <c r="BP109" s="25"/>
      <c r="BQ109" s="25"/>
      <c r="BR109" s="25"/>
      <c r="BS109" s="25"/>
      <c r="BT109" s="25"/>
      <c r="BU109" s="25"/>
      <c r="BV109" s="25"/>
      <c r="BW109" s="25"/>
    </row>
    <row r="110" spans="1:75" ht="34" customHeight="1" x14ac:dyDescent="0.2">
      <c r="A110" s="40"/>
      <c r="B110" s="28" t="str">
        <f>IFERROR(INDEX(People!$B$2:$B$199,MATCH($A$107&amp;"#"&amp;4,People!$H$2:$H$199,0)),"")</f>
        <v/>
      </c>
      <c r="C110" s="20" t="str">
        <f>IF(TRIM($B110)="","",IFERROR(INDEX(People!$A$2:$A$199,MATCH(TRIM($B110),People!$B$2:$B$199,0)),"?? CHECK NAME"))</f>
        <v/>
      </c>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25"/>
      <c r="BH110" s="25"/>
      <c r="BI110" s="25"/>
      <c r="BJ110" s="25"/>
      <c r="BK110" s="25"/>
      <c r="BL110" s="25"/>
      <c r="BM110" s="25"/>
      <c r="BN110" s="25"/>
      <c r="BO110" s="25"/>
      <c r="BP110" s="25"/>
      <c r="BQ110" s="25"/>
      <c r="BR110" s="25"/>
      <c r="BS110" s="25"/>
      <c r="BT110" s="25"/>
      <c r="BU110" s="25"/>
      <c r="BV110" s="25"/>
      <c r="BW110" s="25"/>
    </row>
    <row r="111" spans="1:75" ht="34" customHeight="1" x14ac:dyDescent="0.2">
      <c r="A111" s="41"/>
      <c r="B111" s="28" t="str">
        <f>IFERROR(INDEX(People!$B$2:$B$199,MATCH($A$107&amp;"#"&amp;5,People!$H$2:$H$199,0)),"")</f>
        <v/>
      </c>
      <c r="C111" s="20" t="str">
        <f>IF(TRIM($B111)="","",IFERROR(INDEX(People!$A$2:$A$199,MATCH(TRIM($B111),People!$B$2:$B$199,0)),"?? CHECK NAME"))</f>
        <v/>
      </c>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c r="BM111" s="25"/>
      <c r="BN111" s="25"/>
      <c r="BO111" s="25"/>
      <c r="BP111" s="25"/>
      <c r="BQ111" s="25"/>
      <c r="BR111" s="25"/>
      <c r="BS111" s="25"/>
      <c r="BT111" s="25"/>
      <c r="BU111" s="25"/>
      <c r="BV111" s="25"/>
      <c r="BW111" s="25"/>
    </row>
    <row r="112" spans="1:75" ht="34" customHeight="1" x14ac:dyDescent="0.2">
      <c r="A112" s="42" t="s">
        <v>205</v>
      </c>
      <c r="B112" s="28" t="str">
        <f>IFERROR(INDEX(People!$B$2:$B$199,MATCH($A$112&amp;"#"&amp;1,People!$H$2:$H$199,0)),"")</f>
        <v/>
      </c>
      <c r="C112" s="20" t="str">
        <f>IF(TRIM($B112)="","",IFERROR(INDEX(People!$A$2:$A$199,MATCH(TRIM($B112),People!$B$2:$B$199,0)),"?? CHECK NAME"))</f>
        <v/>
      </c>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c r="BL112" s="25"/>
      <c r="BM112" s="25"/>
      <c r="BN112" s="25"/>
      <c r="BO112" s="25"/>
      <c r="BP112" s="25"/>
      <c r="BQ112" s="25"/>
      <c r="BR112" s="25"/>
      <c r="BS112" s="25"/>
      <c r="BT112" s="25"/>
      <c r="BU112" s="25"/>
      <c r="BV112" s="25"/>
      <c r="BW112" s="25"/>
    </row>
    <row r="113" spans="1:75" ht="34" customHeight="1" x14ac:dyDescent="0.2">
      <c r="A113" s="40"/>
      <c r="B113" s="28" t="str">
        <f>IFERROR(INDEX(People!$B$2:$B$199,MATCH($A$112&amp;"#"&amp;2,People!$H$2:$H$199,0)),"")</f>
        <v/>
      </c>
      <c r="C113" s="20" t="str">
        <f>IF(TRIM($B113)="","",IFERROR(INDEX(People!$A$2:$A$199,MATCH(TRIM($B113),People!$B$2:$B$199,0)),"?? CHECK NAME"))</f>
        <v/>
      </c>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25"/>
      <c r="BH113" s="25"/>
      <c r="BI113" s="25"/>
      <c r="BJ113" s="25"/>
      <c r="BK113" s="25"/>
      <c r="BL113" s="25"/>
      <c r="BM113" s="25"/>
      <c r="BN113" s="25"/>
      <c r="BO113" s="25"/>
      <c r="BP113" s="25"/>
      <c r="BQ113" s="25"/>
      <c r="BR113" s="25"/>
      <c r="BS113" s="25"/>
      <c r="BT113" s="25"/>
      <c r="BU113" s="25"/>
      <c r="BV113" s="25"/>
      <c r="BW113" s="25"/>
    </row>
    <row r="114" spans="1:75" ht="34" customHeight="1" x14ac:dyDescent="0.2">
      <c r="A114" s="40"/>
      <c r="B114" s="28" t="str">
        <f>IFERROR(INDEX(People!$B$2:$B$199,MATCH($A$112&amp;"#"&amp;3,People!$H$2:$H$199,0)),"")</f>
        <v/>
      </c>
      <c r="C114" s="20" t="str">
        <f>IF(TRIM($B114)="","",IFERROR(INDEX(People!$A$2:$A$199,MATCH(TRIM($B114),People!$B$2:$B$199,0)),"?? CHECK NAME"))</f>
        <v/>
      </c>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25"/>
      <c r="BH114" s="25"/>
      <c r="BI114" s="25"/>
      <c r="BJ114" s="25"/>
      <c r="BK114" s="25"/>
      <c r="BL114" s="25"/>
      <c r="BM114" s="25"/>
      <c r="BN114" s="25"/>
      <c r="BO114" s="25"/>
      <c r="BP114" s="25"/>
      <c r="BQ114" s="25"/>
      <c r="BR114" s="25"/>
      <c r="BS114" s="25"/>
      <c r="BT114" s="25"/>
      <c r="BU114" s="25"/>
      <c r="BV114" s="25"/>
      <c r="BW114" s="25"/>
    </row>
    <row r="115" spans="1:75" ht="34" customHeight="1" x14ac:dyDescent="0.2">
      <c r="A115" s="40"/>
      <c r="B115" s="28" t="str">
        <f>IFERROR(INDEX(People!$B$2:$B$199,MATCH($A$112&amp;"#"&amp;4,People!$H$2:$H$199,0)),"")</f>
        <v/>
      </c>
      <c r="C115" s="20" t="str">
        <f>IF(TRIM($B115)="","",IFERROR(INDEX(People!$A$2:$A$199,MATCH(TRIM($B115),People!$B$2:$B$199,0)),"?? CHECK NAME"))</f>
        <v/>
      </c>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5"/>
      <c r="BJ115" s="25"/>
      <c r="BK115" s="25"/>
      <c r="BL115" s="25"/>
      <c r="BM115" s="25"/>
      <c r="BN115" s="25"/>
      <c r="BO115" s="25"/>
      <c r="BP115" s="25"/>
      <c r="BQ115" s="25"/>
      <c r="BR115" s="25"/>
      <c r="BS115" s="25"/>
      <c r="BT115" s="25"/>
      <c r="BU115" s="25"/>
      <c r="BV115" s="25"/>
      <c r="BW115" s="25"/>
    </row>
    <row r="116" spans="1:75" ht="34" customHeight="1" x14ac:dyDescent="0.2">
      <c r="A116" s="41"/>
      <c r="B116" s="28" t="str">
        <f>IFERROR(INDEX(People!$B$2:$B$199,MATCH($A$112&amp;"#"&amp;5,People!$H$2:$H$199,0)),"")</f>
        <v/>
      </c>
      <c r="C116" s="20" t="str">
        <f>IF(TRIM($B116)="","",IFERROR(INDEX(People!$A$2:$A$199,MATCH(TRIM($B116),People!$B$2:$B$199,0)),"?? CHECK NAME"))</f>
        <v/>
      </c>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5"/>
      <c r="BJ116" s="25"/>
      <c r="BK116" s="25"/>
      <c r="BL116" s="25"/>
      <c r="BM116" s="25"/>
      <c r="BN116" s="25"/>
      <c r="BO116" s="25"/>
      <c r="BP116" s="25"/>
      <c r="BQ116" s="25"/>
      <c r="BR116" s="25"/>
      <c r="BS116" s="25"/>
      <c r="BT116" s="25"/>
      <c r="BU116" s="25"/>
      <c r="BV116" s="25"/>
      <c r="BW116" s="25"/>
    </row>
    <row r="117" spans="1:75" ht="34" customHeight="1" x14ac:dyDescent="0.2">
      <c r="A117" s="42" t="s">
        <v>208</v>
      </c>
      <c r="B117" s="28" t="str">
        <f>IFERROR(INDEX(People!$B$2:$B$199,MATCH($A$117&amp;"#"&amp;1,People!$H$2:$H$199,0)),"")</f>
        <v/>
      </c>
      <c r="C117" s="20" t="str">
        <f>IF(TRIM($B117)="","",IFERROR(INDEX(People!$A$2:$A$199,MATCH(TRIM($B117),People!$B$2:$B$199,0)),"?? CHECK NAME"))</f>
        <v/>
      </c>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c r="BI117" s="25"/>
      <c r="BJ117" s="25"/>
      <c r="BK117" s="25"/>
      <c r="BL117" s="25"/>
      <c r="BM117" s="25"/>
      <c r="BN117" s="25"/>
      <c r="BO117" s="25"/>
      <c r="BP117" s="25"/>
      <c r="BQ117" s="25"/>
      <c r="BR117" s="25"/>
      <c r="BS117" s="25"/>
      <c r="BT117" s="25"/>
      <c r="BU117" s="25"/>
      <c r="BV117" s="25"/>
      <c r="BW117" s="25"/>
    </row>
    <row r="118" spans="1:75" ht="34" customHeight="1" x14ac:dyDescent="0.2">
      <c r="A118" s="40"/>
      <c r="B118" s="28" t="str">
        <f>IFERROR(INDEX(People!$B$2:$B$199,MATCH($A$117&amp;"#"&amp;2,People!$H$2:$H$199,0)),"")</f>
        <v/>
      </c>
      <c r="C118" s="20" t="str">
        <f>IF(TRIM($B118)="","",IFERROR(INDEX(People!$A$2:$A$199,MATCH(TRIM($B118),People!$B$2:$B$199,0)),"?? CHECK NAME"))</f>
        <v/>
      </c>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c r="BK118" s="25"/>
      <c r="BL118" s="25"/>
      <c r="BM118" s="25"/>
      <c r="BN118" s="25"/>
      <c r="BO118" s="25"/>
      <c r="BP118" s="25"/>
      <c r="BQ118" s="25"/>
      <c r="BR118" s="25"/>
      <c r="BS118" s="25"/>
      <c r="BT118" s="25"/>
      <c r="BU118" s="25"/>
      <c r="BV118" s="25"/>
      <c r="BW118" s="25"/>
    </row>
    <row r="119" spans="1:75" ht="34" customHeight="1" x14ac:dyDescent="0.2">
      <c r="A119" s="40"/>
      <c r="B119" s="28" t="str">
        <f>IFERROR(INDEX(People!$B$2:$B$199,MATCH($A$117&amp;"#"&amp;3,People!$H$2:$H$199,0)),"")</f>
        <v/>
      </c>
      <c r="C119" s="20" t="str">
        <f>IF(TRIM($B119)="","",IFERROR(INDEX(People!$A$2:$A$199,MATCH(TRIM($B119),People!$B$2:$B$199,0)),"?? CHECK NAME"))</f>
        <v/>
      </c>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c r="BF119" s="25"/>
      <c r="BG119" s="25"/>
      <c r="BH119" s="25"/>
      <c r="BI119" s="25"/>
      <c r="BJ119" s="25"/>
      <c r="BK119" s="25"/>
      <c r="BL119" s="25"/>
      <c r="BM119" s="25"/>
      <c r="BN119" s="25"/>
      <c r="BO119" s="25"/>
      <c r="BP119" s="25"/>
      <c r="BQ119" s="25"/>
      <c r="BR119" s="25"/>
      <c r="BS119" s="25"/>
      <c r="BT119" s="25"/>
      <c r="BU119" s="25"/>
      <c r="BV119" s="25"/>
      <c r="BW119" s="25"/>
    </row>
    <row r="120" spans="1:75" ht="34" customHeight="1" x14ac:dyDescent="0.2">
      <c r="A120" s="40"/>
      <c r="B120" s="28" t="str">
        <f>IFERROR(INDEX(People!$B$2:$B$199,MATCH($A$117&amp;"#"&amp;4,People!$H$2:$H$199,0)),"")</f>
        <v/>
      </c>
      <c r="C120" s="20" t="str">
        <f>IF(TRIM($B120)="","",IFERROR(INDEX(People!$A$2:$A$199,MATCH(TRIM($B120),People!$B$2:$B$199,0)),"?? CHECK NAME"))</f>
        <v/>
      </c>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c r="BC120" s="25"/>
      <c r="BD120" s="25"/>
      <c r="BE120" s="25"/>
      <c r="BF120" s="25"/>
      <c r="BG120" s="25"/>
      <c r="BH120" s="25"/>
      <c r="BI120" s="25"/>
      <c r="BJ120" s="25"/>
      <c r="BK120" s="25"/>
      <c r="BL120" s="25"/>
      <c r="BM120" s="25"/>
      <c r="BN120" s="25"/>
      <c r="BO120" s="25"/>
      <c r="BP120" s="25"/>
      <c r="BQ120" s="25"/>
      <c r="BR120" s="25"/>
      <c r="BS120" s="25"/>
      <c r="BT120" s="25"/>
      <c r="BU120" s="25"/>
      <c r="BV120" s="25"/>
      <c r="BW120" s="25"/>
    </row>
    <row r="121" spans="1:75" ht="34" customHeight="1" x14ac:dyDescent="0.2">
      <c r="A121" s="41"/>
      <c r="B121" s="28" t="str">
        <f>IFERROR(INDEX(People!$B$2:$B$199,MATCH($A$117&amp;"#"&amp;5,People!$H$2:$H$199,0)),"")</f>
        <v/>
      </c>
      <c r="C121" s="20" t="str">
        <f>IF(TRIM($B121)="","",IFERROR(INDEX(People!$A$2:$A$199,MATCH(TRIM($B121),People!$B$2:$B$199,0)),"?? CHECK NAME"))</f>
        <v/>
      </c>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c r="BF121" s="25"/>
      <c r="BG121" s="25"/>
      <c r="BH121" s="25"/>
      <c r="BI121" s="25"/>
      <c r="BJ121" s="25"/>
      <c r="BK121" s="25"/>
      <c r="BL121" s="25"/>
      <c r="BM121" s="25"/>
      <c r="BN121" s="25"/>
      <c r="BO121" s="25"/>
      <c r="BP121" s="25"/>
      <c r="BQ121" s="25"/>
      <c r="BR121" s="25"/>
      <c r="BS121" s="25"/>
      <c r="BT121" s="25"/>
      <c r="BU121" s="25"/>
      <c r="BV121" s="25"/>
      <c r="BW121" s="25"/>
    </row>
    <row r="122" spans="1:75" ht="34" customHeight="1" x14ac:dyDescent="0.2">
      <c r="A122" s="42" t="s">
        <v>211</v>
      </c>
      <c r="B122" s="28" t="str">
        <f>IFERROR(INDEX(People!$B$2:$B$199,MATCH($A$122&amp;"#"&amp;1,People!$H$2:$H$199,0)),"")</f>
        <v/>
      </c>
      <c r="C122" s="20" t="str">
        <f>IF(TRIM($B122)="","",IFERROR(INDEX(People!$A$2:$A$199,MATCH(TRIM($B122),People!$B$2:$B$199,0)),"?? CHECK NAME"))</f>
        <v/>
      </c>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25"/>
      <c r="BH122" s="25"/>
      <c r="BI122" s="25"/>
      <c r="BJ122" s="25"/>
      <c r="BK122" s="25"/>
      <c r="BL122" s="25"/>
      <c r="BM122" s="25"/>
      <c r="BN122" s="25"/>
      <c r="BO122" s="25"/>
      <c r="BP122" s="25"/>
      <c r="BQ122" s="25"/>
      <c r="BR122" s="25"/>
      <c r="BS122" s="25"/>
      <c r="BT122" s="25"/>
      <c r="BU122" s="25"/>
      <c r="BV122" s="25"/>
      <c r="BW122" s="25"/>
    </row>
    <row r="123" spans="1:75" ht="34" customHeight="1" x14ac:dyDescent="0.2">
      <c r="A123" s="40"/>
      <c r="B123" s="28" t="str">
        <f>IFERROR(INDEX(People!$B$2:$B$199,MATCH($A$122&amp;"#"&amp;2,People!$H$2:$H$199,0)),"")</f>
        <v/>
      </c>
      <c r="C123" s="20" t="str">
        <f>IF(TRIM($B123)="","",IFERROR(INDEX(People!$A$2:$A$199,MATCH(TRIM($B123),People!$B$2:$B$199,0)),"?? CHECK NAME"))</f>
        <v/>
      </c>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5"/>
      <c r="BJ123" s="25"/>
      <c r="BK123" s="25"/>
      <c r="BL123" s="25"/>
      <c r="BM123" s="25"/>
      <c r="BN123" s="25"/>
      <c r="BO123" s="25"/>
      <c r="BP123" s="25"/>
      <c r="BQ123" s="25"/>
      <c r="BR123" s="25"/>
      <c r="BS123" s="25"/>
      <c r="BT123" s="25"/>
      <c r="BU123" s="25"/>
      <c r="BV123" s="25"/>
      <c r="BW123" s="25"/>
    </row>
    <row r="124" spans="1:75" ht="34" customHeight="1" x14ac:dyDescent="0.2">
      <c r="A124" s="40"/>
      <c r="B124" s="28" t="str">
        <f>IFERROR(INDEX(People!$B$2:$B$199,MATCH($A$122&amp;"#"&amp;3,People!$H$2:$H$199,0)),"")</f>
        <v/>
      </c>
      <c r="C124" s="20" t="str">
        <f>IF(TRIM($B124)="","",IFERROR(INDEX(People!$A$2:$A$199,MATCH(TRIM($B124),People!$B$2:$B$199,0)),"?? CHECK NAME"))</f>
        <v/>
      </c>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c r="BQ124" s="25"/>
      <c r="BR124" s="25"/>
      <c r="BS124" s="25"/>
      <c r="BT124" s="25"/>
      <c r="BU124" s="25"/>
      <c r="BV124" s="25"/>
      <c r="BW124" s="25"/>
    </row>
    <row r="125" spans="1:75" ht="34" customHeight="1" x14ac:dyDescent="0.2">
      <c r="A125" s="40"/>
      <c r="B125" s="28" t="str">
        <f>IFERROR(INDEX(People!$B$2:$B$199,MATCH($A$122&amp;"#"&amp;4,People!$H$2:$H$199,0)),"")</f>
        <v/>
      </c>
      <c r="C125" s="20" t="str">
        <f>IF(TRIM($B125)="","",IFERROR(INDEX(People!$A$2:$A$199,MATCH(TRIM($B125),People!$B$2:$B$199,0)),"?? CHECK NAME"))</f>
        <v/>
      </c>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25"/>
      <c r="BR125" s="25"/>
      <c r="BS125" s="25"/>
      <c r="BT125" s="25"/>
      <c r="BU125" s="25"/>
      <c r="BV125" s="25"/>
      <c r="BW125" s="25"/>
    </row>
    <row r="126" spans="1:75" ht="34" customHeight="1" x14ac:dyDescent="0.2">
      <c r="A126" s="41"/>
      <c r="B126" s="28" t="str">
        <f>IFERROR(INDEX(People!$B$2:$B$199,MATCH($A$122&amp;"#"&amp;5,People!$H$2:$H$199,0)),"")</f>
        <v/>
      </c>
      <c r="C126" s="20" t="str">
        <f>IF(TRIM($B126)="","",IFERROR(INDEX(People!$A$2:$A$199,MATCH(TRIM($B126),People!$B$2:$B$199,0)),"?? CHECK NAME"))</f>
        <v/>
      </c>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25"/>
      <c r="BR126" s="25"/>
      <c r="BS126" s="25"/>
      <c r="BT126" s="25"/>
      <c r="BU126" s="25"/>
      <c r="BV126" s="25"/>
      <c r="BW126" s="25"/>
    </row>
    <row r="127" spans="1:75" ht="34" customHeight="1" x14ac:dyDescent="0.2">
      <c r="A127" s="39" t="s">
        <v>250</v>
      </c>
      <c r="B127" s="24"/>
      <c r="C127" s="20" t="str">
        <f>IF(TRIM($B127)="","",IFERROR(INDEX(People!$A$2:$A$199,MATCH(TRIM($B127),People!$B$2:$B$199,0)),IFERROR(INDEX(Teams!$A$2:$A$9,MATCH(TRIM($B127),Teams!$B$2:$B$9,0)),"?? CHECK NAME")))</f>
        <v/>
      </c>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5"/>
      <c r="BR127" s="25"/>
      <c r="BS127" s="25"/>
      <c r="BT127" s="25"/>
      <c r="BU127" s="25"/>
      <c r="BV127" s="25"/>
      <c r="BW127" s="25"/>
    </row>
    <row r="128" spans="1:75" ht="34" customHeight="1" x14ac:dyDescent="0.2">
      <c r="A128" s="40"/>
      <c r="B128" s="24"/>
      <c r="C128" s="20" t="str">
        <f>IF(TRIM($B128)="","",IFERROR(INDEX(People!$A$2:$A$199,MATCH(TRIM($B128),People!$B$2:$B$199,0)),IFERROR(INDEX(Teams!$A$2:$A$9,MATCH(TRIM($B128),Teams!$B$2:$B$9,0)),"?? CHECK NAME")))</f>
        <v/>
      </c>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c r="BQ128" s="25"/>
      <c r="BR128" s="25"/>
      <c r="BS128" s="25"/>
      <c r="BT128" s="25"/>
      <c r="BU128" s="25"/>
      <c r="BV128" s="25"/>
      <c r="BW128" s="25"/>
    </row>
    <row r="129" spans="1:75" ht="34" customHeight="1" x14ac:dyDescent="0.2">
      <c r="A129" s="40"/>
      <c r="B129" s="24"/>
      <c r="C129" s="20" t="str">
        <f>IF(TRIM($B129)="","",IFERROR(INDEX(People!$A$2:$A$199,MATCH(TRIM($B129),People!$B$2:$B$199,0)),IFERROR(INDEX(Teams!$A$2:$A$9,MATCH(TRIM($B129),Teams!$B$2:$B$9,0)),"?? CHECK NAME")))</f>
        <v/>
      </c>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25"/>
      <c r="BH129" s="25"/>
      <c r="BI129" s="25"/>
      <c r="BJ129" s="25"/>
      <c r="BK129" s="25"/>
      <c r="BL129" s="25"/>
      <c r="BM129" s="25"/>
      <c r="BN129" s="25"/>
      <c r="BO129" s="25"/>
      <c r="BP129" s="25"/>
      <c r="BQ129" s="25"/>
      <c r="BR129" s="25"/>
      <c r="BS129" s="25"/>
      <c r="BT129" s="25"/>
      <c r="BU129" s="25"/>
      <c r="BV129" s="25"/>
      <c r="BW129" s="25"/>
    </row>
    <row r="130" spans="1:75" ht="34" customHeight="1" x14ac:dyDescent="0.2">
      <c r="A130" s="40"/>
      <c r="B130" s="24"/>
      <c r="C130" s="20" t="str">
        <f>IF(TRIM($B130)="","",IFERROR(INDEX(People!$A$2:$A$199,MATCH(TRIM($B130),People!$B$2:$B$199,0)),IFERROR(INDEX(Teams!$A$2:$A$9,MATCH(TRIM($B130),Teams!$B$2:$B$9,0)),"?? CHECK NAME")))</f>
        <v/>
      </c>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c r="BG130" s="25"/>
      <c r="BH130" s="25"/>
      <c r="BI130" s="25"/>
      <c r="BJ130" s="25"/>
      <c r="BK130" s="25"/>
      <c r="BL130" s="25"/>
      <c r="BM130" s="25"/>
      <c r="BN130" s="25"/>
      <c r="BO130" s="25"/>
      <c r="BP130" s="25"/>
      <c r="BQ130" s="25"/>
      <c r="BR130" s="25"/>
      <c r="BS130" s="25"/>
      <c r="BT130" s="25"/>
      <c r="BU130" s="25"/>
      <c r="BV130" s="25"/>
      <c r="BW130" s="25"/>
    </row>
    <row r="131" spans="1:75" ht="34" customHeight="1" x14ac:dyDescent="0.2">
      <c r="A131" s="41"/>
      <c r="B131" s="24"/>
      <c r="C131" s="20" t="str">
        <f>IF(TRIM($B131)="","",IFERROR(INDEX(People!$A$2:$A$199,MATCH(TRIM($B131),People!$B$2:$B$199,0)),IFERROR(INDEX(Teams!$A$2:$A$9,MATCH(TRIM($B131),Teams!$B$2:$B$9,0)),"?? CHECK NAME")))</f>
        <v/>
      </c>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c r="BF131" s="25"/>
      <c r="BG131" s="25"/>
      <c r="BH131" s="25"/>
      <c r="BI131" s="25"/>
      <c r="BJ131" s="25"/>
      <c r="BK131" s="25"/>
      <c r="BL131" s="25"/>
      <c r="BM131" s="25"/>
      <c r="BN131" s="25"/>
      <c r="BO131" s="25"/>
      <c r="BP131" s="25"/>
      <c r="BQ131" s="25"/>
      <c r="BR131" s="25"/>
      <c r="BS131" s="25"/>
      <c r="BT131" s="25"/>
      <c r="BU131" s="25"/>
      <c r="BV131" s="25"/>
      <c r="BW131" s="25"/>
    </row>
  </sheetData>
  <mergeCells count="28">
    <mergeCell ref="A127:A131"/>
    <mergeCell ref="A112:A116"/>
    <mergeCell ref="A19:A23"/>
    <mergeCell ref="A64:A68"/>
    <mergeCell ref="A59:A63"/>
    <mergeCell ref="A102:A106"/>
    <mergeCell ref="A117:A121"/>
    <mergeCell ref="A49:A53"/>
    <mergeCell ref="A34:A38"/>
    <mergeCell ref="A92:A96"/>
    <mergeCell ref="A39:A43"/>
    <mergeCell ref="A24:A28"/>
    <mergeCell ref="A86:BW86"/>
    <mergeCell ref="A107:A111"/>
    <mergeCell ref="A54:A58"/>
    <mergeCell ref="A87:A91"/>
    <mergeCell ref="A122:A126"/>
    <mergeCell ref="A29:A33"/>
    <mergeCell ref="A9:A13"/>
    <mergeCell ref="A78:BW78"/>
    <mergeCell ref="A81:A85"/>
    <mergeCell ref="D1:BW1"/>
    <mergeCell ref="A4:A8"/>
    <mergeCell ref="A14:A18"/>
    <mergeCell ref="A97:A101"/>
    <mergeCell ref="A44:A48"/>
    <mergeCell ref="A69:BW69"/>
    <mergeCell ref="A3:BW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82"/>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2" width="14" customWidth="1"/>
    <col min="3" max="3" width="34" customWidth="1"/>
    <col min="4" max="4" width="10" customWidth="1"/>
    <col min="5" max="5" width="18" customWidth="1"/>
    <col min="6" max="6" width="13" customWidth="1"/>
    <col min="7" max="7" width="18" customWidth="1"/>
    <col min="8" max="8" width="12" customWidth="1"/>
    <col min="9" max="10" width="22" customWidth="1"/>
    <col min="11" max="11" width="16" customWidth="1"/>
  </cols>
  <sheetData>
    <row r="1" spans="1:11" x14ac:dyDescent="0.2">
      <c r="A1" s="12" t="s">
        <v>261</v>
      </c>
      <c r="B1" s="12" t="s">
        <v>262</v>
      </c>
      <c r="C1" s="12" t="s">
        <v>263</v>
      </c>
      <c r="D1" s="12" t="s">
        <v>264</v>
      </c>
      <c r="E1" s="12" t="s">
        <v>265</v>
      </c>
      <c r="F1" s="12" t="s">
        <v>266</v>
      </c>
      <c r="G1" s="12" t="s">
        <v>267</v>
      </c>
      <c r="H1" s="12" t="s">
        <v>268</v>
      </c>
      <c r="I1" s="12" t="s">
        <v>269</v>
      </c>
      <c r="J1" s="12" t="s">
        <v>270</v>
      </c>
      <c r="K1" s="12" t="s">
        <v>271</v>
      </c>
    </row>
    <row r="2" spans="1:11" x14ac:dyDescent="0.2">
      <c r="A2" s="13" t="s">
        <v>272</v>
      </c>
      <c r="B2" s="30">
        <v>46241</v>
      </c>
      <c r="C2" s="13" t="s">
        <v>273</v>
      </c>
      <c r="D2" s="13">
        <v>13</v>
      </c>
      <c r="E2" s="13" t="s">
        <v>274</v>
      </c>
      <c r="F2" s="31">
        <v>0.36180555555555549</v>
      </c>
      <c r="G2" s="31">
        <v>0.38194444444444442</v>
      </c>
      <c r="H2" s="31">
        <v>0.4236111111111111</v>
      </c>
      <c r="I2" s="13" t="s">
        <v>275</v>
      </c>
      <c r="J2" s="13" t="s">
        <v>276</v>
      </c>
      <c r="K2" s="13" t="s">
        <v>159</v>
      </c>
    </row>
    <row r="3" spans="1:11" x14ac:dyDescent="0.2">
      <c r="A3" s="13" t="s">
        <v>272</v>
      </c>
      <c r="B3" s="30">
        <v>46241</v>
      </c>
      <c r="C3" s="13" t="s">
        <v>277</v>
      </c>
      <c r="D3" s="13">
        <v>1</v>
      </c>
      <c r="E3" s="13" t="s">
        <v>278</v>
      </c>
      <c r="F3" s="31">
        <v>0.39513888888888887</v>
      </c>
      <c r="G3" s="31">
        <v>0.40972222222222221</v>
      </c>
      <c r="H3" s="31">
        <v>0.4513888888888889</v>
      </c>
      <c r="I3" s="13" t="s">
        <v>150</v>
      </c>
      <c r="J3" s="13" t="s">
        <v>279</v>
      </c>
      <c r="K3" s="13" t="s">
        <v>152</v>
      </c>
    </row>
    <row r="4" spans="1:11" x14ac:dyDescent="0.2">
      <c r="A4" s="15"/>
      <c r="B4" s="16"/>
      <c r="C4" s="16"/>
      <c r="D4" s="16"/>
      <c r="E4" s="16"/>
      <c r="F4" s="16"/>
      <c r="G4" s="16"/>
      <c r="H4" s="16"/>
      <c r="I4" s="16"/>
      <c r="J4" s="16"/>
      <c r="K4" s="16"/>
    </row>
    <row r="5" spans="1:11" x14ac:dyDescent="0.2">
      <c r="A5" s="16"/>
      <c r="B5" s="16"/>
      <c r="C5" s="16"/>
      <c r="D5" s="16"/>
      <c r="E5" s="16"/>
      <c r="F5" s="16"/>
      <c r="G5" s="16"/>
      <c r="H5" s="16"/>
      <c r="I5" s="16"/>
      <c r="J5" s="16"/>
      <c r="K5" s="16"/>
    </row>
    <row r="6" spans="1:11" x14ac:dyDescent="0.2">
      <c r="A6" s="16"/>
      <c r="B6" s="16"/>
      <c r="C6" s="16"/>
      <c r="D6" s="16"/>
      <c r="E6" s="16"/>
      <c r="F6" s="16"/>
      <c r="G6" s="16"/>
      <c r="H6" s="16"/>
      <c r="I6" s="16"/>
      <c r="J6" s="16"/>
      <c r="K6" s="16"/>
    </row>
    <row r="7" spans="1:11" x14ac:dyDescent="0.2">
      <c r="A7" s="16"/>
      <c r="B7" s="16"/>
      <c r="C7" s="16"/>
      <c r="D7" s="16"/>
      <c r="E7" s="16"/>
      <c r="F7" s="16"/>
      <c r="G7" s="16"/>
      <c r="H7" s="16"/>
      <c r="I7" s="16"/>
      <c r="J7" s="16"/>
      <c r="K7" s="16"/>
    </row>
    <row r="8" spans="1:11" x14ac:dyDescent="0.2">
      <c r="A8" s="16"/>
      <c r="B8" s="16"/>
      <c r="C8" s="16"/>
      <c r="D8" s="16"/>
      <c r="E8" s="16"/>
      <c r="F8" s="16"/>
      <c r="G8" s="16"/>
      <c r="H8" s="16"/>
      <c r="I8" s="16"/>
      <c r="J8" s="16"/>
      <c r="K8" s="16"/>
    </row>
    <row r="9" spans="1:11" x14ac:dyDescent="0.2">
      <c r="A9" s="16"/>
      <c r="B9" s="16"/>
      <c r="C9" s="16"/>
      <c r="D9" s="16"/>
      <c r="E9" s="16"/>
      <c r="F9" s="16"/>
      <c r="G9" s="16"/>
      <c r="H9" s="16"/>
      <c r="I9" s="16"/>
      <c r="J9" s="16"/>
      <c r="K9" s="16"/>
    </row>
    <row r="10" spans="1:11" x14ac:dyDescent="0.2">
      <c r="A10" s="16"/>
      <c r="B10" s="16"/>
      <c r="C10" s="16"/>
      <c r="D10" s="16"/>
      <c r="E10" s="16"/>
      <c r="F10" s="16"/>
      <c r="G10" s="16"/>
      <c r="H10" s="16"/>
      <c r="I10" s="16"/>
      <c r="J10" s="16"/>
      <c r="K10" s="16"/>
    </row>
    <row r="11" spans="1:11" x14ac:dyDescent="0.2">
      <c r="A11" s="16"/>
      <c r="B11" s="16"/>
      <c r="C11" s="16"/>
      <c r="D11" s="16"/>
      <c r="E11" s="16"/>
      <c r="F11" s="16"/>
      <c r="G11" s="16"/>
      <c r="H11" s="16"/>
      <c r="I11" s="16"/>
      <c r="J11" s="16"/>
      <c r="K11" s="16"/>
    </row>
    <row r="12" spans="1:11" x14ac:dyDescent="0.2">
      <c r="A12" s="16"/>
      <c r="B12" s="16"/>
      <c r="C12" s="16"/>
      <c r="D12" s="16"/>
      <c r="E12" s="16"/>
      <c r="F12" s="16"/>
      <c r="G12" s="16"/>
      <c r="H12" s="16"/>
      <c r="I12" s="16"/>
      <c r="J12" s="16"/>
      <c r="K12" s="16"/>
    </row>
    <row r="13" spans="1:11" x14ac:dyDescent="0.2">
      <c r="A13" s="16"/>
      <c r="B13" s="16"/>
      <c r="C13" s="16"/>
      <c r="D13" s="16"/>
      <c r="E13" s="16"/>
      <c r="F13" s="16"/>
      <c r="G13" s="16"/>
      <c r="H13" s="16"/>
      <c r="I13" s="16"/>
      <c r="J13" s="16"/>
      <c r="K13" s="16"/>
    </row>
    <row r="14" spans="1:11" x14ac:dyDescent="0.2">
      <c r="A14" s="16"/>
      <c r="B14" s="16"/>
      <c r="C14" s="16"/>
      <c r="D14" s="16"/>
      <c r="E14" s="16"/>
      <c r="F14" s="16"/>
      <c r="G14" s="16"/>
      <c r="H14" s="16"/>
      <c r="I14" s="16"/>
      <c r="J14" s="16"/>
      <c r="K14" s="16"/>
    </row>
    <row r="15" spans="1:11" x14ac:dyDescent="0.2">
      <c r="A15" s="16"/>
      <c r="B15" s="16"/>
      <c r="C15" s="16"/>
      <c r="D15" s="16"/>
      <c r="E15" s="16"/>
      <c r="F15" s="16"/>
      <c r="G15" s="16"/>
      <c r="H15" s="16"/>
      <c r="I15" s="16"/>
      <c r="J15" s="16"/>
      <c r="K15" s="16"/>
    </row>
    <row r="16" spans="1:11" x14ac:dyDescent="0.2">
      <c r="A16" s="16"/>
      <c r="B16" s="16"/>
      <c r="C16" s="16"/>
      <c r="D16" s="16"/>
      <c r="E16" s="16"/>
      <c r="F16" s="16"/>
      <c r="G16" s="16"/>
      <c r="H16" s="16"/>
      <c r="I16" s="16"/>
      <c r="J16" s="16"/>
      <c r="K16" s="16"/>
    </row>
    <row r="17" spans="1:11" x14ac:dyDescent="0.2">
      <c r="A17" s="16"/>
      <c r="B17" s="16"/>
      <c r="C17" s="16"/>
      <c r="D17" s="16"/>
      <c r="E17" s="16"/>
      <c r="F17" s="16"/>
      <c r="G17" s="16"/>
      <c r="H17" s="16"/>
      <c r="I17" s="16"/>
      <c r="J17" s="16"/>
      <c r="K17" s="16"/>
    </row>
    <row r="18" spans="1:11" x14ac:dyDescent="0.2">
      <c r="A18" s="16"/>
      <c r="B18" s="16"/>
      <c r="C18" s="16"/>
      <c r="D18" s="16"/>
      <c r="E18" s="16"/>
      <c r="F18" s="16"/>
      <c r="G18" s="16"/>
      <c r="H18" s="16"/>
      <c r="I18" s="16"/>
      <c r="J18" s="16"/>
      <c r="K18" s="16"/>
    </row>
    <row r="19" spans="1:11" x14ac:dyDescent="0.2">
      <c r="A19" s="16"/>
      <c r="B19" s="16"/>
      <c r="C19" s="16"/>
      <c r="D19" s="16"/>
      <c r="E19" s="16"/>
      <c r="F19" s="16"/>
      <c r="G19" s="16"/>
      <c r="H19" s="16"/>
      <c r="I19" s="16"/>
      <c r="J19" s="16"/>
      <c r="K19" s="16"/>
    </row>
    <row r="20" spans="1:11" x14ac:dyDescent="0.2">
      <c r="A20" s="16"/>
      <c r="B20" s="16"/>
      <c r="C20" s="16"/>
      <c r="D20" s="16"/>
      <c r="E20" s="16"/>
      <c r="F20" s="16"/>
      <c r="G20" s="16"/>
      <c r="H20" s="16"/>
      <c r="I20" s="16"/>
      <c r="J20" s="16"/>
      <c r="K20" s="16"/>
    </row>
    <row r="21" spans="1:11" x14ac:dyDescent="0.2">
      <c r="A21" s="16"/>
      <c r="B21" s="16"/>
      <c r="C21" s="16"/>
      <c r="D21" s="16"/>
      <c r="E21" s="16"/>
      <c r="F21" s="16"/>
      <c r="G21" s="16"/>
      <c r="H21" s="16"/>
      <c r="I21" s="16"/>
      <c r="J21" s="16"/>
      <c r="K21" s="16"/>
    </row>
    <row r="22" spans="1:11" x14ac:dyDescent="0.2">
      <c r="A22" s="16"/>
      <c r="B22" s="16"/>
      <c r="C22" s="16"/>
      <c r="D22" s="16"/>
      <c r="E22" s="16"/>
      <c r="F22" s="16"/>
      <c r="G22" s="16"/>
      <c r="H22" s="16"/>
      <c r="I22" s="16"/>
      <c r="J22" s="16"/>
      <c r="K22" s="16"/>
    </row>
    <row r="23" spans="1:11" x14ac:dyDescent="0.2">
      <c r="A23" s="16"/>
      <c r="B23" s="16"/>
      <c r="C23" s="16"/>
      <c r="D23" s="16"/>
      <c r="E23" s="16"/>
      <c r="F23" s="16"/>
      <c r="G23" s="16"/>
      <c r="H23" s="16"/>
      <c r="I23" s="16"/>
      <c r="J23" s="16"/>
      <c r="K23" s="16"/>
    </row>
    <row r="24" spans="1:11" x14ac:dyDescent="0.2">
      <c r="A24" s="16"/>
      <c r="B24" s="16"/>
      <c r="C24" s="16"/>
      <c r="D24" s="16"/>
      <c r="E24" s="16"/>
      <c r="F24" s="16"/>
      <c r="G24" s="16"/>
      <c r="H24" s="16"/>
      <c r="I24" s="16"/>
      <c r="J24" s="16"/>
      <c r="K24" s="16"/>
    </row>
    <row r="25" spans="1:11" x14ac:dyDescent="0.2">
      <c r="A25" s="16"/>
      <c r="B25" s="16"/>
      <c r="C25" s="16"/>
      <c r="D25" s="16"/>
      <c r="E25" s="16"/>
      <c r="F25" s="16"/>
      <c r="G25" s="16"/>
      <c r="H25" s="16"/>
      <c r="I25" s="16"/>
      <c r="J25" s="16"/>
      <c r="K25" s="16"/>
    </row>
    <row r="26" spans="1:11" x14ac:dyDescent="0.2">
      <c r="A26" s="16"/>
      <c r="B26" s="16"/>
      <c r="C26" s="16"/>
      <c r="D26" s="16"/>
      <c r="E26" s="16"/>
      <c r="F26" s="16"/>
      <c r="G26" s="16"/>
      <c r="H26" s="16"/>
      <c r="I26" s="16"/>
      <c r="J26" s="16"/>
      <c r="K26" s="16"/>
    </row>
    <row r="27" spans="1:11" x14ac:dyDescent="0.2">
      <c r="A27" s="16"/>
      <c r="B27" s="16"/>
      <c r="C27" s="16"/>
      <c r="D27" s="16"/>
      <c r="E27" s="16"/>
      <c r="F27" s="16"/>
      <c r="G27" s="16"/>
      <c r="H27" s="16"/>
      <c r="I27" s="16"/>
      <c r="J27" s="16"/>
      <c r="K27" s="16"/>
    </row>
    <row r="28" spans="1:11" x14ac:dyDescent="0.2">
      <c r="A28" s="16"/>
      <c r="B28" s="16"/>
      <c r="C28" s="16"/>
      <c r="D28" s="16"/>
      <c r="E28" s="16"/>
      <c r="F28" s="16"/>
      <c r="G28" s="16"/>
      <c r="H28" s="16"/>
      <c r="I28" s="16"/>
      <c r="J28" s="16"/>
      <c r="K28" s="16"/>
    </row>
    <row r="29" spans="1:11" x14ac:dyDescent="0.2">
      <c r="A29" s="16"/>
      <c r="B29" s="16"/>
      <c r="C29" s="16"/>
      <c r="D29" s="16"/>
      <c r="E29" s="16"/>
      <c r="F29" s="16"/>
      <c r="G29" s="16"/>
      <c r="H29" s="16"/>
      <c r="I29" s="16"/>
      <c r="J29" s="16"/>
      <c r="K29" s="16"/>
    </row>
    <row r="30" spans="1:11" x14ac:dyDescent="0.2">
      <c r="A30" s="16"/>
      <c r="B30" s="16"/>
      <c r="C30" s="16"/>
      <c r="D30" s="16"/>
      <c r="E30" s="16"/>
      <c r="F30" s="16"/>
      <c r="G30" s="16"/>
      <c r="H30" s="16"/>
      <c r="I30" s="16"/>
      <c r="J30" s="16"/>
      <c r="K30" s="16"/>
    </row>
    <row r="31" spans="1:11" x14ac:dyDescent="0.2">
      <c r="A31" s="16"/>
      <c r="B31" s="16"/>
      <c r="C31" s="16"/>
      <c r="D31" s="16"/>
      <c r="E31" s="16"/>
      <c r="F31" s="16"/>
      <c r="G31" s="16"/>
      <c r="H31" s="16"/>
      <c r="I31" s="16"/>
      <c r="J31" s="16"/>
      <c r="K31" s="16"/>
    </row>
    <row r="32" spans="1:11" x14ac:dyDescent="0.2">
      <c r="A32" s="16"/>
      <c r="B32" s="16"/>
      <c r="C32" s="16"/>
      <c r="D32" s="16"/>
      <c r="E32" s="16"/>
      <c r="F32" s="16"/>
      <c r="G32" s="16"/>
      <c r="H32" s="16"/>
      <c r="I32" s="16"/>
      <c r="J32" s="16"/>
      <c r="K32" s="16"/>
    </row>
    <row r="33" spans="1:11" x14ac:dyDescent="0.2">
      <c r="A33" s="16"/>
      <c r="B33" s="16"/>
      <c r="C33" s="16"/>
      <c r="D33" s="16"/>
      <c r="E33" s="16"/>
      <c r="F33" s="16"/>
      <c r="G33" s="16"/>
      <c r="H33" s="16"/>
      <c r="I33" s="16"/>
      <c r="J33" s="16"/>
      <c r="K33" s="16"/>
    </row>
    <row r="34" spans="1:11" x14ac:dyDescent="0.2">
      <c r="A34" s="16"/>
      <c r="B34" s="16"/>
      <c r="C34" s="16"/>
      <c r="D34" s="16"/>
      <c r="E34" s="16"/>
      <c r="F34" s="16"/>
      <c r="G34" s="16"/>
      <c r="H34" s="16"/>
      <c r="I34" s="16"/>
      <c r="J34" s="16"/>
      <c r="K34" s="16"/>
    </row>
    <row r="35" spans="1:11" x14ac:dyDescent="0.2">
      <c r="A35" s="16"/>
      <c r="B35" s="16"/>
      <c r="C35" s="16"/>
      <c r="D35" s="16"/>
      <c r="E35" s="16"/>
      <c r="F35" s="16"/>
      <c r="G35" s="16"/>
      <c r="H35" s="16"/>
      <c r="I35" s="16"/>
      <c r="J35" s="16"/>
      <c r="K35" s="16"/>
    </row>
    <row r="36" spans="1:11" x14ac:dyDescent="0.2">
      <c r="A36" s="16"/>
      <c r="B36" s="16"/>
      <c r="C36" s="16"/>
      <c r="D36" s="16"/>
      <c r="E36" s="16"/>
      <c r="F36" s="16"/>
      <c r="G36" s="16"/>
      <c r="H36" s="16"/>
      <c r="I36" s="16"/>
      <c r="J36" s="16"/>
      <c r="K36" s="16"/>
    </row>
    <row r="37" spans="1:11" x14ac:dyDescent="0.2">
      <c r="A37" s="16"/>
      <c r="B37" s="16"/>
      <c r="C37" s="16"/>
      <c r="D37" s="16"/>
      <c r="E37" s="16"/>
      <c r="F37" s="16"/>
      <c r="G37" s="16"/>
      <c r="H37" s="16"/>
      <c r="I37" s="16"/>
      <c r="J37" s="16"/>
      <c r="K37" s="16"/>
    </row>
    <row r="38" spans="1:11" x14ac:dyDescent="0.2">
      <c r="A38" s="16"/>
      <c r="B38" s="16"/>
      <c r="C38" s="16"/>
      <c r="D38" s="16"/>
      <c r="E38" s="16"/>
      <c r="F38" s="16"/>
      <c r="G38" s="16"/>
      <c r="H38" s="16"/>
      <c r="I38" s="16"/>
      <c r="J38" s="16"/>
      <c r="K38" s="16"/>
    </row>
    <row r="39" spans="1:11" x14ac:dyDescent="0.2">
      <c r="A39" s="16"/>
      <c r="B39" s="16"/>
      <c r="C39" s="16"/>
      <c r="D39" s="16"/>
      <c r="E39" s="16"/>
      <c r="F39" s="16"/>
      <c r="G39" s="16"/>
      <c r="H39" s="16"/>
      <c r="I39" s="16"/>
      <c r="J39" s="16"/>
      <c r="K39" s="16"/>
    </row>
    <row r="40" spans="1:11" x14ac:dyDescent="0.2">
      <c r="A40" s="16"/>
      <c r="B40" s="16"/>
      <c r="C40" s="16"/>
      <c r="D40" s="16"/>
      <c r="E40" s="16"/>
      <c r="F40" s="16"/>
      <c r="G40" s="16"/>
      <c r="H40" s="16"/>
      <c r="I40" s="16"/>
      <c r="J40" s="16"/>
      <c r="K40" s="16"/>
    </row>
    <row r="41" spans="1:11" x14ac:dyDescent="0.2">
      <c r="A41" s="16"/>
      <c r="B41" s="16"/>
      <c r="C41" s="16"/>
      <c r="D41" s="16"/>
      <c r="E41" s="16"/>
      <c r="F41" s="16"/>
      <c r="G41" s="16"/>
      <c r="H41" s="16"/>
      <c r="I41" s="16"/>
      <c r="J41" s="16"/>
      <c r="K41" s="16"/>
    </row>
    <row r="42" spans="1:11" x14ac:dyDescent="0.2">
      <c r="A42" s="16"/>
      <c r="B42" s="16"/>
      <c r="C42" s="16"/>
      <c r="D42" s="16"/>
      <c r="E42" s="16"/>
      <c r="F42" s="16"/>
      <c r="G42" s="16"/>
      <c r="H42" s="16"/>
      <c r="I42" s="16"/>
      <c r="J42" s="16"/>
      <c r="K42" s="16"/>
    </row>
    <row r="43" spans="1:11" x14ac:dyDescent="0.2">
      <c r="A43" s="16"/>
      <c r="B43" s="16"/>
      <c r="C43" s="16"/>
      <c r="D43" s="16"/>
      <c r="E43" s="16"/>
      <c r="F43" s="16"/>
      <c r="G43" s="16"/>
      <c r="H43" s="16"/>
      <c r="I43" s="16"/>
      <c r="J43" s="16"/>
      <c r="K43" s="16"/>
    </row>
    <row r="44" spans="1:11" x14ac:dyDescent="0.2">
      <c r="A44" s="16"/>
      <c r="B44" s="16"/>
      <c r="C44" s="16"/>
      <c r="D44" s="16"/>
      <c r="E44" s="16"/>
      <c r="F44" s="16"/>
      <c r="G44" s="16"/>
      <c r="H44" s="16"/>
      <c r="I44" s="16"/>
      <c r="J44" s="16"/>
      <c r="K44" s="16"/>
    </row>
    <row r="45" spans="1:11" x14ac:dyDescent="0.2">
      <c r="A45" s="16"/>
      <c r="B45" s="16"/>
      <c r="C45" s="16"/>
      <c r="D45" s="16"/>
      <c r="E45" s="16"/>
      <c r="F45" s="16"/>
      <c r="G45" s="16"/>
      <c r="H45" s="16"/>
      <c r="I45" s="16"/>
      <c r="J45" s="16"/>
      <c r="K45" s="16"/>
    </row>
    <row r="46" spans="1:11" x14ac:dyDescent="0.2">
      <c r="A46" s="16"/>
      <c r="B46" s="16"/>
      <c r="C46" s="16"/>
      <c r="D46" s="16"/>
      <c r="E46" s="16"/>
      <c r="F46" s="16"/>
      <c r="G46" s="16"/>
      <c r="H46" s="16"/>
      <c r="I46" s="16"/>
      <c r="J46" s="16"/>
      <c r="K46" s="16"/>
    </row>
    <row r="47" spans="1:11" x14ac:dyDescent="0.2">
      <c r="A47" s="16"/>
      <c r="B47" s="16"/>
      <c r="C47" s="16"/>
      <c r="D47" s="16"/>
      <c r="E47" s="16"/>
      <c r="F47" s="16"/>
      <c r="G47" s="16"/>
      <c r="H47" s="16"/>
      <c r="I47" s="16"/>
      <c r="J47" s="16"/>
      <c r="K47" s="16"/>
    </row>
    <row r="48" spans="1:11" x14ac:dyDescent="0.2">
      <c r="A48" s="16"/>
      <c r="B48" s="16"/>
      <c r="C48" s="16"/>
      <c r="D48" s="16"/>
      <c r="E48" s="16"/>
      <c r="F48" s="16"/>
      <c r="G48" s="16"/>
      <c r="H48" s="16"/>
      <c r="I48" s="16"/>
      <c r="J48" s="16"/>
      <c r="K48" s="16"/>
    </row>
    <row r="49" spans="1:11" x14ac:dyDescent="0.2">
      <c r="A49" s="16"/>
      <c r="B49" s="16"/>
      <c r="C49" s="16"/>
      <c r="D49" s="16"/>
      <c r="E49" s="16"/>
      <c r="F49" s="16"/>
      <c r="G49" s="16"/>
      <c r="H49" s="16"/>
      <c r="I49" s="16"/>
      <c r="J49" s="16"/>
      <c r="K49" s="16"/>
    </row>
    <row r="50" spans="1:11" x14ac:dyDescent="0.2">
      <c r="A50" s="16"/>
      <c r="B50" s="16"/>
      <c r="C50" s="16"/>
      <c r="D50" s="16"/>
      <c r="E50" s="16"/>
      <c r="F50" s="16"/>
      <c r="G50" s="16"/>
      <c r="H50" s="16"/>
      <c r="I50" s="16"/>
      <c r="J50" s="16"/>
      <c r="K50" s="16"/>
    </row>
    <row r="51" spans="1:11" x14ac:dyDescent="0.2">
      <c r="A51" s="16"/>
      <c r="B51" s="16"/>
      <c r="C51" s="16"/>
      <c r="D51" s="16"/>
      <c r="E51" s="16"/>
      <c r="F51" s="16"/>
      <c r="G51" s="16"/>
      <c r="H51" s="16"/>
      <c r="I51" s="16"/>
      <c r="J51" s="16"/>
      <c r="K51" s="16"/>
    </row>
    <row r="52" spans="1:11" x14ac:dyDescent="0.2">
      <c r="A52" s="16"/>
      <c r="B52" s="16"/>
      <c r="C52" s="16"/>
      <c r="D52" s="16"/>
      <c r="E52" s="16"/>
      <c r="F52" s="16"/>
      <c r="G52" s="16"/>
      <c r="H52" s="16"/>
      <c r="I52" s="16"/>
      <c r="J52" s="16"/>
      <c r="K52" s="16"/>
    </row>
    <row r="53" spans="1:11" x14ac:dyDescent="0.2">
      <c r="A53" s="16"/>
      <c r="B53" s="16"/>
      <c r="C53" s="16"/>
      <c r="D53" s="16"/>
      <c r="E53" s="16"/>
      <c r="F53" s="16"/>
      <c r="G53" s="16"/>
      <c r="H53" s="16"/>
      <c r="I53" s="16"/>
      <c r="J53" s="16"/>
      <c r="K53" s="16"/>
    </row>
    <row r="54" spans="1:11" x14ac:dyDescent="0.2">
      <c r="A54" s="16"/>
      <c r="B54" s="16"/>
      <c r="C54" s="16"/>
      <c r="D54" s="16"/>
      <c r="E54" s="16"/>
      <c r="F54" s="16"/>
      <c r="G54" s="16"/>
      <c r="H54" s="16"/>
      <c r="I54" s="16"/>
      <c r="J54" s="16"/>
      <c r="K54" s="16"/>
    </row>
    <row r="55" spans="1:11" x14ac:dyDescent="0.2">
      <c r="A55" s="16"/>
      <c r="B55" s="16"/>
      <c r="C55" s="16"/>
      <c r="D55" s="16"/>
      <c r="E55" s="16"/>
      <c r="F55" s="16"/>
      <c r="G55" s="16"/>
      <c r="H55" s="16"/>
      <c r="I55" s="16"/>
      <c r="J55" s="16"/>
      <c r="K55" s="16"/>
    </row>
    <row r="56" spans="1:11" x14ac:dyDescent="0.2">
      <c r="A56" s="16"/>
      <c r="B56" s="16"/>
      <c r="C56" s="16"/>
      <c r="D56" s="16"/>
      <c r="E56" s="16"/>
      <c r="F56" s="16"/>
      <c r="G56" s="16"/>
      <c r="H56" s="16"/>
      <c r="I56" s="16"/>
      <c r="J56" s="16"/>
      <c r="K56" s="16"/>
    </row>
    <row r="57" spans="1:11" x14ac:dyDescent="0.2">
      <c r="A57" s="16"/>
      <c r="B57" s="16"/>
      <c r="C57" s="16"/>
      <c r="D57" s="16"/>
      <c r="E57" s="16"/>
      <c r="F57" s="16"/>
      <c r="G57" s="16"/>
      <c r="H57" s="16"/>
      <c r="I57" s="16"/>
      <c r="J57" s="16"/>
      <c r="K57" s="16"/>
    </row>
    <row r="58" spans="1:11" x14ac:dyDescent="0.2">
      <c r="A58" s="16"/>
      <c r="B58" s="16"/>
      <c r="C58" s="16"/>
      <c r="D58" s="16"/>
      <c r="E58" s="16"/>
      <c r="F58" s="16"/>
      <c r="G58" s="16"/>
      <c r="H58" s="16"/>
      <c r="I58" s="16"/>
      <c r="J58" s="16"/>
      <c r="K58" s="16"/>
    </row>
    <row r="59" spans="1:11" x14ac:dyDescent="0.2">
      <c r="A59" s="16"/>
      <c r="B59" s="16"/>
      <c r="C59" s="16"/>
      <c r="D59" s="16"/>
      <c r="E59" s="16"/>
      <c r="F59" s="16"/>
      <c r="G59" s="16"/>
      <c r="H59" s="16"/>
      <c r="I59" s="16"/>
      <c r="J59" s="16"/>
      <c r="K59" s="16"/>
    </row>
    <row r="60" spans="1:11" x14ac:dyDescent="0.2">
      <c r="A60" s="16"/>
      <c r="B60" s="16"/>
      <c r="C60" s="16"/>
      <c r="D60" s="16"/>
      <c r="E60" s="16"/>
      <c r="F60" s="16"/>
      <c r="G60" s="16"/>
      <c r="H60" s="16"/>
      <c r="I60" s="16"/>
      <c r="J60" s="16"/>
      <c r="K60" s="16"/>
    </row>
    <row r="61" spans="1:11" x14ac:dyDescent="0.2">
      <c r="A61" s="16"/>
      <c r="B61" s="16"/>
      <c r="C61" s="16"/>
      <c r="D61" s="16"/>
      <c r="E61" s="16"/>
      <c r="F61" s="16"/>
      <c r="G61" s="16"/>
      <c r="H61" s="16"/>
      <c r="I61" s="16"/>
      <c r="J61" s="16"/>
      <c r="K61" s="16"/>
    </row>
    <row r="62" spans="1:11" x14ac:dyDescent="0.2">
      <c r="A62" s="16"/>
      <c r="B62" s="16"/>
      <c r="C62" s="16"/>
      <c r="D62" s="16"/>
      <c r="E62" s="16"/>
      <c r="F62" s="16"/>
      <c r="G62" s="16"/>
      <c r="H62" s="16"/>
      <c r="I62" s="16"/>
      <c r="J62" s="16"/>
      <c r="K62" s="16"/>
    </row>
    <row r="63" spans="1:11" x14ac:dyDescent="0.2">
      <c r="A63" s="16"/>
      <c r="B63" s="16"/>
      <c r="C63" s="16"/>
      <c r="D63" s="16"/>
      <c r="E63" s="16"/>
      <c r="F63" s="16"/>
      <c r="G63" s="16"/>
      <c r="H63" s="16"/>
      <c r="I63" s="16"/>
      <c r="J63" s="16"/>
      <c r="K63" s="16"/>
    </row>
    <row r="64" spans="1:11" x14ac:dyDescent="0.2">
      <c r="A64" s="16"/>
      <c r="B64" s="16"/>
      <c r="C64" s="16"/>
      <c r="D64" s="16"/>
      <c r="E64" s="16"/>
      <c r="F64" s="16"/>
      <c r="G64" s="16"/>
      <c r="H64" s="16"/>
      <c r="I64" s="16"/>
      <c r="J64" s="16"/>
      <c r="K64" s="16"/>
    </row>
    <row r="65" spans="1:11" x14ac:dyDescent="0.2">
      <c r="A65" s="16"/>
      <c r="B65" s="16"/>
      <c r="C65" s="16"/>
      <c r="D65" s="16"/>
      <c r="E65" s="16"/>
      <c r="F65" s="16"/>
      <c r="G65" s="16"/>
      <c r="H65" s="16"/>
      <c r="I65" s="16"/>
      <c r="J65" s="16"/>
      <c r="K65" s="16"/>
    </row>
    <row r="66" spans="1:11" x14ac:dyDescent="0.2">
      <c r="A66" s="16"/>
      <c r="B66" s="16"/>
      <c r="C66" s="16"/>
      <c r="D66" s="16"/>
      <c r="E66" s="16"/>
      <c r="F66" s="16"/>
      <c r="G66" s="16"/>
      <c r="H66" s="16"/>
      <c r="I66" s="16"/>
      <c r="J66" s="16"/>
      <c r="K66" s="16"/>
    </row>
    <row r="67" spans="1:11" x14ac:dyDescent="0.2">
      <c r="A67" s="16"/>
      <c r="B67" s="16"/>
      <c r="C67" s="16"/>
      <c r="D67" s="16"/>
      <c r="E67" s="16"/>
      <c r="F67" s="16"/>
      <c r="G67" s="16"/>
      <c r="H67" s="16"/>
      <c r="I67" s="16"/>
      <c r="J67" s="16"/>
      <c r="K67" s="16"/>
    </row>
    <row r="68" spans="1:11" x14ac:dyDescent="0.2">
      <c r="A68" s="16"/>
      <c r="B68" s="16"/>
      <c r="C68" s="16"/>
      <c r="D68" s="16"/>
      <c r="E68" s="16"/>
      <c r="F68" s="16"/>
      <c r="G68" s="16"/>
      <c r="H68" s="16"/>
      <c r="I68" s="16"/>
      <c r="J68" s="16"/>
      <c r="K68" s="16"/>
    </row>
    <row r="69" spans="1:11" x14ac:dyDescent="0.2">
      <c r="A69" s="16"/>
      <c r="B69" s="16"/>
      <c r="C69" s="16"/>
      <c r="D69" s="16"/>
      <c r="E69" s="16"/>
      <c r="F69" s="16"/>
      <c r="G69" s="16"/>
      <c r="H69" s="16"/>
      <c r="I69" s="16"/>
      <c r="J69" s="16"/>
      <c r="K69" s="16"/>
    </row>
    <row r="70" spans="1:11" x14ac:dyDescent="0.2">
      <c r="A70" s="16"/>
      <c r="B70" s="16"/>
      <c r="C70" s="16"/>
      <c r="D70" s="16"/>
      <c r="E70" s="16"/>
      <c r="F70" s="16"/>
      <c r="G70" s="16"/>
      <c r="H70" s="16"/>
      <c r="I70" s="16"/>
      <c r="J70" s="16"/>
      <c r="K70" s="16"/>
    </row>
    <row r="71" spans="1:11" x14ac:dyDescent="0.2">
      <c r="A71" s="16"/>
      <c r="B71" s="16"/>
      <c r="C71" s="16"/>
      <c r="D71" s="16"/>
      <c r="E71" s="16"/>
      <c r="F71" s="16"/>
      <c r="G71" s="16"/>
      <c r="H71" s="16"/>
      <c r="I71" s="16"/>
      <c r="J71" s="16"/>
      <c r="K71" s="16"/>
    </row>
    <row r="72" spans="1:11" x14ac:dyDescent="0.2">
      <c r="A72" s="16"/>
      <c r="B72" s="16"/>
      <c r="C72" s="16"/>
      <c r="D72" s="16"/>
      <c r="E72" s="16"/>
      <c r="F72" s="16"/>
      <c r="G72" s="16"/>
      <c r="H72" s="16"/>
      <c r="I72" s="16"/>
      <c r="J72" s="16"/>
      <c r="K72" s="16"/>
    </row>
    <row r="73" spans="1:11" x14ac:dyDescent="0.2">
      <c r="A73" s="16"/>
      <c r="B73" s="16"/>
      <c r="C73" s="16"/>
      <c r="D73" s="16"/>
      <c r="E73" s="16"/>
      <c r="F73" s="16"/>
      <c r="G73" s="16"/>
      <c r="H73" s="16"/>
      <c r="I73" s="16"/>
      <c r="J73" s="16"/>
      <c r="K73" s="16"/>
    </row>
    <row r="74" spans="1:11" x14ac:dyDescent="0.2">
      <c r="A74" s="16"/>
      <c r="B74" s="16"/>
      <c r="C74" s="16"/>
      <c r="D74" s="16"/>
      <c r="E74" s="16"/>
      <c r="F74" s="16"/>
      <c r="G74" s="16"/>
      <c r="H74" s="16"/>
      <c r="I74" s="16"/>
      <c r="J74" s="16"/>
      <c r="K74" s="16"/>
    </row>
    <row r="75" spans="1:11" x14ac:dyDescent="0.2">
      <c r="A75" s="16"/>
      <c r="B75" s="16"/>
      <c r="C75" s="16"/>
      <c r="D75" s="16"/>
      <c r="E75" s="16"/>
      <c r="F75" s="16"/>
      <c r="G75" s="16"/>
      <c r="H75" s="16"/>
      <c r="I75" s="16"/>
      <c r="J75" s="16"/>
      <c r="K75" s="16"/>
    </row>
    <row r="76" spans="1:11" x14ac:dyDescent="0.2">
      <c r="A76" s="16"/>
      <c r="B76" s="16"/>
      <c r="C76" s="16"/>
      <c r="D76" s="16"/>
      <c r="E76" s="16"/>
      <c r="F76" s="16"/>
      <c r="G76" s="16"/>
      <c r="H76" s="16"/>
      <c r="I76" s="16"/>
      <c r="J76" s="16"/>
      <c r="K76" s="16"/>
    </row>
    <row r="77" spans="1:11" x14ac:dyDescent="0.2">
      <c r="A77" s="16"/>
      <c r="B77" s="16"/>
      <c r="C77" s="16"/>
      <c r="D77" s="16"/>
      <c r="E77" s="16"/>
      <c r="F77" s="16"/>
      <c r="G77" s="16"/>
      <c r="H77" s="16"/>
      <c r="I77" s="16"/>
      <c r="J77" s="16"/>
      <c r="K77" s="16"/>
    </row>
    <row r="78" spans="1:11" x14ac:dyDescent="0.2">
      <c r="A78" s="16"/>
      <c r="B78" s="16"/>
      <c r="C78" s="16"/>
      <c r="D78" s="16"/>
      <c r="E78" s="16"/>
      <c r="F78" s="16"/>
      <c r="G78" s="16"/>
      <c r="H78" s="16"/>
      <c r="I78" s="16"/>
      <c r="J78" s="16"/>
      <c r="K78" s="16"/>
    </row>
    <row r="79" spans="1:11" x14ac:dyDescent="0.2">
      <c r="A79" s="16"/>
      <c r="B79" s="16"/>
      <c r="C79" s="16"/>
      <c r="D79" s="16"/>
      <c r="E79" s="16"/>
      <c r="F79" s="16"/>
      <c r="G79" s="16"/>
      <c r="H79" s="16"/>
      <c r="I79" s="16"/>
      <c r="J79" s="16"/>
      <c r="K79" s="16"/>
    </row>
    <row r="82" spans="1:1" x14ac:dyDescent="0.2">
      <c r="A82" s="17" t="s">
        <v>280</v>
      </c>
    </row>
  </sheetData>
  <dataValidations count="1">
    <dataValidation type="list" allowBlank="1" sqref="A2:A79" xr:uid="{00000000-0002-0000-0800-000000000000}">
      <formula1>"Arrival,Departure"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Instructions</vt:lpstr>
      <vt:lpstr>People</vt:lpstr>
      <vt:lpstr>Teams</vt:lpstr>
      <vt:lpstr>Roster</vt:lpstr>
      <vt:lpstr>Thursday</vt:lpstr>
      <vt:lpstr>Friday</vt:lpstr>
      <vt:lpstr>Saturday</vt:lpstr>
      <vt:lpstr>Sunday</vt:lpstr>
      <vt:lpstr>Airport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Sinha, Rishabh</cp:lastModifiedBy>
  <dcterms:created xsi:type="dcterms:W3CDTF">2026-08-05T05:57:42Z</dcterms:created>
  <dcterms:modified xsi:type="dcterms:W3CDTF">2026-08-05T06:07:44Z</dcterms:modified>
</cp:coreProperties>
</file>