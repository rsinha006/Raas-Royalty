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People" sheetId="2" state="visible" r:id="rId2"/>
    <sheet name="Teams" sheetId="3" state="visible" r:id="rId3"/>
    <sheet name="Roster" sheetId="4" state="visible" r:id="rId4"/>
    <sheet name="Thursday" sheetId="5" state="visible" r:id="rId5"/>
    <sheet name="Friday" sheetId="6" state="visible" r:id="rId6"/>
    <sheet name="Saturday" sheetId="7" state="visible" r:id="rId7"/>
    <sheet name="Sunday" sheetId="8" state="visible" r:id="rId8"/>
    <sheet name="Sequences" sheetId="9" state="visible" r:id="rId9"/>
    <sheet name="Slot Times" sheetId="10" state="visible" r:id="rId10"/>
    <sheet name="Vehicles" sheetId="11" state="visible" r:id="rId11"/>
    <sheet name="Windows" sheetId="12" state="visible" r:id="rId12"/>
    <sheet name="Manual Blocks" sheetId="13" state="visible" r:id="rId13"/>
    <sheet name="Export" sheetId="14" state="visible" r:id="rId14"/>
    <sheet name="Checks" sheetId="15" state="visible" r:id="rId15"/>
    <sheet name="Airport" sheetId="16" state="visible" r:id="rId16"/>
  </sheets>
  <definedNames/>
  <calcPr calcId="124519" fullCalcOnLoad="1"/>
</workbook>
</file>

<file path=xl/styles.xml><?xml version="1.0" encoding="utf-8"?>
<styleSheet xmlns="http://schemas.openxmlformats.org/spreadsheetml/2006/main">
  <numFmts count="4">
    <numFmt numFmtId="164" formatCode="yyyy-mm-dd"/>
    <numFmt numFmtId="165" formatCode="ddd mmm d, yyyy"/>
    <numFmt numFmtId="166" formatCode="ddd mmm d"/>
    <numFmt numFmtId="167" formatCode="0.0"/>
  </numFmts>
  <fonts count="11">
    <font>
      <name val="Calibri"/>
      <family val="2"/>
      <color theme="1"/>
      <sz val="11"/>
      <scheme val="minor"/>
    </font>
    <font>
      <name val="Arial"/>
      <b val="1"/>
      <sz val="16"/>
    </font>
    <font>
      <name val="Arial"/>
      <color rgb="00808080"/>
      <sz val="9"/>
    </font>
    <font>
      <name val="Arial"/>
      <b val="1"/>
      <color rgb="00FFFFFF"/>
      <sz val="12"/>
    </font>
    <font>
      <name val="Arial"/>
      <sz val="10"/>
    </font>
    <font>
      <name val="Arial"/>
      <b val="1"/>
      <sz val="10"/>
    </font>
    <font>
      <name val="Arial"/>
      <color rgb="000000FF"/>
      <sz val="10"/>
    </font>
    <font>
      <name val="Arial"/>
      <b val="1"/>
      <color rgb="00C00000"/>
      <sz val="10"/>
    </font>
    <font>
      <name val="Courier New"/>
      <sz val="10"/>
    </font>
    <font>
      <name val="Arial"/>
      <b val="1"/>
      <color rgb="00FFFFFF"/>
      <sz val="10"/>
    </font>
    <font>
      <name val="Arial"/>
      <b val="1"/>
      <color rgb="00FFFFFF"/>
      <sz val="11"/>
    </font>
  </fonts>
  <fills count="9">
    <fill>
      <patternFill/>
    </fill>
    <fill>
      <patternFill patternType="gray125"/>
    </fill>
    <fill>
      <patternFill patternType="solid">
        <fgColor rgb="002F4F4F"/>
      </patternFill>
    </fill>
    <fill>
      <patternFill patternType="solid">
        <fgColor rgb="00FFFF00"/>
      </patternFill>
    </fill>
    <fill>
      <patternFill patternType="solid">
        <fgColor rgb="00FFF2CC"/>
      </patternFill>
    </fill>
    <fill>
      <patternFill patternType="solid">
        <fgColor rgb="00DCE9F5"/>
      </patternFill>
    </fill>
    <fill>
      <patternFill patternType="solid">
        <fgColor rgb="00F2F2F2"/>
      </patternFill>
    </fill>
    <fill>
      <patternFill patternType="solid">
        <fgColor rgb="00D9D9D9"/>
      </patternFill>
    </fill>
    <fill>
      <patternFill patternType="solid">
        <fgColor rgb="005A5A5A"/>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77">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3" fillId="2" borderId="0" applyAlignment="1" pivotButton="0" quotePrefix="0" xfId="0">
      <alignment vertical="center"/>
    </xf>
    <xf numFmtId="0" fontId="4" fillId="0" borderId="0" applyAlignment="1" pivotButton="0" quotePrefix="0" xfId="0">
      <alignment vertical="top"/>
    </xf>
    <xf numFmtId="0" fontId="5" fillId="0" borderId="0" applyAlignment="1" pivotButton="0" quotePrefix="0" xfId="0">
      <alignment vertical="top"/>
    </xf>
    <xf numFmtId="0" fontId="5" fillId="0" borderId="0" applyAlignment="1" pivotButton="0" quotePrefix="0" xfId="0">
      <alignment vertical="top" wrapText="1"/>
    </xf>
    <xf numFmtId="165" fontId="6" fillId="3" borderId="1" applyAlignment="1" pivotButton="0" quotePrefix="0" xfId="0">
      <alignment vertical="top" wrapText="1"/>
    </xf>
    <xf numFmtId="0" fontId="4" fillId="0" borderId="0" applyAlignment="1" pivotButton="0" quotePrefix="0" xfId="0">
      <alignment vertical="top" wrapText="1"/>
    </xf>
    <xf numFmtId="0" fontId="7" fillId="0" borderId="0" applyAlignment="1" pivotButton="0" quotePrefix="0" xfId="0">
      <alignment vertical="top"/>
    </xf>
    <xf numFmtId="0" fontId="8" fillId="4" borderId="1" applyAlignment="1" pivotButton="0" quotePrefix="0" xfId="0">
      <alignment horizontal="left" vertical="top" wrapText="1"/>
    </xf>
    <xf numFmtId="0" fontId="8" fillId="0" borderId="0" applyAlignment="1" pivotButton="0" quotePrefix="0" xfId="0">
      <alignment vertical="top" wrapText="1"/>
    </xf>
    <xf numFmtId="0" fontId="7" fillId="0" borderId="0" applyAlignment="1" pivotButton="0" quotePrefix="0" xfId="0">
      <alignment vertical="top" wrapText="1"/>
    </xf>
    <xf numFmtId="0" fontId="5" fillId="3" borderId="1" applyAlignment="1" pivotButton="0" quotePrefix="0" xfId="0">
      <alignment vertical="center"/>
    </xf>
    <xf numFmtId="0" fontId="5" fillId="4" borderId="1" applyAlignment="1" pivotButton="0" quotePrefix="0" xfId="0">
      <alignment vertical="center"/>
    </xf>
    <xf numFmtId="0" fontId="5" fillId="5" borderId="1" applyAlignment="1" pivotButton="0" quotePrefix="0" xfId="0">
      <alignment vertical="center"/>
    </xf>
    <xf numFmtId="0" fontId="5" fillId="6" borderId="1" applyAlignment="1" pivotButton="0" quotePrefix="0" xfId="0">
      <alignment vertical="center"/>
    </xf>
    <xf numFmtId="0" fontId="5" fillId="0" borderId="1" applyAlignment="1" pivotButton="0" quotePrefix="0" xfId="0">
      <alignment vertical="center"/>
    </xf>
    <xf numFmtId="0" fontId="9" fillId="2" borderId="1" applyAlignment="1" pivotButton="0" quotePrefix="0" xfId="0">
      <alignment horizontal="center" vertical="center"/>
    </xf>
    <xf numFmtId="0" fontId="6" fillId="4" borderId="1" pivotButton="0" quotePrefix="0" xfId="0"/>
    <xf numFmtId="0" fontId="2" fillId="0" borderId="1" applyAlignment="1" pivotButton="0" quotePrefix="0" xfId="0">
      <alignment horizontal="center" vertical="center"/>
    </xf>
    <xf numFmtId="0" fontId="0" fillId="3" borderId="1" pivotButton="0" quotePrefix="0" xfId="0"/>
    <xf numFmtId="0" fontId="0" fillId="0" borderId="1" pivotButton="0" quotePrefix="0" xfId="0"/>
    <xf numFmtId="0" fontId="2" fillId="0" borderId="0" pivotButton="0" quotePrefix="0" xfId="0"/>
    <xf numFmtId="0" fontId="6" fillId="0" borderId="1" pivotButton="0" quotePrefix="0" xfId="0"/>
    <xf numFmtId="0" fontId="6" fillId="3" borderId="1" applyAlignment="1" pivotButton="0" quotePrefix="0" xfId="0">
      <alignment horizontal="center" vertical="center"/>
    </xf>
    <xf numFmtId="0" fontId="4" fillId="0" borderId="1" applyAlignment="1" pivotButton="0" quotePrefix="0" xfId="0">
      <alignment horizontal="center" vertical="center"/>
    </xf>
    <xf numFmtId="0" fontId="4" fillId="3" borderId="1" pivotButton="0" quotePrefix="0" xfId="0"/>
    <xf numFmtId="166" fontId="9" fillId="2" borderId="0" applyAlignment="1" pivotButton="0" quotePrefix="0" xfId="0">
      <alignment horizontal="center" vertical="center"/>
    </xf>
    <xf numFmtId="0" fontId="0" fillId="2" borderId="0" pivotButton="0" quotePrefix="0" xfId="0"/>
    <xf numFmtId="0" fontId="0" fillId="7" borderId="1" pivotButton="0" quotePrefix="0" xfId="0"/>
    <xf numFmtId="18" fontId="5" fillId="7" borderId="1" applyAlignment="1" pivotButton="0" quotePrefix="0" xfId="0">
      <alignment horizontal="center" vertical="center" textRotation="90"/>
    </xf>
    <xf numFmtId="0" fontId="5" fillId="7" borderId="1" pivotButton="0" quotePrefix="0" xfId="0"/>
    <xf numFmtId="0" fontId="0" fillId="0" borderId="4" pivotButton="0" quotePrefix="0" xfId="0"/>
    <xf numFmtId="0" fontId="0" fillId="0" borderId="5" pivotButton="0" quotePrefix="0" xfId="0"/>
    <xf numFmtId="0" fontId="6" fillId="3" borderId="1" applyAlignment="1" pivotButton="0" quotePrefix="0" xfId="0">
      <alignment vertical="center"/>
    </xf>
    <xf numFmtId="0" fontId="4" fillId="0" borderId="1" applyAlignment="1" pivotButton="0" quotePrefix="0" xfId="0">
      <alignment horizontal="left" vertical="top" wrapText="1"/>
    </xf>
    <xf numFmtId="0" fontId="0" fillId="0" borderId="7" pivotButton="0" quotePrefix="0" xfId="0"/>
    <xf numFmtId="0" fontId="0" fillId="0" borderId="8" pivotButton="0" quotePrefix="0" xfId="0"/>
    <xf numFmtId="0" fontId="6" fillId="0" borderId="1" applyAlignment="1" pivotButton="0" quotePrefix="0" xfId="0">
      <alignment vertical="center"/>
    </xf>
    <xf numFmtId="0" fontId="4" fillId="5" borderId="1" applyAlignment="1" pivotButton="0" quotePrefix="0" xfId="0">
      <alignment horizontal="left" vertical="top" wrapText="1"/>
    </xf>
    <xf numFmtId="0" fontId="5" fillId="6" borderId="1" applyAlignment="1" pivotButton="0" quotePrefix="0" xfId="0">
      <alignment vertical="center" wrapText="1"/>
    </xf>
    <xf numFmtId="0" fontId="4" fillId="0" borderId="1" applyAlignment="1" pivotButton="0" quotePrefix="0" xfId="0">
      <alignment vertical="center"/>
    </xf>
    <xf numFmtId="0" fontId="6" fillId="4" borderId="1" applyAlignment="1" pivotButton="0" quotePrefix="0" xfId="0">
      <alignment vertical="center"/>
    </xf>
    <xf numFmtId="0" fontId="4" fillId="4" borderId="1" applyAlignment="1" pivotButton="0" quotePrefix="0" xfId="0">
      <alignment horizontal="left" vertical="top" wrapText="1"/>
    </xf>
    <xf numFmtId="0" fontId="0" fillId="4" borderId="4" pivotButton="0" quotePrefix="0" xfId="0"/>
    <xf numFmtId="0" fontId="0" fillId="4" borderId="5" pivotButton="0" quotePrefix="0" xfId="0"/>
    <xf numFmtId="0" fontId="9" fillId="8" borderId="1" applyAlignment="1" pivotButton="0" quotePrefix="0" xfId="0">
      <alignment horizontal="center" vertical="center"/>
    </xf>
    <xf numFmtId="0" fontId="6" fillId="0" borderId="1" applyAlignment="1" pivotButton="0" quotePrefix="0" xfId="0">
      <alignment horizontal="center" vertical="center"/>
    </xf>
    <xf numFmtId="0" fontId="4" fillId="6" borderId="1" applyAlignment="1" pivotButton="0" quotePrefix="0" xfId="0">
      <alignment horizontal="center" vertical="center"/>
    </xf>
    <xf numFmtId="0" fontId="2" fillId="0" borderId="1" applyAlignment="1" pivotButton="0" quotePrefix="0" xfId="0">
      <alignment vertical="center" wrapText="1"/>
    </xf>
    <xf numFmtId="0" fontId="5" fillId="0" borderId="1" applyAlignment="1" pivotButton="0" quotePrefix="0" xfId="0">
      <alignment horizontal="center" vertical="center"/>
    </xf>
    <xf numFmtId="18" fontId="6" fillId="3" borderId="1" applyAlignment="1" pivotButton="0" quotePrefix="0" xfId="0">
      <alignment horizontal="center" vertical="center"/>
    </xf>
    <xf numFmtId="0" fontId="0" fillId="6" borderId="1" pivotButton="0" quotePrefix="0" xfId="0"/>
    <xf numFmtId="18" fontId="4" fillId="6" borderId="1" applyAlignment="1" pivotButton="0" quotePrefix="0" xfId="0">
      <alignment horizontal="center" vertical="center"/>
    </xf>
    <xf numFmtId="0" fontId="4" fillId="0" borderId="1" pivotButton="0" quotePrefix="0" xfId="0"/>
    <xf numFmtId="0" fontId="0" fillId="0" borderId="1" applyAlignment="1" pivotButton="0" quotePrefix="0" xfId="0">
      <alignment horizontal="center" vertical="center"/>
    </xf>
    <xf numFmtId="0" fontId="2" fillId="0" borderId="1" pivotButton="0" quotePrefix="0" xfId="0"/>
    <xf numFmtId="0" fontId="6" fillId="3" borderId="1" pivotButton="0" quotePrefix="0" xfId="0"/>
    <xf numFmtId="18" fontId="0" fillId="0" borderId="1" applyAlignment="1" pivotButton="0" quotePrefix="0" xfId="0">
      <alignment horizontal="center" vertical="center"/>
    </xf>
    <xf numFmtId="0" fontId="4" fillId="6" borderId="1" pivotButton="0" quotePrefix="0" xfId="0"/>
    <xf numFmtId="18" fontId="6" fillId="0" borderId="1" applyAlignment="1" pivotButton="0" quotePrefix="0" xfId="0">
      <alignment horizontal="center" vertical="center"/>
    </xf>
    <xf numFmtId="18" fontId="6" fillId="4" borderId="1" applyAlignment="1" pivotButton="0" quotePrefix="0" xfId="0">
      <alignment horizontal="center" vertical="center"/>
    </xf>
    <xf numFmtId="18" fontId="4" fillId="0" borderId="1" applyAlignment="1" pivotButton="0" quotePrefix="0" xfId="0">
      <alignment horizontal="center" vertical="center"/>
    </xf>
    <xf numFmtId="0" fontId="7" fillId="0" borderId="0" pivotButton="0" quotePrefix="0" xfId="0"/>
    <xf numFmtId="0" fontId="9" fillId="2" borderId="0" pivotButton="0" quotePrefix="0" xfId="0"/>
    <xf numFmtId="0" fontId="5" fillId="0" borderId="0" pivotButton="0" quotePrefix="0" xfId="0"/>
    <xf numFmtId="1" fontId="6" fillId="3" borderId="1" applyAlignment="1" pivotButton="0" quotePrefix="0" xfId="0">
      <alignment horizontal="center" vertical="center"/>
    </xf>
    <xf numFmtId="0" fontId="4" fillId="0" borderId="0" pivotButton="0" quotePrefix="0" xfId="0"/>
    <xf numFmtId="0" fontId="10" fillId="2" borderId="0" applyAlignment="1" pivotButton="0" quotePrefix="0" xfId="0">
      <alignment vertical="center"/>
    </xf>
    <xf numFmtId="0" fontId="5" fillId="7" borderId="1" applyAlignment="1" pivotButton="0" quotePrefix="0" xfId="0">
      <alignment horizontal="center" vertical="center"/>
    </xf>
    <xf numFmtId="1" fontId="0" fillId="0" borderId="1" applyAlignment="1" pivotButton="0" quotePrefix="0" xfId="0">
      <alignment horizontal="center" vertical="center"/>
    </xf>
    <xf numFmtId="0" fontId="5" fillId="0" borderId="1" pivotButton="0" quotePrefix="0" xfId="0"/>
    <xf numFmtId="0" fontId="7" fillId="0" borderId="1" applyAlignment="1" pivotButton="0" quotePrefix="0" xfId="0">
      <alignment horizontal="center" vertical="center"/>
    </xf>
    <xf numFmtId="167" fontId="0" fillId="0" borderId="1" applyAlignment="1" pivotButton="0" quotePrefix="0" xfId="0">
      <alignment horizontal="center" vertical="center"/>
    </xf>
    <xf numFmtId="166" fontId="6" fillId="4" borderId="1" pivotButton="0" quotePrefix="0" xfId="0"/>
    <xf numFmtId="18" fontId="6"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styles" Target="styles.xml" Id="rId17" /><Relationship Type="http://schemas.openxmlformats.org/officeDocument/2006/relationships/theme" Target="theme/theme1.xml" Id="rId1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214"/>
  <sheetViews>
    <sheetView showGridLines="0" workbookViewId="0">
      <selection activeCell="A1" sqref="A1"/>
    </sheetView>
  </sheetViews>
  <sheetFormatPr baseColWidth="8" defaultRowHeight="15"/>
  <cols>
    <col width="3" customWidth="1" min="1" max="1"/>
    <col width="30" customWidth="1" min="2" max="2"/>
    <col width="92" customWidth="1" min="3" max="3"/>
  </cols>
  <sheetData>
    <row r="2" ht="24" customHeight="1">
      <c r="B2" s="1" t="inlineStr">
        <is>
          <t>How to use this schedule file</t>
        </is>
      </c>
    </row>
    <row r="3">
      <c r="B3" s="2" t="inlineStr">
        <is>
          <t>Read this page once before you type anything. It takes about five minutes.</t>
        </is>
      </c>
    </row>
    <row r="5" ht="22" customHeight="1">
      <c r="B5" s="3" t="inlineStr">
        <is>
          <t xml:space="preserve">  WHAT THIS FILE IS</t>
        </is>
      </c>
    </row>
    <row r="6">
      <c r="B6" s="4" t="inlineStr">
        <is>
          <t>This file holds the schedule for the whole weekend.</t>
        </is>
      </c>
    </row>
    <row r="7">
      <c r="B7" s="4" t="inlineStr">
        <is>
          <t>The app reads this file. Then it shows each person only their own schedule on their phone.</t>
        </is>
      </c>
    </row>
    <row r="8">
      <c r="B8" s="4" t="inlineStr"/>
    </row>
    <row r="9">
      <c r="B9" s="4" t="inlineStr">
        <is>
          <t>If you follow the rules on this page, the app reads the file correctly.</t>
        </is>
      </c>
    </row>
    <row r="10">
      <c r="B10" s="4" t="inlineStr">
        <is>
          <t>If you break the rules, the app may show someone the wrong time, or show them nothing at all.</t>
        </is>
      </c>
    </row>
    <row r="12" ht="22" customHeight="1">
      <c r="B12" s="3" t="inlineStr">
        <is>
          <t xml:space="preserve">  STEP 1 — SET THE DATE</t>
        </is>
      </c>
    </row>
    <row r="13">
      <c r="B13" s="5" t="inlineStr">
        <is>
          <t>Type the date of the Friday of your event in the yellow box.</t>
        </is>
      </c>
    </row>
    <row r="14">
      <c r="B14" s="6" t="inlineStr">
        <is>
          <t>Event Friday date</t>
        </is>
      </c>
      <c r="C14" s="7" t="n">
        <v>46241</v>
      </c>
    </row>
    <row r="15">
      <c r="B15" s="2" t="inlineStr">
        <is>
          <t>You only do this once. Every day tab works out its own date from this one box.</t>
        </is>
      </c>
    </row>
    <row r="16">
      <c r="B16" s="2" t="inlineStr">
        <is>
          <t>It even handles the hours after midnight, so nothing lands on the wrong day.</t>
        </is>
      </c>
    </row>
    <row r="18" ht="22" customHeight="1">
      <c r="B18" s="3" t="inlineStr">
        <is>
          <t xml:space="preserve">  STEP 2 — LEARN THE TABS</t>
        </is>
      </c>
    </row>
    <row r="19">
      <c r="B19" s="4" t="inlineStr">
        <is>
          <t>The tabs are at the bottom of the window. Here is what each one holds.</t>
        </is>
      </c>
    </row>
    <row r="20">
      <c r="B20" s="4" t="inlineStr"/>
    </row>
    <row r="21">
      <c r="B21" s="6" t="inlineStr">
        <is>
          <t>Instructions</t>
        </is>
      </c>
      <c r="C21" s="8" t="inlineStr">
        <is>
          <t>This page.</t>
        </is>
      </c>
    </row>
    <row r="22">
      <c r="B22" s="6" t="inlineStr">
        <is>
          <t>Teams</t>
        </is>
      </c>
      <c r="C22" s="8" t="inlineStr">
        <is>
          <t>The eight teams. Also the show order, which you fill in later.</t>
        </is>
      </c>
    </row>
    <row r="23">
      <c r="B23" s="6" t="inlineStr">
        <is>
          <t>People</t>
        </is>
      </c>
      <c r="C23" s="8" t="inlineStr">
        <is>
          <t>Every board member, liaison, judge, videographer and RAS rep.</t>
        </is>
      </c>
    </row>
    <row r="24">
      <c r="B24" s="6" t="inlineStr">
        <is>
          <t>Roster</t>
        </is>
      </c>
      <c r="C24" s="8" t="inlineStr">
        <is>
          <t>Every dancer.</t>
        </is>
      </c>
    </row>
    <row r="25">
      <c r="B25" s="6" t="inlineStr">
        <is>
          <t>Thursday, Friday,</t>
        </is>
      </c>
      <c r="C25" s="8" t="inlineStr">
        <is>
          <t>The schedule for each day. One row per person or group.</t>
        </is>
      </c>
    </row>
    <row r="26">
      <c r="B26" s="6" t="inlineStr">
        <is>
          <t>Saturday, Sunday</t>
        </is>
      </c>
      <c r="C26" s="8" t="inlineStr"/>
    </row>
    <row r="27">
      <c r="B27" s="6" t="inlineStr">
        <is>
          <t>Sequences</t>
        </is>
      </c>
      <c r="C27" s="8" t="inlineStr">
        <is>
          <t>The recipe for anything that repeats team by team.</t>
        </is>
      </c>
    </row>
    <row r="28">
      <c r="B28" s="6" t="inlineStr">
        <is>
          <t>Slot Times</t>
        </is>
      </c>
      <c r="C28" s="8" t="inlineStr">
        <is>
          <t>When each team starts its turn. Fix a running-late day here.</t>
        </is>
      </c>
    </row>
    <row r="29">
      <c r="B29" s="6" t="inlineStr">
        <is>
          <t>Vehicles</t>
        </is>
      </c>
      <c r="C29" s="8" t="inlineStr">
        <is>
          <t>Which van takes which team, and whether it can get back in time.</t>
        </is>
      </c>
    </row>
    <row r="30">
      <c r="B30" s="6" t="inlineStr">
        <is>
          <t>Windows</t>
        </is>
      </c>
      <c r="C30" s="8" t="inlineStr">
        <is>
          <t>Meals. A range you may use, not an appointment.</t>
        </is>
      </c>
    </row>
    <row r="31">
      <c r="B31" s="6" t="inlineStr">
        <is>
          <t>Manual Blocks</t>
        </is>
      </c>
      <c r="C31" s="8" t="inlineStr">
        <is>
          <t>One-off things that are not a pipeline. Board duties, airport runs.</t>
        </is>
      </c>
    </row>
    <row r="32">
      <c r="B32" s="6" t="inlineStr">
        <is>
          <t>Export</t>
        </is>
      </c>
      <c r="C32" s="8" t="inlineStr">
        <is>
          <t>Calculated. THE ONLY TAB THE APP READS. Never type on it.</t>
        </is>
      </c>
    </row>
    <row r="33">
      <c r="B33" s="6" t="inlineStr">
        <is>
          <t>Checks</t>
        </is>
      </c>
      <c r="C33" s="8" t="inlineStr">
        <is>
          <t>Does the day fit, do rooms clash, is the day humane. Read it before you publish.</t>
        </is>
      </c>
    </row>
    <row r="34">
      <c r="B34" s="6" t="inlineStr">
        <is>
          <t>Airport</t>
        </is>
      </c>
      <c r="C34" s="8" t="inlineStr">
        <is>
          <t>Who is flying, when, and who is driving them.</t>
        </is>
      </c>
    </row>
    <row r="36" ht="22" customHeight="1">
      <c r="B36" s="3" t="inlineStr">
        <is>
          <t xml:space="preserve">  STEP 3 — FILL IN THE TABS, IN THIS ORDER</t>
        </is>
      </c>
    </row>
    <row r="37">
      <c r="B37" s="9" t="inlineStr">
        <is>
          <t>Do not skip ahead. Each tab uses what you typed in the ones before it.</t>
        </is>
      </c>
    </row>
    <row r="38">
      <c r="B38" s="4" t="inlineStr"/>
    </row>
    <row r="39" ht="14" customHeight="1">
      <c r="B39" s="6" t="inlineStr">
        <is>
          <t>1. Teams</t>
        </is>
      </c>
      <c r="C39" s="8" t="inlineStr">
        <is>
          <t>Type each team name and short name. Leave Show Order empty for now.</t>
        </is>
      </c>
    </row>
    <row r="40" ht="26" customHeight="1">
      <c r="B40" s="6" t="inlineStr">
        <is>
          <t>2. People</t>
        </is>
      </c>
      <c r="C40" s="8" t="inlineStr">
        <is>
          <t>Add one row for each board member, liaison, judge, videographer and RAS rep. Do not put dancers here.</t>
        </is>
      </c>
    </row>
    <row r="41" ht="14" customHeight="1">
      <c r="B41" s="6" t="inlineStr"/>
      <c r="C41" s="8" t="inlineStr">
        <is>
          <t>Fill in ID, Full Name, Group, Phone, Email and Type.</t>
        </is>
      </c>
    </row>
    <row r="42" ht="26" customHeight="1">
      <c r="B42" s="6" t="inlineStr"/>
      <c r="C42" s="8" t="inlineStr">
        <is>
          <t>If the person is a liaison, you must also pick their Team from the dropdown. If you skip this, they will not show up on any day tab.</t>
        </is>
      </c>
    </row>
    <row r="43" ht="14" customHeight="1">
      <c r="B43" s="6" t="inlineStr"/>
      <c r="C43" s="8" t="inlineStr">
        <is>
          <t>Never type in the Key column. It fills itself in.</t>
        </is>
      </c>
    </row>
    <row r="44" ht="26" customHeight="1">
      <c r="B44" s="6" t="inlineStr">
        <is>
          <t>3. Roster</t>
        </is>
      </c>
      <c r="C44" s="8" t="inlineStr">
        <is>
          <t>Add one row for each dancer. Pick their team from the dropdown. Put Yes in the Captain? column for captains.</t>
        </is>
      </c>
    </row>
    <row r="45" ht="14" customHeight="1">
      <c r="B45" s="6" t="inlineStr">
        <is>
          <t>4. Day tabs</t>
        </is>
      </c>
      <c r="C45" s="8" t="inlineStr">
        <is>
          <t>Fill in Thursday, Friday, Saturday and Sunday. See the next two sections.</t>
        </is>
      </c>
    </row>
    <row r="46" ht="26" customHeight="1">
      <c r="B46" s="6" t="inlineStr">
        <is>
          <t>5. Show order</t>
        </is>
      </c>
      <c r="C46" s="8" t="inlineStr">
        <is>
          <t>After the draw, go back to Teams and type each team's number, 1 to 8. Saturday then fills itself in.</t>
        </is>
      </c>
    </row>
    <row r="47" ht="14" customHeight="1">
      <c r="B47" s="6" t="inlineStr">
        <is>
          <t>6. Check it</t>
        </is>
      </c>
      <c r="C47" s="8" t="inlineStr">
        <is>
          <t>Use the checklist at the bottom of this page before you upload.</t>
        </is>
      </c>
    </row>
    <row r="48">
      <c r="B48" s="4" t="inlineStr"/>
    </row>
    <row r="49">
      <c r="B49" s="2" t="inlineStr">
        <is>
          <t>Spell each name on the People tab the way you want it to appear on that person's phone. The day tabs copy it exactly.</t>
        </is>
      </c>
    </row>
    <row r="51" ht="22" customHeight="1">
      <c r="B51" s="3" t="inlineStr">
        <is>
          <t xml:space="preserve">  STEP 4 — HOW TO ADD SOMETHING TO A DAY</t>
        </is>
      </c>
    </row>
    <row r="52">
      <c r="B52" s="4" t="inlineStr">
        <is>
          <t>A day tab is a big grid. Times run across the top. Names run down the left side.</t>
        </is>
      </c>
    </row>
    <row r="53">
      <c r="B53" s="4" t="inlineStr"/>
    </row>
    <row r="54">
      <c r="B54" s="4" t="inlineStr">
        <is>
          <t>1.  Find the person's row.</t>
        </is>
      </c>
    </row>
    <row r="55">
      <c r="B55" s="4" t="inlineStr">
        <is>
          <t>2.  Find the column for the time they start.</t>
        </is>
      </c>
    </row>
    <row r="56">
      <c r="B56" s="4" t="inlineStr">
        <is>
          <t>3.  Click that box and type what they are doing. The next section shows you how.</t>
        </is>
      </c>
    </row>
    <row r="57">
      <c r="B57" s="4" t="inlineStr">
        <is>
          <t>4.  Select that box and all the boxes to its right, up to the time they finish.</t>
        </is>
      </c>
    </row>
    <row r="58">
      <c r="B58" s="4" t="inlineStr">
        <is>
          <t xml:space="preserve">     Then click Merge. Now it is one wide box, and you can see how long it lasts.</t>
        </is>
      </c>
    </row>
    <row r="59">
      <c r="B59" s="4" t="inlineStr"/>
    </row>
    <row r="60">
      <c r="B60" s="2" t="inlineStr">
        <is>
          <t>The wide box is only there so it is easy to read. The app reads the times you typed, not how wide the box is. So the times must be right.</t>
        </is>
      </c>
    </row>
    <row r="62" ht="22" customHeight="1">
      <c r="B62" s="3" t="inlineStr">
        <is>
          <t xml:space="preserve">  STEP 5 — HOW TO WRITE ONE BOX</t>
        </is>
      </c>
    </row>
    <row r="63">
      <c r="B63" s="5" t="inlineStr">
        <is>
          <t>Every box has three lines.</t>
        </is>
      </c>
    </row>
    <row r="64">
      <c r="B64" s="2" t="inlineStr">
        <is>
          <t>To start a new line inside a box, press Alt+Enter. On a Mac, press Option+Enter.</t>
        </is>
      </c>
    </row>
    <row r="65">
      <c r="B65" s="4" t="inlineStr"/>
    </row>
    <row r="66">
      <c r="B66" s="6" t="inlineStr">
        <is>
          <t>Line 1</t>
        </is>
      </c>
      <c r="C66" s="8" t="inlineStr">
        <is>
          <t>The start time and the end time.</t>
        </is>
      </c>
    </row>
    <row r="67">
      <c r="B67" s="6" t="inlineStr">
        <is>
          <t>Line 2</t>
        </is>
      </c>
      <c r="C67" s="8" t="inlineStr">
        <is>
          <t>Where it happens.</t>
        </is>
      </c>
    </row>
    <row r="68">
      <c r="B68" s="6" t="inlineStr">
        <is>
          <t>Line 3</t>
        </is>
      </c>
      <c r="C68" s="8" t="inlineStr">
        <is>
          <t>What to do. You can use more lines here if you need them.</t>
        </is>
      </c>
    </row>
    <row r="69">
      <c r="B69" s="4" t="inlineStr"/>
    </row>
    <row r="70">
      <c r="B70" s="5" t="inlineStr">
        <is>
          <t>Here is a box done right:</t>
        </is>
      </c>
    </row>
    <row r="71" ht="48" customHeight="1">
      <c r="C71" s="10" t="inlineStr">
        <is>
          <t>6:00 AM - 5:00 PM
HOTEL (REG ROOM)
Check in teams, help Head Liaisons with room setup</t>
        </is>
      </c>
    </row>
    <row r="73" ht="22" customHeight="1">
      <c r="B73" s="3" t="inlineStr">
        <is>
          <t xml:space="preserve">  THE MOST IMPORTANT RULE</t>
        </is>
      </c>
    </row>
    <row r="74">
      <c r="B74" s="9" t="inlineStr">
        <is>
          <t>Write AM or PM on BOTH times. Every time. No exceptions.</t>
        </is>
      </c>
    </row>
    <row r="75">
      <c r="B75" s="4" t="inlineStr"/>
    </row>
    <row r="76">
      <c r="B76" s="4" t="inlineStr">
        <is>
          <t>Write 7:30 PM - 9:30 PM.  Do not write 7:30 - 9:30 PM.</t>
        </is>
      </c>
    </row>
    <row r="77">
      <c r="B77" s="4" t="inlineStr"/>
    </row>
    <row r="78">
      <c r="B78" s="4" t="inlineStr">
        <is>
          <t>If you leave AM or PM off the first time, the app reads 7:30 PM as 7:30 in the morning.</t>
        </is>
      </c>
    </row>
    <row r="79">
      <c r="B79" s="4" t="inlineStr">
        <is>
          <t>That is twelve hours wrong. Someone will miss the thing they were supposed to be at.</t>
        </is>
      </c>
    </row>
    <row r="80">
      <c r="B80" s="4" t="inlineStr"/>
    </row>
    <row r="81">
      <c r="B81" s="2" t="inlineStr">
        <is>
          <t>This went wrong 192 times in last year's file. It is the easiest mistake to make and the hardest one to spot.</t>
        </is>
      </c>
    </row>
    <row r="82">
      <c r="B82" s="4" t="inlineStr"/>
    </row>
    <row r="83">
      <c r="B83" s="6" t="inlineStr">
        <is>
          <t>RIGHT</t>
        </is>
      </c>
      <c r="C83" s="11" t="inlineStr">
        <is>
          <t>9:30 PM - 10:30 PM</t>
        </is>
      </c>
    </row>
    <row r="84">
      <c r="B84" s="12" t="inlineStr">
        <is>
          <t>WRONG</t>
        </is>
      </c>
      <c r="C84" s="11" t="inlineStr">
        <is>
          <t>9:30 - 10:30            (no AM or PM at all)</t>
        </is>
      </c>
    </row>
    <row r="85">
      <c r="B85" s="12" t="inlineStr">
        <is>
          <t>WRONG</t>
        </is>
      </c>
      <c r="C85" s="11" t="inlineStr">
        <is>
          <t>9:30 - 10:30 PM         (missing on the first time)</t>
        </is>
      </c>
    </row>
    <row r="86">
      <c r="B86" s="12" t="inlineStr">
        <is>
          <t>WRONG</t>
        </is>
      </c>
      <c r="C86" s="11" t="inlineStr">
        <is>
          <t>9:30-10:30pm            (missing on the first time)</t>
        </is>
      </c>
    </row>
    <row r="87">
      <c r="B87" s="12" t="inlineStr">
        <is>
          <t>WRONG</t>
        </is>
      </c>
      <c r="C87" s="11" t="inlineStr">
        <is>
          <t>after the show          (not a real time)</t>
        </is>
      </c>
    </row>
    <row r="89" ht="22" customHeight="1">
      <c r="B89" s="3" t="inlineStr">
        <is>
          <t xml:space="preserve">  WHO GOES ON WHICH ROW</t>
        </is>
      </c>
    </row>
    <row r="90" ht="14" customHeight="1">
      <c r="B90" s="6" t="inlineStr">
        <is>
          <t>BOARD MEMBERS</t>
        </is>
      </c>
      <c r="C90" s="8" t="inlineStr">
        <is>
          <t>Five rows for each position. Type the names yourself.</t>
        </is>
      </c>
    </row>
    <row r="91" ht="14" customHeight="1">
      <c r="B91" s="6" t="inlineStr">
        <is>
          <t>TEAMS</t>
        </is>
      </c>
      <c r="C91" s="8" t="inlineStr">
        <is>
          <t>One row per team. Whatever you type here is for the whole team.</t>
        </is>
      </c>
    </row>
    <row r="92" ht="14" customHeight="1">
      <c r="B92" s="6" t="inlineStr">
        <is>
          <t>JUDGES</t>
        </is>
      </c>
      <c r="C92" s="8" t="inlineStr">
        <is>
          <t>One row. All the judges move together, so one row is enough.</t>
        </is>
      </c>
    </row>
    <row r="93" ht="14" customHeight="1">
      <c r="B93" s="6" t="inlineStr">
        <is>
          <t>VIDEOGRAPHERS</t>
        </is>
      </c>
      <c r="C93" s="8" t="inlineStr">
        <is>
          <t>One row. Same reason.</t>
        </is>
      </c>
    </row>
    <row r="94" ht="14" customHeight="1">
      <c r="B94" s="6" t="inlineStr">
        <is>
          <t>RAS REPS</t>
        </is>
      </c>
      <c r="C94" s="8" t="inlineStr">
        <is>
          <t>Five rows. They move on their own, so each one gets a row.</t>
        </is>
      </c>
    </row>
    <row r="95" ht="14" customHeight="1">
      <c r="B95" s="6" t="inlineStr">
        <is>
          <t>LIAISONS</t>
        </is>
      </c>
      <c r="C95" s="8" t="inlineStr">
        <is>
          <t>Five rows per team. Do NOT type names here. They come from the People tab.</t>
        </is>
      </c>
    </row>
    <row r="96" ht="14" customHeight="1">
      <c r="B96" s="6" t="inlineStr">
        <is>
          <t>JUDGE LIAISONS</t>
        </is>
      </c>
      <c r="C96" s="8" t="inlineStr">
        <is>
          <t>Five rows. Type the names yourself.</t>
        </is>
      </c>
    </row>
    <row r="97">
      <c r="B97" s="4" t="inlineStr"/>
    </row>
    <row r="98">
      <c r="B98" s="4" t="inlineStr">
        <is>
          <t>Every position has five rows even if you only need two. Leave the extra rows empty.</t>
        </is>
      </c>
    </row>
    <row r="99">
      <c r="B99" s="2" t="inlineStr">
        <is>
          <t>That is on purpose. It keeps all four days lined up, so the same person is on the same row number every day.</t>
        </is>
      </c>
    </row>
    <row r="101" ht="22" customHeight="1">
      <c r="B101" s="3" t="inlineStr">
        <is>
          <t xml:space="preserve">  SATURDAY WORKS DIFFERENTLY</t>
        </is>
      </c>
    </row>
    <row r="102">
      <c r="B102" s="5" t="inlineStr">
        <is>
          <t>Saturday runs on the show order, so its rows are built around it.</t>
        </is>
      </c>
    </row>
    <row r="103">
      <c r="B103" s="4" t="inlineStr"/>
    </row>
    <row r="104">
      <c r="B104" s="4" t="inlineStr">
        <is>
          <t>On Saturday the team rows do not say team names. They say Show Order 1 through Show Order 8. The liaison rows are in show order too.</t>
        </is>
      </c>
    </row>
    <row r="105">
      <c r="B105" s="4" t="inlineStr"/>
    </row>
    <row r="106">
      <c r="B106" s="4" t="inlineStr">
        <is>
          <t>This means you can build all of Saturday before the draw happens.</t>
        </is>
      </c>
    </row>
    <row r="107">
      <c r="B107" s="4" t="inlineStr"/>
    </row>
    <row r="108">
      <c r="B108" s="4" t="inlineStr">
        <is>
          <t>When you type the show order on the Teams tab, Saturday fills itself in. The team names appear, and the right liaisons appear underneath them.</t>
        </is>
      </c>
    </row>
    <row r="109">
      <c r="B109" s="4" t="inlineStr"/>
    </row>
    <row r="110">
      <c r="B110" s="2" t="inlineStr">
        <is>
          <t>Until you do that, Saturday says "(not drawn)". That is normal. It is not an error.</t>
        </is>
      </c>
    </row>
    <row r="112" ht="22" customHeight="1">
      <c r="B112" s="3" t="inlineStr">
        <is>
          <t xml:space="preserve">  THINGS THAT REPEAT TEAM BY TEAM</t>
        </is>
      </c>
    </row>
    <row r="113">
      <c r="B113" s="5" t="inlineStr">
        <is>
          <t>Some parts of Saturday are the same thing, done by every team in turn.</t>
        </is>
      </c>
    </row>
    <row r="114">
      <c r="B114" s="4" t="inlineStr"/>
    </row>
    <row r="115">
      <c r="B115" s="4" t="inlineStr">
        <is>
          <t>Practice is the clearest one. Every team reports to the lobby, loads vans, rehearses on</t>
        </is>
      </c>
    </row>
    <row r="116">
      <c r="B116" s="4" t="inlineStr">
        <is>
          <t>stage, sits in the viewing room, rehearses off stage, and comes back. The same ten steps,</t>
        </is>
      </c>
    </row>
    <row r="117">
      <c r="B117" s="4" t="inlineStr">
        <is>
          <t>spaced the same way. Only the start time is different.</t>
        </is>
      </c>
    </row>
    <row r="118">
      <c r="B118" s="4" t="inlineStr"/>
    </row>
    <row r="119">
      <c r="B119" s="4" t="inlineStr">
        <is>
          <t>You do not type those out. You type the recipe once, plus the start times, and the rest</t>
        </is>
      </c>
    </row>
    <row r="120">
      <c r="B120" s="4" t="inlineStr">
        <is>
          <t>works itself out. We call that a pipeline.</t>
        </is>
      </c>
    </row>
    <row r="121">
      <c r="B121" s="4" t="inlineStr"/>
    </row>
    <row r="122" ht="26" customHeight="1">
      <c r="B122" s="6" t="inlineStr">
        <is>
          <t>Sequences tab</t>
        </is>
      </c>
      <c r="C122" s="8" t="inlineStr">
        <is>
          <t>The recipe. Each step, how many minutes after that team's start time it happens, how long it lasts, and where.</t>
        </is>
      </c>
    </row>
    <row r="123" ht="26" customHeight="1">
      <c r="B123" s="6" t="inlineStr">
        <is>
          <t>Slot Times tab</t>
        </is>
      </c>
      <c r="C123" s="8" t="inlineStr">
        <is>
          <t>When each team goes. Slot 1 has an Anchor, which is a real clock time. Every slot after it is the one before it, plus a Gap.</t>
        </is>
      </c>
    </row>
    <row r="124" ht="26" customHeight="1">
      <c r="B124" s="6" t="inlineStr">
        <is>
          <t>Team Blocks tab</t>
        </is>
      </c>
      <c r="C124" s="8" t="inlineStr">
        <is>
          <t>The answer, calculated for you. This is what the app reads. Never type on it.</t>
        </is>
      </c>
    </row>
    <row r="125">
      <c r="B125" s="4" t="inlineStr"/>
    </row>
    <row r="126">
      <c r="B126" s="5" t="inlineStr">
        <is>
          <t>HOW TO FIX A RUNNING-LATE DAY</t>
        </is>
      </c>
    </row>
    <row r="127">
      <c r="B127" s="4" t="inlineStr"/>
    </row>
    <row r="128" ht="14" customHeight="1">
      <c r="B128" s="6" t="inlineStr">
        <is>
          <t>Everyone is late</t>
        </is>
      </c>
      <c r="C128" s="8" t="inlineStr">
        <is>
          <t>Change the Anchor on Slot Times. Every team moves together.</t>
        </is>
      </c>
    </row>
    <row r="129" ht="26" customHeight="1">
      <c r="B129" s="6" t="inlineStr">
        <is>
          <t>One team ran long</t>
        </is>
      </c>
      <c r="C129" s="8" t="inlineStr">
        <is>
          <t>Raise the Gap on the NEXT slot. That team and everyone after it move. Teams that already finished do not.</t>
        </is>
      </c>
    </row>
    <row r="130" ht="14" customHeight="1">
      <c r="B130" s="6" t="inlineStr">
        <is>
          <t>Only one team</t>
        </is>
      </c>
      <c r="C130" s="8" t="inlineStr">
        <is>
          <t>Put minutes in that slot's Adjust box. Nobody else moves.</t>
        </is>
      </c>
    </row>
    <row r="131">
      <c r="B131" s="4" t="inlineStr"/>
    </row>
    <row r="132">
      <c r="B132" s="2" t="inlineStr">
        <is>
          <t>You change one number instead of fifty. And two teams can never land on stage at the same time, because the spacing is arithmetic, not typing.</t>
        </is>
      </c>
    </row>
    <row r="134" ht="22" customHeight="1">
      <c r="B134" s="3" t="inlineStr">
        <is>
          <t xml:space="preserve">  DOES THE DAY STILL FIT?</t>
        </is>
      </c>
    </row>
    <row r="135">
      <c r="B135" s="5" t="inlineStr">
        <is>
          <t>Open the Checks tab after any change. It is the only place that tells you.</t>
        </is>
      </c>
    </row>
    <row r="136">
      <c r="B136" s="4" t="inlineStr"/>
    </row>
    <row r="137">
      <c r="B137" s="4" t="inlineStr">
        <is>
          <t>Some times are ANCHORS. Doors open and curtain never move. An audience is holding tickets.</t>
        </is>
      </c>
    </row>
    <row r="138">
      <c r="B138" s="4" t="inlineStr">
        <is>
          <t>Everything else has to fit around them.</t>
        </is>
      </c>
    </row>
    <row r="139">
      <c r="B139" s="4" t="inlineStr"/>
    </row>
    <row r="140">
      <c r="B140" s="4" t="inlineStr">
        <is>
          <t>Slack is the spare time between one thing finishing and the next one starting.</t>
        </is>
      </c>
    </row>
    <row r="141">
      <c r="B141" s="4" t="inlineStr"/>
    </row>
    <row r="142">
      <c r="B142" s="6" t="inlineStr">
        <is>
          <t>OK</t>
        </is>
      </c>
      <c r="C142" s="8" t="inlineStr">
        <is>
          <t>There is room. Carry on.</t>
        </is>
      </c>
    </row>
    <row r="143">
      <c r="B143" s="6" t="inlineStr">
        <is>
          <t>TIGHT</t>
        </is>
      </c>
      <c r="C143" s="8" t="inlineStr">
        <is>
          <t>It fits, but only just. Keep an eye on it.</t>
        </is>
      </c>
    </row>
    <row r="144" ht="26" customHeight="1">
      <c r="B144" s="12" t="inlineStr">
        <is>
          <t>OVERLAP</t>
        </is>
      </c>
      <c r="C144" s="8" t="inlineStr">
        <is>
          <t>It does not fit any more. Nothing will fix this by itself. Shorten something, drop a step, or start earlier.</t>
        </is>
      </c>
    </row>
    <row r="145">
      <c r="B145" s="4" t="inlineStr"/>
    </row>
    <row r="146">
      <c r="B146" s="4" t="inlineStr">
        <is>
          <t>A delay moves the rest of its own pipeline by itself. It does NOT push into the next one.</t>
        </is>
      </c>
    </row>
    <row r="147">
      <c r="B147" s="4" t="inlineStr">
        <is>
          <t>That is on purpose. If a delay could push past curtain, this file would happily show you a</t>
        </is>
      </c>
    </row>
    <row r="148">
      <c r="B148" s="2" t="inlineStr">
        <is>
          <t>show starting at 5:30 that cannot actually happen, and nobody would be told.</t>
        </is>
      </c>
    </row>
    <row r="150" ht="22" customHeight="1">
      <c r="B150" s="3" t="inlineStr">
        <is>
          <t xml:space="preserve">  GETTING IT INTO THE APP</t>
        </is>
      </c>
    </row>
    <row r="151">
      <c r="B151" s="5" t="inlineStr">
        <is>
          <t>This file lives in Google Sheets. The app reads ONE tab from it: Export.</t>
        </is>
      </c>
    </row>
    <row r="152">
      <c r="B152" s="4" t="inlineStr"/>
    </row>
    <row r="153">
      <c r="B153" s="4" t="inlineStr">
        <is>
          <t>You never type on Export. It builds itself from the pipelines, the meal windows and the</t>
        </is>
      </c>
    </row>
    <row r="154">
      <c r="B154" s="4" t="inlineStr">
        <is>
          <t>Manual Blocks tab.</t>
        </is>
      </c>
    </row>
    <row r="155">
      <c r="B155" s="4" t="inlineStr"/>
    </row>
    <row r="156">
      <c r="B156" s="4" t="inlineStr">
        <is>
          <t>To connect it the first time:</t>
        </is>
      </c>
    </row>
    <row r="157">
      <c r="B157" s="4" t="inlineStr"/>
    </row>
    <row r="158">
      <c r="B158" s="4" t="inlineStr">
        <is>
          <t>1.  File  &gt;  Share  &gt;  Publish to web</t>
        </is>
      </c>
    </row>
    <row r="159">
      <c r="B159" s="4" t="inlineStr">
        <is>
          <t>2.  Choose the Export tab, and Comma-separated values (.csv)</t>
        </is>
      </c>
    </row>
    <row r="160">
      <c r="B160" s="4" t="inlineStr">
        <is>
          <t>3.  Press Publish and copy the link</t>
        </is>
      </c>
    </row>
    <row r="161">
      <c r="B161" s="4" t="inlineStr">
        <is>
          <t>4.  Give that link to whoever runs the app. They set it once.</t>
        </is>
      </c>
    </row>
    <row r="162">
      <c r="B162" s="4" t="inlineStr"/>
    </row>
    <row r="163">
      <c r="B163" s="4" t="inlineStr">
        <is>
          <t>After that, anything you change in this file reaches people's phones on its own. You do</t>
        </is>
      </c>
    </row>
    <row r="164">
      <c r="B164" s="4" t="inlineStr">
        <is>
          <t>not upload anything again.</t>
        </is>
      </c>
    </row>
    <row r="165">
      <c r="B165" s="4" t="inlineStr"/>
    </row>
    <row r="166">
      <c r="B166" s="5" t="inlineStr">
        <is>
          <t>WHAT GOES WHERE</t>
        </is>
      </c>
    </row>
    <row r="167">
      <c r="B167" s="4" t="inlineStr"/>
    </row>
    <row r="168" ht="14" customHeight="1">
      <c r="B168" s="6" t="inlineStr">
        <is>
          <t>Repeats team by team</t>
        </is>
      </c>
      <c r="C168" s="8" t="inlineStr">
        <is>
          <t>Sequences + Slot Times. Practice, photos, the backstage flow.</t>
        </is>
      </c>
    </row>
    <row r="169" ht="14" customHeight="1">
      <c r="B169" s="6" t="inlineStr">
        <is>
          <t>Meals</t>
        </is>
      </c>
      <c r="C169" s="8" t="inlineStr">
        <is>
          <t>Windows.</t>
        </is>
      </c>
    </row>
    <row r="170" ht="14" customHeight="1">
      <c r="B170" s="6" t="inlineStr">
        <is>
          <t>Everything else</t>
        </is>
      </c>
      <c r="C170" s="8" t="inlineStr">
        <is>
          <t>Manual Blocks. Board duties, airport runs, one-offs.</t>
        </is>
      </c>
    </row>
    <row r="171">
      <c r="B171" s="4" t="inlineStr"/>
    </row>
    <row r="172">
      <c r="B172" s="2" t="inlineStr">
        <is>
          <t>The four day tabs are for planning and for reading on a wall. They do NOT reach the app. If something has to show up on a phone, it goes on Manual Blocks or comes from a pipeline.</t>
        </is>
      </c>
    </row>
    <row r="174" ht="22" customHeight="1">
      <c r="B174" s="3" t="inlineStr">
        <is>
          <t xml:space="preserve">  WHAT THE COLOURS MEAN</t>
        </is>
      </c>
    </row>
    <row r="175">
      <c r="B175" s="13" t="inlineStr">
        <is>
          <t xml:space="preserve">   Yellow</t>
        </is>
      </c>
      <c r="C175" s="8" t="inlineStr">
        <is>
          <t>Type here.</t>
        </is>
      </c>
    </row>
    <row r="176">
      <c r="B176" s="14" t="inlineStr">
        <is>
          <t xml:space="preserve">   Tan</t>
        </is>
      </c>
      <c r="C176" s="8" t="inlineStr">
        <is>
          <t>An example. Type over it.</t>
        </is>
      </c>
    </row>
    <row r="177">
      <c r="B177" s="15" t="inlineStr">
        <is>
          <t xml:space="preserve">   Blue</t>
        </is>
      </c>
      <c r="C177" s="8" t="inlineStr">
        <is>
          <t>A group that moves as one. What you type is for everyone in it.</t>
        </is>
      </c>
    </row>
    <row r="178">
      <c r="B178" s="16" t="inlineStr">
        <is>
          <t xml:space="preserve">   Grey</t>
        </is>
      </c>
      <c r="C178" s="8" t="inlineStr">
        <is>
          <t>A label. Do not change it.</t>
        </is>
      </c>
    </row>
    <row r="179">
      <c r="B179" s="17" t="inlineStr">
        <is>
          <t xml:space="preserve">   White</t>
        </is>
      </c>
      <c r="C179" s="8" t="inlineStr">
        <is>
          <t>A schedule box. Type here.</t>
        </is>
      </c>
    </row>
    <row r="181" ht="22" customHeight="1">
      <c r="B181" s="3" t="inlineStr">
        <is>
          <t xml:space="preserve">  WHAT THE WARNING WORDS MEAN</t>
        </is>
      </c>
    </row>
    <row r="182">
      <c r="B182" s="4" t="inlineStr">
        <is>
          <t>If you see one of these in the file, something needs fixing.</t>
        </is>
      </c>
    </row>
    <row r="183">
      <c r="B183" s="4" t="inlineStr"/>
    </row>
    <row r="184" ht="26" customHeight="1">
      <c r="B184" s="12" t="inlineStr">
        <is>
          <t>?? CHECK NAME</t>
        </is>
      </c>
      <c r="C184" s="8" t="inlineStr">
        <is>
          <t>This name is not spelled the same as on the People tab. Fix the spelling. Until you do, this row will not load into the app.</t>
        </is>
      </c>
    </row>
    <row r="185" ht="14" customHeight="1">
      <c r="B185" s="12" t="inlineStr">
        <is>
          <t>(not drawn)</t>
        </is>
      </c>
      <c r="C185" s="8" t="inlineStr">
        <is>
          <t>The show order is not filled in yet. Go to the Teams tab and fill it in.</t>
        </is>
      </c>
    </row>
    <row r="186" ht="26" customHeight="1">
      <c r="B186" s="12" t="inlineStr">
        <is>
          <t>DUPLICATE</t>
        </is>
      </c>
      <c r="C186" s="8" t="inlineStr">
        <is>
          <t>Two teams have been given the same show order number. Only one team can be in each slot.</t>
        </is>
      </c>
    </row>
    <row r="188" ht="22" customHeight="1">
      <c r="B188" s="3" t="inlineStr">
        <is>
          <t xml:space="preserve">  DO NOT DO THESE THINGS</t>
        </is>
      </c>
    </row>
    <row r="189">
      <c r="B189" s="4" t="inlineStr">
        <is>
          <t>•  Do not add rows. Do not delete rows. Do not move rows.</t>
        </is>
      </c>
    </row>
    <row r="190">
      <c r="B190" s="4" t="inlineStr">
        <is>
          <t>•  Do not add or delete columns.</t>
        </is>
      </c>
    </row>
    <row r="191">
      <c r="B191" s="4" t="inlineStr">
        <is>
          <t>•  Do not rename a tab.</t>
        </is>
      </c>
    </row>
    <row r="192">
      <c r="B192" s="4" t="inlineStr">
        <is>
          <t>•  Do not change the words in the grey column on the left of a day tab.</t>
        </is>
      </c>
    </row>
    <row r="193">
      <c r="B193" s="4" t="inlineStr">
        <is>
          <t>•  Do not type in the Key column on the People tab.</t>
        </is>
      </c>
    </row>
    <row r="194">
      <c r="B194" s="4" t="inlineStr">
        <is>
          <t>•  Do not type over a formula. Click a box first — if you see an = sign in the bar at the top, leave that box alone.</t>
        </is>
      </c>
    </row>
    <row r="195">
      <c r="B195" s="4" t="inlineStr">
        <is>
          <t>•  Do not put two different activities in one box. Use two boxes.</t>
        </is>
      </c>
    </row>
    <row r="196">
      <c r="B196" s="4" t="inlineStr">
        <is>
          <t>•  Do not write a time in words, like "after lunch". Write a real time.</t>
        </is>
      </c>
    </row>
    <row r="197">
      <c r="B197" s="4" t="inlineStr"/>
    </row>
    <row r="198">
      <c r="B198" s="2" t="inlineStr">
        <is>
          <t>These rules are here because the app matches people by row and by name. If rows move or names change, it matches the wrong person, or nobody.</t>
        </is>
      </c>
    </row>
    <row r="200" ht="22" customHeight="1">
      <c r="B200" s="3" t="inlineStr">
        <is>
          <t xml:space="preserve">  CHECK THIS BEFORE YOU UPLOAD</t>
        </is>
      </c>
    </row>
    <row r="201">
      <c r="B201" s="5" t="inlineStr">
        <is>
          <t>Go down this list every time. Fix anything you find.</t>
        </is>
      </c>
    </row>
    <row r="202">
      <c r="B202" s="4" t="inlineStr"/>
    </row>
    <row r="203">
      <c r="B203" s="4" t="inlineStr">
        <is>
          <t xml:space="preserve">   1.  Every row on the Teams tab says OK in the Check column.</t>
        </is>
      </c>
    </row>
    <row r="204">
      <c r="B204" s="4" t="inlineStr">
        <is>
          <t xml:space="preserve">   2.  Nowhere in the file does it say "?? CHECK NAME".</t>
        </is>
      </c>
    </row>
    <row r="205">
      <c r="B205" s="4" t="inlineStr">
        <is>
          <t xml:space="preserve">   3.  The Checks tab shows no OVERLAP, no OVERLOAD and no CLASH.</t>
        </is>
      </c>
    </row>
    <row r="206">
      <c r="B206" s="4" t="inlineStr">
        <is>
          <t xml:space="preserve">   4.  Nowhere on Saturday does it say "(not drawn)".</t>
        </is>
      </c>
    </row>
    <row r="207">
      <c r="B207" s="4" t="inlineStr">
        <is>
          <t xml:space="preserve">   5.  Every schedule box starts with a time.</t>
        </is>
      </c>
    </row>
    <row r="208">
      <c r="B208" s="4" t="inlineStr">
        <is>
          <t xml:space="preserve">   6.  Every one of those times has AM or PM on BOTH ends.</t>
        </is>
      </c>
    </row>
    <row r="209">
      <c r="B209" s="4" t="inlineStr">
        <is>
          <t xml:space="preserve">   7.  The date at the top of this page is the right Friday.</t>
        </is>
      </c>
    </row>
    <row r="211" ht="22" customHeight="1">
      <c r="B211" s="3" t="inlineStr">
        <is>
          <t xml:space="preserve">  IF SOMETHING LOOKS BROKEN</t>
        </is>
      </c>
    </row>
    <row r="212">
      <c r="B212" s="9" t="inlineStr">
        <is>
          <t>Do not try to fix it by deleting rows or columns.</t>
        </is>
      </c>
    </row>
    <row r="213">
      <c r="B213" s="4" t="inlineStr">
        <is>
          <t>Ask whoever owns this file first.</t>
        </is>
      </c>
    </row>
    <row r="214">
      <c r="B214" s="4" t="inlineStr">
        <is>
          <t>A broken file takes much longer to fix than a wrong time does.</t>
        </is>
      </c>
    </row>
  </sheetData>
  <mergeCells count="136">
    <mergeCell ref="B165:C165"/>
    <mergeCell ref="B141:C141"/>
    <mergeCell ref="B115:C115"/>
    <mergeCell ref="B155:C155"/>
    <mergeCell ref="B193:C193"/>
    <mergeCell ref="B102:C102"/>
    <mergeCell ref="B12:C12"/>
    <mergeCell ref="B77:C77"/>
    <mergeCell ref="B151:C151"/>
    <mergeCell ref="B101:C101"/>
    <mergeCell ref="B13:C13"/>
    <mergeCell ref="B69:C69"/>
    <mergeCell ref="B182:C182"/>
    <mergeCell ref="B38:C38"/>
    <mergeCell ref="B78:C78"/>
    <mergeCell ref="B191:C191"/>
    <mergeCell ref="B112:C112"/>
    <mergeCell ref="B205:C205"/>
    <mergeCell ref="B127:C127"/>
    <mergeCell ref="B211:C211"/>
    <mergeCell ref="B49:C49"/>
    <mergeCell ref="B55:C55"/>
    <mergeCell ref="B183:C183"/>
    <mergeCell ref="B64:C64"/>
    <mergeCell ref="B104:C104"/>
    <mergeCell ref="B51:C51"/>
    <mergeCell ref="B164:C164"/>
    <mergeCell ref="B63:C63"/>
    <mergeCell ref="B197:C197"/>
    <mergeCell ref="B154:C154"/>
    <mergeCell ref="B212:C212"/>
    <mergeCell ref="B206:C206"/>
    <mergeCell ref="B106:C106"/>
    <mergeCell ref="B200:C200"/>
    <mergeCell ref="B16:C16"/>
    <mergeCell ref="B138:C138"/>
    <mergeCell ref="B209:C209"/>
    <mergeCell ref="B3:C3"/>
    <mergeCell ref="B156:C156"/>
    <mergeCell ref="B131:C131"/>
    <mergeCell ref="B18:C18"/>
    <mergeCell ref="B140:C140"/>
    <mergeCell ref="B2:C2"/>
    <mergeCell ref="B195:C195"/>
    <mergeCell ref="B117:C117"/>
    <mergeCell ref="B157:C157"/>
    <mergeCell ref="B132:C132"/>
    <mergeCell ref="B53:C53"/>
    <mergeCell ref="B166:C166"/>
    <mergeCell ref="B119:C119"/>
    <mergeCell ref="B116:C116"/>
    <mergeCell ref="B103:C103"/>
    <mergeCell ref="B37:C37"/>
    <mergeCell ref="B174:C174"/>
    <mergeCell ref="B196:C196"/>
    <mergeCell ref="B118:C118"/>
    <mergeCell ref="B158:C158"/>
    <mergeCell ref="B6:C6"/>
    <mergeCell ref="B15:C15"/>
    <mergeCell ref="B80:C80"/>
    <mergeCell ref="B213:C213"/>
    <mergeCell ref="B89:C89"/>
    <mergeCell ref="B160:C160"/>
    <mergeCell ref="B79:C79"/>
    <mergeCell ref="B97:C97"/>
    <mergeCell ref="B153:C153"/>
    <mergeCell ref="B54:C54"/>
    <mergeCell ref="B125:C125"/>
    <mergeCell ref="B7:C7"/>
    <mergeCell ref="B134:C134"/>
    <mergeCell ref="B81:C81"/>
    <mergeCell ref="B194:C194"/>
    <mergeCell ref="B208:C208"/>
    <mergeCell ref="B121:C121"/>
    <mergeCell ref="B56:C56"/>
    <mergeCell ref="B105:C105"/>
    <mergeCell ref="B214:C214"/>
    <mergeCell ref="B58:C58"/>
    <mergeCell ref="B52:C52"/>
    <mergeCell ref="B120:C120"/>
    <mergeCell ref="B98:C98"/>
    <mergeCell ref="B107:C107"/>
    <mergeCell ref="B60:C60"/>
    <mergeCell ref="B203:C203"/>
    <mergeCell ref="B57:C57"/>
    <mergeCell ref="B148:C148"/>
    <mergeCell ref="B82:C82"/>
    <mergeCell ref="B162:C162"/>
    <mergeCell ref="B171:C171"/>
    <mergeCell ref="B19:C19"/>
    <mergeCell ref="B172:C172"/>
    <mergeCell ref="B146:C146"/>
    <mergeCell ref="B99:C99"/>
    <mergeCell ref="B108:C108"/>
    <mergeCell ref="B9:C9"/>
    <mergeCell ref="B5:C5"/>
    <mergeCell ref="B20:C20"/>
    <mergeCell ref="B76:C76"/>
    <mergeCell ref="B189:C189"/>
    <mergeCell ref="B204:C204"/>
    <mergeCell ref="B198:C198"/>
    <mergeCell ref="B188:C188"/>
    <mergeCell ref="B126:C126"/>
    <mergeCell ref="B75:C75"/>
    <mergeCell ref="B135:C135"/>
    <mergeCell ref="B109:C109"/>
    <mergeCell ref="B62:C62"/>
    <mergeCell ref="B59:C59"/>
    <mergeCell ref="B150:C150"/>
    <mergeCell ref="B190:C190"/>
    <mergeCell ref="B202:C202"/>
    <mergeCell ref="B159:C159"/>
    <mergeCell ref="B152:C152"/>
    <mergeCell ref="B167:C167"/>
    <mergeCell ref="B70:C70"/>
    <mergeCell ref="B48:C48"/>
    <mergeCell ref="B161:C161"/>
    <mergeCell ref="B136:C136"/>
    <mergeCell ref="B145:C145"/>
    <mergeCell ref="B181:C181"/>
    <mergeCell ref="B8:C8"/>
    <mergeCell ref="B73:C73"/>
    <mergeCell ref="B147:C147"/>
    <mergeCell ref="B10:C10"/>
    <mergeCell ref="B137:C137"/>
    <mergeCell ref="B65:C65"/>
    <mergeCell ref="B192:C192"/>
    <mergeCell ref="B74:C74"/>
    <mergeCell ref="B201:C201"/>
    <mergeCell ref="B139:C139"/>
    <mergeCell ref="B114:C114"/>
    <mergeCell ref="B36:C36"/>
    <mergeCell ref="B207:C207"/>
    <mergeCell ref="B163:C163"/>
    <mergeCell ref="B110:C110"/>
    <mergeCell ref="B113:C1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2"/>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0" customWidth="1" min="3" max="3"/>
    <col width="22" customWidth="1" min="4" max="4"/>
    <col width="16" customWidth="1" min="5" max="5"/>
    <col width="26" customWidth="1" min="6" max="6"/>
    <col width="12" customWidth="1" min="7" max="7"/>
    <col width="22" customWidth="1" min="8" max="8"/>
  </cols>
  <sheetData>
    <row r="1">
      <c r="A1" s="18" t="inlineStr">
        <is>
          <t>ID</t>
        </is>
      </c>
      <c r="B1" s="18" t="inlineStr">
        <is>
          <t>Full Name</t>
        </is>
      </c>
      <c r="C1" s="18" t="inlineStr">
        <is>
          <t>Group</t>
        </is>
      </c>
      <c r="D1" s="18" t="inlineStr">
        <is>
          <t>Team</t>
        </is>
      </c>
      <c r="E1" s="18" t="inlineStr">
        <is>
          <t>Phone</t>
        </is>
      </c>
      <c r="F1" s="18" t="inlineStr">
        <is>
          <t>Email</t>
        </is>
      </c>
      <c r="G1" s="18" t="inlineStr">
        <is>
          <t>Type</t>
        </is>
      </c>
      <c r="H1" s="18" t="inlineStr">
        <is>
          <t>Key (auto)</t>
        </is>
      </c>
    </row>
    <row r="2">
      <c r="A2" s="19" t="inlineStr">
        <is>
          <t>BRD-01</t>
        </is>
      </c>
      <c r="B2" s="19" t="inlineStr">
        <is>
          <t>Example Director</t>
        </is>
      </c>
      <c r="C2" s="19" t="inlineStr">
        <is>
          <t>Directors</t>
        </is>
      </c>
      <c r="D2" s="19" t="inlineStr"/>
      <c r="E2" s="19" t="inlineStr">
        <is>
          <t>555-0100</t>
        </is>
      </c>
      <c r="F2" s="19" t="inlineStr">
        <is>
          <t>director@example.edu</t>
        </is>
      </c>
      <c r="G2" s="19" t="inlineStr">
        <is>
          <t>board</t>
        </is>
      </c>
      <c r="H2" s="20">
        <f>IF(OR($G2&lt;&gt;"liaison",$D2=""),"",$D2&amp;"#"&amp;COUNTIFS($D$2:$D2,$D2,$G$2:$G2,"liaison"))</f>
        <v/>
      </c>
    </row>
    <row r="3">
      <c r="A3" s="19" t="inlineStr">
        <is>
          <t>LIA-01</t>
        </is>
      </c>
      <c r="B3" s="19" t="inlineStr">
        <is>
          <t>Example Liaison One</t>
        </is>
      </c>
      <c r="C3" s="19" t="inlineStr">
        <is>
          <t>Liaisons</t>
        </is>
      </c>
      <c r="D3" s="19" t="inlineStr">
        <is>
          <t>UNC Taar Heel Raas</t>
        </is>
      </c>
      <c r="E3" s="19" t="inlineStr">
        <is>
          <t>555-0101</t>
        </is>
      </c>
      <c r="F3" s="19" t="inlineStr">
        <is>
          <t>lia1@example.edu</t>
        </is>
      </c>
      <c r="G3" s="19" t="inlineStr">
        <is>
          <t>liaison</t>
        </is>
      </c>
      <c r="H3" s="20">
        <f>IF(OR($G3&lt;&gt;"liaison",$D3=""),"",$D3&amp;"#"&amp;COUNTIFS($D$2:$D3,$D3,$G$2:$G3,"liaison"))</f>
        <v/>
      </c>
    </row>
    <row r="4">
      <c r="A4" s="19" t="inlineStr">
        <is>
          <t>LIA-02</t>
        </is>
      </c>
      <c r="B4" s="19" t="inlineStr">
        <is>
          <t>Example Liaison Two</t>
        </is>
      </c>
      <c r="C4" s="19" t="inlineStr">
        <is>
          <t>Liaisons</t>
        </is>
      </c>
      <c r="D4" s="19" t="inlineStr">
        <is>
          <t>UNC Taar Heel Raas</t>
        </is>
      </c>
      <c r="E4" s="19" t="inlineStr">
        <is>
          <t>555-0102</t>
        </is>
      </c>
      <c r="F4" s="19" t="inlineStr">
        <is>
          <t>lia2@example.edu</t>
        </is>
      </c>
      <c r="G4" s="19" t="inlineStr">
        <is>
          <t>liaison</t>
        </is>
      </c>
      <c r="H4" s="20">
        <f>IF(OR($G4&lt;&gt;"liaison",$D4=""),"",$D4&amp;"#"&amp;COUNTIFS($D$2:$D4,$D4,$G$2:$G4,"liaison"))</f>
        <v/>
      </c>
    </row>
    <row r="5">
      <c r="A5" s="19" t="inlineStr">
        <is>
          <t>LIA-03</t>
        </is>
      </c>
      <c r="B5" s="19" t="inlineStr">
        <is>
          <t>Example Liaison Three</t>
        </is>
      </c>
      <c r="C5" s="19" t="inlineStr">
        <is>
          <t>Liaisons</t>
        </is>
      </c>
      <c r="D5" s="19" t="inlineStr">
        <is>
          <t>UNC Taar Heel Raas</t>
        </is>
      </c>
      <c r="E5" s="19" t="inlineStr">
        <is>
          <t>555-0103</t>
        </is>
      </c>
      <c r="F5" s="19" t="inlineStr">
        <is>
          <t>lia3@example.edu</t>
        </is>
      </c>
      <c r="G5" s="19" t="inlineStr">
        <is>
          <t>liaison</t>
        </is>
      </c>
      <c r="H5" s="20">
        <f>IF(OR($G5&lt;&gt;"liaison",$D5=""),"",$D5&amp;"#"&amp;COUNTIFS($D$2:$D5,$D5,$G$2:$G5,"liaison"))</f>
        <v/>
      </c>
    </row>
    <row r="6">
      <c r="A6" s="19" t="inlineStr">
        <is>
          <t>JDG-01</t>
        </is>
      </c>
      <c r="B6" s="19" t="inlineStr">
        <is>
          <t>Example Judge</t>
        </is>
      </c>
      <c r="C6" s="19" t="inlineStr">
        <is>
          <t>Judging</t>
        </is>
      </c>
      <c r="D6" s="19" t="inlineStr"/>
      <c r="E6" s="19" t="inlineStr">
        <is>
          <t>555-0104</t>
        </is>
      </c>
      <c r="F6" s="19" t="inlineStr">
        <is>
          <t>judge@example.com</t>
        </is>
      </c>
      <c r="G6" s="19" t="inlineStr">
        <is>
          <t>judge</t>
        </is>
      </c>
      <c r="H6" s="20">
        <f>IF(OR($G6&lt;&gt;"liaison",$D6=""),"",$D6&amp;"#"&amp;COUNTIFS($D$2:$D6,$D6,$G$2:$G6,"liaison"))</f>
        <v/>
      </c>
    </row>
    <row r="7">
      <c r="A7" s="19" t="inlineStr">
        <is>
          <t>VID-01</t>
        </is>
      </c>
      <c r="B7" s="19" t="inlineStr">
        <is>
          <t>Example Videographer</t>
        </is>
      </c>
      <c r="C7" s="19" t="inlineStr">
        <is>
          <t>External</t>
        </is>
      </c>
      <c r="D7" s="19" t="inlineStr"/>
      <c r="E7" s="19" t="inlineStr">
        <is>
          <t>555-0105</t>
        </is>
      </c>
      <c r="F7" s="19" t="inlineStr">
        <is>
          <t>video@example.com</t>
        </is>
      </c>
      <c r="G7" s="19" t="inlineStr">
        <is>
          <t>videographer</t>
        </is>
      </c>
      <c r="H7" s="20">
        <f>IF(OR($G7&lt;&gt;"liaison",$D7=""),"",$D7&amp;"#"&amp;COUNTIFS($D$2:$D7,$D7,$G$2:$G7,"liaison"))</f>
        <v/>
      </c>
    </row>
    <row r="8">
      <c r="A8" s="21" t="n"/>
      <c r="B8" s="22" t="n"/>
      <c r="C8" s="22" t="n"/>
      <c r="D8" s="22" t="n"/>
      <c r="E8" s="22" t="n"/>
      <c r="F8" s="22" t="n"/>
      <c r="G8" s="22" t="n"/>
      <c r="H8" s="20">
        <f>IF(OR($G8&lt;&gt;"liaison",$D8=""),"",$D8&amp;"#"&amp;COUNTIFS($D$2:$D8,$D8,$G$2:$G8,"liaison"))</f>
        <v/>
      </c>
    </row>
    <row r="9">
      <c r="A9" s="22" t="n"/>
      <c r="B9" s="22" t="n"/>
      <c r="C9" s="22" t="n"/>
      <c r="D9" s="22" t="n"/>
      <c r="E9" s="22" t="n"/>
      <c r="F9" s="22" t="n"/>
      <c r="G9" s="22" t="n"/>
      <c r="H9" s="20">
        <f>IF(OR($G9&lt;&gt;"liaison",$D9=""),"",$D9&amp;"#"&amp;COUNTIFS($D$2:$D9,$D9,$G$2:$G9,"liaison"))</f>
        <v/>
      </c>
    </row>
    <row r="10">
      <c r="A10" s="22" t="n"/>
      <c r="B10" s="22" t="n"/>
      <c r="C10" s="22" t="n"/>
      <c r="D10" s="22" t="n"/>
      <c r="E10" s="22" t="n"/>
      <c r="F10" s="22" t="n"/>
      <c r="G10" s="22" t="n"/>
      <c r="H10" s="20">
        <f>IF(OR($G10&lt;&gt;"liaison",$D10=""),"",$D10&amp;"#"&amp;COUNTIFS($D$2:$D10,$D10,$G$2:$G10,"liaison"))</f>
        <v/>
      </c>
    </row>
    <row r="11">
      <c r="A11" s="22" t="n"/>
      <c r="B11" s="22" t="n"/>
      <c r="C11" s="22" t="n"/>
      <c r="D11" s="22" t="n"/>
      <c r="E11" s="22" t="n"/>
      <c r="F11" s="22" t="n"/>
      <c r="G11" s="22" t="n"/>
      <c r="H11" s="20">
        <f>IF(OR($G11&lt;&gt;"liaison",$D11=""),"",$D11&amp;"#"&amp;COUNTIFS($D$2:$D11,$D11,$G$2:$G11,"liaison"))</f>
        <v/>
      </c>
    </row>
    <row r="12">
      <c r="A12" s="22" t="n"/>
      <c r="B12" s="22" t="n"/>
      <c r="C12" s="22" t="n"/>
      <c r="D12" s="22" t="n"/>
      <c r="E12" s="22" t="n"/>
      <c r="F12" s="22" t="n"/>
      <c r="G12" s="22" t="n"/>
      <c r="H12" s="20">
        <f>IF(OR($G12&lt;&gt;"liaison",$D12=""),"",$D12&amp;"#"&amp;COUNTIFS($D$2:$D12,$D12,$G$2:$G12,"liaison"))</f>
        <v/>
      </c>
    </row>
    <row r="13">
      <c r="A13" s="22" t="n"/>
      <c r="B13" s="22" t="n"/>
      <c r="C13" s="22" t="n"/>
      <c r="D13" s="22" t="n"/>
      <c r="E13" s="22" t="n"/>
      <c r="F13" s="22" t="n"/>
      <c r="G13" s="22" t="n"/>
      <c r="H13" s="20">
        <f>IF(OR($G13&lt;&gt;"liaison",$D13=""),"",$D13&amp;"#"&amp;COUNTIFS($D$2:$D13,$D13,$G$2:$G13,"liaison"))</f>
        <v/>
      </c>
    </row>
    <row r="14">
      <c r="A14" s="22" t="n"/>
      <c r="B14" s="22" t="n"/>
      <c r="C14" s="22" t="n"/>
      <c r="D14" s="22" t="n"/>
      <c r="E14" s="22" t="n"/>
      <c r="F14" s="22" t="n"/>
      <c r="G14" s="22" t="n"/>
      <c r="H14" s="20">
        <f>IF(OR($G14&lt;&gt;"liaison",$D14=""),"",$D14&amp;"#"&amp;COUNTIFS($D$2:$D14,$D14,$G$2:$G14,"liaison"))</f>
        <v/>
      </c>
    </row>
    <row r="15">
      <c r="A15" s="22" t="n"/>
      <c r="B15" s="22" t="n"/>
      <c r="C15" s="22" t="n"/>
      <c r="D15" s="22" t="n"/>
      <c r="E15" s="22" t="n"/>
      <c r="F15" s="22" t="n"/>
      <c r="G15" s="22" t="n"/>
      <c r="H15" s="20">
        <f>IF(OR($G15&lt;&gt;"liaison",$D15=""),"",$D15&amp;"#"&amp;COUNTIFS($D$2:$D15,$D15,$G$2:$G15,"liaison"))</f>
        <v/>
      </c>
    </row>
    <row r="16">
      <c r="A16" s="22" t="n"/>
      <c r="B16" s="22" t="n"/>
      <c r="C16" s="22" t="n"/>
      <c r="D16" s="22" t="n"/>
      <c r="E16" s="22" t="n"/>
      <c r="F16" s="22" t="n"/>
      <c r="G16" s="22" t="n"/>
      <c r="H16" s="20">
        <f>IF(OR($G16&lt;&gt;"liaison",$D16=""),"",$D16&amp;"#"&amp;COUNTIFS($D$2:$D16,$D16,$G$2:$G16,"liaison"))</f>
        <v/>
      </c>
    </row>
    <row r="17">
      <c r="A17" s="22" t="n"/>
      <c r="B17" s="22" t="n"/>
      <c r="C17" s="22" t="n"/>
      <c r="D17" s="22" t="n"/>
      <c r="E17" s="22" t="n"/>
      <c r="F17" s="22" t="n"/>
      <c r="G17" s="22" t="n"/>
      <c r="H17" s="20">
        <f>IF(OR($G17&lt;&gt;"liaison",$D17=""),"",$D17&amp;"#"&amp;COUNTIFS($D$2:$D17,$D17,$G$2:$G17,"liaison"))</f>
        <v/>
      </c>
    </row>
    <row r="18">
      <c r="A18" s="22" t="n"/>
      <c r="B18" s="22" t="n"/>
      <c r="C18" s="22" t="n"/>
      <c r="D18" s="22" t="n"/>
      <c r="E18" s="22" t="n"/>
      <c r="F18" s="22" t="n"/>
      <c r="G18" s="22" t="n"/>
      <c r="H18" s="20">
        <f>IF(OR($G18&lt;&gt;"liaison",$D18=""),"",$D18&amp;"#"&amp;COUNTIFS($D$2:$D18,$D18,$G$2:$G18,"liaison"))</f>
        <v/>
      </c>
    </row>
    <row r="19">
      <c r="A19" s="22" t="n"/>
      <c r="B19" s="22" t="n"/>
      <c r="C19" s="22" t="n"/>
      <c r="D19" s="22" t="n"/>
      <c r="E19" s="22" t="n"/>
      <c r="F19" s="22" t="n"/>
      <c r="G19" s="22" t="n"/>
      <c r="H19" s="20">
        <f>IF(OR($G19&lt;&gt;"liaison",$D19=""),"",$D19&amp;"#"&amp;COUNTIFS($D$2:$D19,$D19,$G$2:$G19,"liaison"))</f>
        <v/>
      </c>
    </row>
    <row r="20">
      <c r="A20" s="22" t="n"/>
      <c r="B20" s="22" t="n"/>
      <c r="C20" s="22" t="n"/>
      <c r="D20" s="22" t="n"/>
      <c r="E20" s="22" t="n"/>
      <c r="F20" s="22" t="n"/>
      <c r="G20" s="22" t="n"/>
      <c r="H20" s="20">
        <f>IF(OR($G20&lt;&gt;"liaison",$D20=""),"",$D20&amp;"#"&amp;COUNTIFS($D$2:$D20,$D20,$G$2:$G20,"liaison"))</f>
        <v/>
      </c>
    </row>
    <row r="21">
      <c r="A21" s="22" t="n"/>
      <c r="B21" s="22" t="n"/>
      <c r="C21" s="22" t="n"/>
      <c r="D21" s="22" t="n"/>
      <c r="E21" s="22" t="n"/>
      <c r="F21" s="22" t="n"/>
      <c r="G21" s="22" t="n"/>
      <c r="H21" s="20">
        <f>IF(OR($G21&lt;&gt;"liaison",$D21=""),"",$D21&amp;"#"&amp;COUNTIFS($D$2:$D21,$D21,$G$2:$G21,"liaison"))</f>
        <v/>
      </c>
    </row>
    <row r="22">
      <c r="A22" s="22" t="n"/>
      <c r="B22" s="22" t="n"/>
      <c r="C22" s="22" t="n"/>
      <c r="D22" s="22" t="n"/>
      <c r="E22" s="22" t="n"/>
      <c r="F22" s="22" t="n"/>
      <c r="G22" s="22" t="n"/>
      <c r="H22" s="20">
        <f>IF(OR($G22&lt;&gt;"liaison",$D22=""),"",$D22&amp;"#"&amp;COUNTIFS($D$2:$D22,$D22,$G$2:$G22,"liaison"))</f>
        <v/>
      </c>
    </row>
    <row r="23">
      <c r="A23" s="22" t="n"/>
      <c r="B23" s="22" t="n"/>
      <c r="C23" s="22" t="n"/>
      <c r="D23" s="22" t="n"/>
      <c r="E23" s="22" t="n"/>
      <c r="F23" s="22" t="n"/>
      <c r="G23" s="22" t="n"/>
      <c r="H23" s="20">
        <f>IF(OR($G23&lt;&gt;"liaison",$D23=""),"",$D23&amp;"#"&amp;COUNTIFS($D$2:$D23,$D23,$G$2:$G23,"liaison"))</f>
        <v/>
      </c>
    </row>
    <row r="24">
      <c r="A24" s="22" t="n"/>
      <c r="B24" s="22" t="n"/>
      <c r="C24" s="22" t="n"/>
      <c r="D24" s="22" t="n"/>
      <c r="E24" s="22" t="n"/>
      <c r="F24" s="22" t="n"/>
      <c r="G24" s="22" t="n"/>
      <c r="H24" s="20">
        <f>IF(OR($G24&lt;&gt;"liaison",$D24=""),"",$D24&amp;"#"&amp;COUNTIFS($D$2:$D24,$D24,$G$2:$G24,"liaison"))</f>
        <v/>
      </c>
    </row>
    <row r="25">
      <c r="A25" s="22" t="n"/>
      <c r="B25" s="22" t="n"/>
      <c r="C25" s="22" t="n"/>
      <c r="D25" s="22" t="n"/>
      <c r="E25" s="22" t="n"/>
      <c r="F25" s="22" t="n"/>
      <c r="G25" s="22" t="n"/>
      <c r="H25" s="20">
        <f>IF(OR($G25&lt;&gt;"liaison",$D25=""),"",$D25&amp;"#"&amp;COUNTIFS($D$2:$D25,$D25,$G$2:$G25,"liaison"))</f>
        <v/>
      </c>
    </row>
    <row r="26">
      <c r="A26" s="22" t="n"/>
      <c r="B26" s="22" t="n"/>
      <c r="C26" s="22" t="n"/>
      <c r="D26" s="22" t="n"/>
      <c r="E26" s="22" t="n"/>
      <c r="F26" s="22" t="n"/>
      <c r="G26" s="22" t="n"/>
      <c r="H26" s="20">
        <f>IF(OR($G26&lt;&gt;"liaison",$D26=""),"",$D26&amp;"#"&amp;COUNTIFS($D$2:$D26,$D26,$G$2:$G26,"liaison"))</f>
        <v/>
      </c>
    </row>
    <row r="27">
      <c r="A27" s="22" t="n"/>
      <c r="B27" s="22" t="n"/>
      <c r="C27" s="22" t="n"/>
      <c r="D27" s="22" t="n"/>
      <c r="E27" s="22" t="n"/>
      <c r="F27" s="22" t="n"/>
      <c r="G27" s="22" t="n"/>
      <c r="H27" s="20">
        <f>IF(OR($G27&lt;&gt;"liaison",$D27=""),"",$D27&amp;"#"&amp;COUNTIFS($D$2:$D27,$D27,$G$2:$G27,"liaison"))</f>
        <v/>
      </c>
    </row>
    <row r="28">
      <c r="A28" s="22" t="n"/>
      <c r="B28" s="22" t="n"/>
      <c r="C28" s="22" t="n"/>
      <c r="D28" s="22" t="n"/>
      <c r="E28" s="22" t="n"/>
      <c r="F28" s="22" t="n"/>
      <c r="G28" s="22" t="n"/>
      <c r="H28" s="20">
        <f>IF(OR($G28&lt;&gt;"liaison",$D28=""),"",$D28&amp;"#"&amp;COUNTIFS($D$2:$D28,$D28,$G$2:$G28,"liaison"))</f>
        <v/>
      </c>
    </row>
    <row r="29">
      <c r="A29" s="22" t="n"/>
      <c r="B29" s="22" t="n"/>
      <c r="C29" s="22" t="n"/>
      <c r="D29" s="22" t="n"/>
      <c r="E29" s="22" t="n"/>
      <c r="F29" s="22" t="n"/>
      <c r="G29" s="22" t="n"/>
      <c r="H29" s="20">
        <f>IF(OR($G29&lt;&gt;"liaison",$D29=""),"",$D29&amp;"#"&amp;COUNTIFS($D$2:$D29,$D29,$G$2:$G29,"liaison"))</f>
        <v/>
      </c>
    </row>
    <row r="30">
      <c r="A30" s="22" t="n"/>
      <c r="B30" s="22" t="n"/>
      <c r="C30" s="22" t="n"/>
      <c r="D30" s="22" t="n"/>
      <c r="E30" s="22" t="n"/>
      <c r="F30" s="22" t="n"/>
      <c r="G30" s="22" t="n"/>
      <c r="H30" s="20">
        <f>IF(OR($G30&lt;&gt;"liaison",$D30=""),"",$D30&amp;"#"&amp;COUNTIFS($D$2:$D30,$D30,$G$2:$G30,"liaison"))</f>
        <v/>
      </c>
    </row>
    <row r="31">
      <c r="A31" s="22" t="n"/>
      <c r="B31" s="22" t="n"/>
      <c r="C31" s="22" t="n"/>
      <c r="D31" s="22" t="n"/>
      <c r="E31" s="22" t="n"/>
      <c r="F31" s="22" t="n"/>
      <c r="G31" s="22" t="n"/>
      <c r="H31" s="20">
        <f>IF(OR($G31&lt;&gt;"liaison",$D31=""),"",$D31&amp;"#"&amp;COUNTIFS($D$2:$D31,$D31,$G$2:$G31,"liaison"))</f>
        <v/>
      </c>
    </row>
    <row r="32">
      <c r="A32" s="22" t="n"/>
      <c r="B32" s="22" t="n"/>
      <c r="C32" s="22" t="n"/>
      <c r="D32" s="22" t="n"/>
      <c r="E32" s="22" t="n"/>
      <c r="F32" s="22" t="n"/>
      <c r="G32" s="22" t="n"/>
      <c r="H32" s="20">
        <f>IF(OR($G32&lt;&gt;"liaison",$D32=""),"",$D32&amp;"#"&amp;COUNTIFS($D$2:$D32,$D32,$G$2:$G32,"liaison"))</f>
        <v/>
      </c>
    </row>
    <row r="33">
      <c r="A33" s="22" t="n"/>
      <c r="B33" s="22" t="n"/>
      <c r="C33" s="22" t="n"/>
      <c r="D33" s="22" t="n"/>
      <c r="E33" s="22" t="n"/>
      <c r="F33" s="22" t="n"/>
      <c r="G33" s="22" t="n"/>
      <c r="H33" s="20">
        <f>IF(OR($G33&lt;&gt;"liaison",$D33=""),"",$D33&amp;"#"&amp;COUNTIFS($D$2:$D33,$D33,$G$2:$G33,"liaison"))</f>
        <v/>
      </c>
    </row>
    <row r="34">
      <c r="A34" s="22" t="n"/>
      <c r="B34" s="22" t="n"/>
      <c r="C34" s="22" t="n"/>
      <c r="D34" s="22" t="n"/>
      <c r="E34" s="22" t="n"/>
      <c r="F34" s="22" t="n"/>
      <c r="G34" s="22" t="n"/>
      <c r="H34" s="20">
        <f>IF(OR($G34&lt;&gt;"liaison",$D34=""),"",$D34&amp;"#"&amp;COUNTIFS($D$2:$D34,$D34,$G$2:$G34,"liaison"))</f>
        <v/>
      </c>
    </row>
    <row r="35">
      <c r="A35" s="22" t="n"/>
      <c r="B35" s="22" t="n"/>
      <c r="C35" s="22" t="n"/>
      <c r="D35" s="22" t="n"/>
      <c r="E35" s="22" t="n"/>
      <c r="F35" s="22" t="n"/>
      <c r="G35" s="22" t="n"/>
      <c r="H35" s="20">
        <f>IF(OR($G35&lt;&gt;"liaison",$D35=""),"",$D35&amp;"#"&amp;COUNTIFS($D$2:$D35,$D35,$G$2:$G35,"liaison"))</f>
        <v/>
      </c>
    </row>
    <row r="36">
      <c r="A36" s="22" t="n"/>
      <c r="B36" s="22" t="n"/>
      <c r="C36" s="22" t="n"/>
      <c r="D36" s="22" t="n"/>
      <c r="E36" s="22" t="n"/>
      <c r="F36" s="22" t="n"/>
      <c r="G36" s="22" t="n"/>
      <c r="H36" s="20">
        <f>IF(OR($G36&lt;&gt;"liaison",$D36=""),"",$D36&amp;"#"&amp;COUNTIFS($D$2:$D36,$D36,$G$2:$G36,"liaison"))</f>
        <v/>
      </c>
    </row>
    <row r="37">
      <c r="A37" s="22" t="n"/>
      <c r="B37" s="22" t="n"/>
      <c r="C37" s="22" t="n"/>
      <c r="D37" s="22" t="n"/>
      <c r="E37" s="22" t="n"/>
      <c r="F37" s="22" t="n"/>
      <c r="G37" s="22" t="n"/>
      <c r="H37" s="20">
        <f>IF(OR($G37&lt;&gt;"liaison",$D37=""),"",$D37&amp;"#"&amp;COUNTIFS($D$2:$D37,$D37,$G$2:$G37,"liaison"))</f>
        <v/>
      </c>
    </row>
    <row r="38">
      <c r="A38" s="22" t="n"/>
      <c r="B38" s="22" t="n"/>
      <c r="C38" s="22" t="n"/>
      <c r="D38" s="22" t="n"/>
      <c r="E38" s="22" t="n"/>
      <c r="F38" s="22" t="n"/>
      <c r="G38" s="22" t="n"/>
      <c r="H38" s="20">
        <f>IF(OR($G38&lt;&gt;"liaison",$D38=""),"",$D38&amp;"#"&amp;COUNTIFS($D$2:$D38,$D38,$G$2:$G38,"liaison"))</f>
        <v/>
      </c>
    </row>
    <row r="39">
      <c r="A39" s="22" t="n"/>
      <c r="B39" s="22" t="n"/>
      <c r="C39" s="22" t="n"/>
      <c r="D39" s="22" t="n"/>
      <c r="E39" s="22" t="n"/>
      <c r="F39" s="22" t="n"/>
      <c r="G39" s="22" t="n"/>
      <c r="H39" s="20">
        <f>IF(OR($G39&lt;&gt;"liaison",$D39=""),"",$D39&amp;"#"&amp;COUNTIFS($D$2:$D39,$D39,$G$2:$G39,"liaison"))</f>
        <v/>
      </c>
    </row>
    <row r="40">
      <c r="A40" s="22" t="n"/>
      <c r="B40" s="22" t="n"/>
      <c r="C40" s="22" t="n"/>
      <c r="D40" s="22" t="n"/>
      <c r="E40" s="22" t="n"/>
      <c r="F40" s="22" t="n"/>
      <c r="G40" s="22" t="n"/>
      <c r="H40" s="20">
        <f>IF(OR($G40&lt;&gt;"liaison",$D40=""),"",$D40&amp;"#"&amp;COUNTIFS($D$2:$D40,$D40,$G$2:$G40,"liaison"))</f>
        <v/>
      </c>
    </row>
    <row r="41">
      <c r="A41" s="22" t="n"/>
      <c r="B41" s="22" t="n"/>
      <c r="C41" s="22" t="n"/>
      <c r="D41" s="22" t="n"/>
      <c r="E41" s="22" t="n"/>
      <c r="F41" s="22" t="n"/>
      <c r="G41" s="22" t="n"/>
      <c r="H41" s="20">
        <f>IF(OR($G41&lt;&gt;"liaison",$D41=""),"",$D41&amp;"#"&amp;COUNTIFS($D$2:$D41,$D41,$G$2:$G41,"liaison"))</f>
        <v/>
      </c>
    </row>
    <row r="42">
      <c r="A42" s="22" t="n"/>
      <c r="B42" s="22" t="n"/>
      <c r="C42" s="22" t="n"/>
      <c r="D42" s="22" t="n"/>
      <c r="E42" s="22" t="n"/>
      <c r="F42" s="22" t="n"/>
      <c r="G42" s="22" t="n"/>
      <c r="H42" s="20">
        <f>IF(OR($G42&lt;&gt;"liaison",$D42=""),"",$D42&amp;"#"&amp;COUNTIFS($D$2:$D42,$D42,$G$2:$G42,"liaison"))</f>
        <v/>
      </c>
    </row>
    <row r="43">
      <c r="A43" s="22" t="n"/>
      <c r="B43" s="22" t="n"/>
      <c r="C43" s="22" t="n"/>
      <c r="D43" s="22" t="n"/>
      <c r="E43" s="22" t="n"/>
      <c r="F43" s="22" t="n"/>
      <c r="G43" s="22" t="n"/>
      <c r="H43" s="20">
        <f>IF(OR($G43&lt;&gt;"liaison",$D43=""),"",$D43&amp;"#"&amp;COUNTIFS($D$2:$D43,$D43,$G$2:$G43,"liaison"))</f>
        <v/>
      </c>
    </row>
    <row r="44">
      <c r="A44" s="22" t="n"/>
      <c r="B44" s="22" t="n"/>
      <c r="C44" s="22" t="n"/>
      <c r="D44" s="22" t="n"/>
      <c r="E44" s="22" t="n"/>
      <c r="F44" s="22" t="n"/>
      <c r="G44" s="22" t="n"/>
      <c r="H44" s="20">
        <f>IF(OR($G44&lt;&gt;"liaison",$D44=""),"",$D44&amp;"#"&amp;COUNTIFS($D$2:$D44,$D44,$G$2:$G44,"liaison"))</f>
        <v/>
      </c>
    </row>
    <row r="45">
      <c r="A45" s="22" t="n"/>
      <c r="B45" s="22" t="n"/>
      <c r="C45" s="22" t="n"/>
      <c r="D45" s="22" t="n"/>
      <c r="E45" s="22" t="n"/>
      <c r="F45" s="22" t="n"/>
      <c r="G45" s="22" t="n"/>
      <c r="H45" s="20">
        <f>IF(OR($G45&lt;&gt;"liaison",$D45=""),"",$D45&amp;"#"&amp;COUNTIFS($D$2:$D45,$D45,$G$2:$G45,"liaison"))</f>
        <v/>
      </c>
    </row>
    <row r="46">
      <c r="A46" s="22" t="n"/>
      <c r="B46" s="22" t="n"/>
      <c r="C46" s="22" t="n"/>
      <c r="D46" s="22" t="n"/>
      <c r="E46" s="22" t="n"/>
      <c r="F46" s="22" t="n"/>
      <c r="G46" s="22" t="n"/>
      <c r="H46" s="20">
        <f>IF(OR($G46&lt;&gt;"liaison",$D46=""),"",$D46&amp;"#"&amp;COUNTIFS($D$2:$D46,$D46,$G$2:$G46,"liaison"))</f>
        <v/>
      </c>
    </row>
    <row r="47">
      <c r="A47" s="22" t="n"/>
      <c r="B47" s="22" t="n"/>
      <c r="C47" s="22" t="n"/>
      <c r="D47" s="22" t="n"/>
      <c r="E47" s="22" t="n"/>
      <c r="F47" s="22" t="n"/>
      <c r="G47" s="22" t="n"/>
      <c r="H47" s="20">
        <f>IF(OR($G47&lt;&gt;"liaison",$D47=""),"",$D47&amp;"#"&amp;COUNTIFS($D$2:$D47,$D47,$G$2:$G47,"liaison"))</f>
        <v/>
      </c>
    </row>
    <row r="48">
      <c r="A48" s="22" t="n"/>
      <c r="B48" s="22" t="n"/>
      <c r="C48" s="22" t="n"/>
      <c r="D48" s="22" t="n"/>
      <c r="E48" s="22" t="n"/>
      <c r="F48" s="22" t="n"/>
      <c r="G48" s="22" t="n"/>
      <c r="H48" s="20">
        <f>IF(OR($G48&lt;&gt;"liaison",$D48=""),"",$D48&amp;"#"&amp;COUNTIFS($D$2:$D48,$D48,$G$2:$G48,"liaison"))</f>
        <v/>
      </c>
    </row>
    <row r="49">
      <c r="A49" s="22" t="n"/>
      <c r="B49" s="22" t="n"/>
      <c r="C49" s="22" t="n"/>
      <c r="D49" s="22" t="n"/>
      <c r="E49" s="22" t="n"/>
      <c r="F49" s="22" t="n"/>
      <c r="G49" s="22" t="n"/>
      <c r="H49" s="20">
        <f>IF(OR($G49&lt;&gt;"liaison",$D49=""),"",$D49&amp;"#"&amp;COUNTIFS($D$2:$D49,$D49,$G$2:$G49,"liaison"))</f>
        <v/>
      </c>
    </row>
    <row r="50">
      <c r="A50" s="22" t="n"/>
      <c r="B50" s="22" t="n"/>
      <c r="C50" s="22" t="n"/>
      <c r="D50" s="22" t="n"/>
      <c r="E50" s="22" t="n"/>
      <c r="F50" s="22" t="n"/>
      <c r="G50" s="22" t="n"/>
      <c r="H50" s="20">
        <f>IF(OR($G50&lt;&gt;"liaison",$D50=""),"",$D50&amp;"#"&amp;COUNTIFS($D$2:$D50,$D50,$G$2:$G50,"liaison"))</f>
        <v/>
      </c>
    </row>
    <row r="51">
      <c r="A51" s="22" t="n"/>
      <c r="B51" s="22" t="n"/>
      <c r="C51" s="22" t="n"/>
      <c r="D51" s="22" t="n"/>
      <c r="E51" s="22" t="n"/>
      <c r="F51" s="22" t="n"/>
      <c r="G51" s="22" t="n"/>
      <c r="H51" s="20">
        <f>IF(OR($G51&lt;&gt;"liaison",$D51=""),"",$D51&amp;"#"&amp;COUNTIFS($D$2:$D51,$D51,$G$2:$G51,"liaison"))</f>
        <v/>
      </c>
    </row>
    <row r="52">
      <c r="A52" s="22" t="n"/>
      <c r="B52" s="22" t="n"/>
      <c r="C52" s="22" t="n"/>
      <c r="D52" s="22" t="n"/>
      <c r="E52" s="22" t="n"/>
      <c r="F52" s="22" t="n"/>
      <c r="G52" s="22" t="n"/>
      <c r="H52" s="20">
        <f>IF(OR($G52&lt;&gt;"liaison",$D52=""),"",$D52&amp;"#"&amp;COUNTIFS($D$2:$D52,$D52,$G$2:$G52,"liaison"))</f>
        <v/>
      </c>
    </row>
    <row r="53">
      <c r="A53" s="22" t="n"/>
      <c r="B53" s="22" t="n"/>
      <c r="C53" s="22" t="n"/>
      <c r="D53" s="22" t="n"/>
      <c r="E53" s="22" t="n"/>
      <c r="F53" s="22" t="n"/>
      <c r="G53" s="22" t="n"/>
      <c r="H53" s="20">
        <f>IF(OR($G53&lt;&gt;"liaison",$D53=""),"",$D53&amp;"#"&amp;COUNTIFS($D$2:$D53,$D53,$G$2:$G53,"liaison"))</f>
        <v/>
      </c>
    </row>
    <row r="54">
      <c r="A54" s="22" t="n"/>
      <c r="B54" s="22" t="n"/>
      <c r="C54" s="22" t="n"/>
      <c r="D54" s="22" t="n"/>
      <c r="E54" s="22" t="n"/>
      <c r="F54" s="22" t="n"/>
      <c r="G54" s="22" t="n"/>
      <c r="H54" s="20">
        <f>IF(OR($G54&lt;&gt;"liaison",$D54=""),"",$D54&amp;"#"&amp;COUNTIFS($D$2:$D54,$D54,$G$2:$G54,"liaison"))</f>
        <v/>
      </c>
    </row>
    <row r="55">
      <c r="A55" s="22" t="n"/>
      <c r="B55" s="22" t="n"/>
      <c r="C55" s="22" t="n"/>
      <c r="D55" s="22" t="n"/>
      <c r="E55" s="22" t="n"/>
      <c r="F55" s="22" t="n"/>
      <c r="G55" s="22" t="n"/>
      <c r="H55" s="20">
        <f>IF(OR($G55&lt;&gt;"liaison",$D55=""),"",$D55&amp;"#"&amp;COUNTIFS($D$2:$D55,$D55,$G$2:$G55,"liaison"))</f>
        <v/>
      </c>
    </row>
    <row r="56">
      <c r="A56" s="22" t="n"/>
      <c r="B56" s="22" t="n"/>
      <c r="C56" s="22" t="n"/>
      <c r="D56" s="22" t="n"/>
      <c r="E56" s="22" t="n"/>
      <c r="F56" s="22" t="n"/>
      <c r="G56" s="22" t="n"/>
      <c r="H56" s="20">
        <f>IF(OR($G56&lt;&gt;"liaison",$D56=""),"",$D56&amp;"#"&amp;COUNTIFS($D$2:$D56,$D56,$G$2:$G56,"liaison"))</f>
        <v/>
      </c>
    </row>
    <row r="57">
      <c r="A57" s="22" t="n"/>
      <c r="B57" s="22" t="n"/>
      <c r="C57" s="22" t="n"/>
      <c r="D57" s="22" t="n"/>
      <c r="E57" s="22" t="n"/>
      <c r="F57" s="22" t="n"/>
      <c r="G57" s="22" t="n"/>
      <c r="H57" s="20">
        <f>IF(OR($G57&lt;&gt;"liaison",$D57=""),"",$D57&amp;"#"&amp;COUNTIFS($D$2:$D57,$D57,$G$2:$G57,"liaison"))</f>
        <v/>
      </c>
    </row>
    <row r="58">
      <c r="A58" s="22" t="n"/>
      <c r="B58" s="22" t="n"/>
      <c r="C58" s="22" t="n"/>
      <c r="D58" s="22" t="n"/>
      <c r="E58" s="22" t="n"/>
      <c r="F58" s="22" t="n"/>
      <c r="G58" s="22" t="n"/>
      <c r="H58" s="20">
        <f>IF(OR($G58&lt;&gt;"liaison",$D58=""),"",$D58&amp;"#"&amp;COUNTIFS($D$2:$D58,$D58,$G$2:$G58,"liaison"))</f>
        <v/>
      </c>
    </row>
    <row r="59">
      <c r="A59" s="22" t="n"/>
      <c r="B59" s="22" t="n"/>
      <c r="C59" s="22" t="n"/>
      <c r="D59" s="22" t="n"/>
      <c r="E59" s="22" t="n"/>
      <c r="F59" s="22" t="n"/>
      <c r="G59" s="22" t="n"/>
      <c r="H59" s="20">
        <f>IF(OR($G59&lt;&gt;"liaison",$D59=""),"",$D59&amp;"#"&amp;COUNTIFS($D$2:$D59,$D59,$G$2:$G59,"liaison"))</f>
        <v/>
      </c>
    </row>
    <row r="60">
      <c r="A60" s="22" t="n"/>
      <c r="B60" s="22" t="n"/>
      <c r="C60" s="22" t="n"/>
      <c r="D60" s="22" t="n"/>
      <c r="E60" s="22" t="n"/>
      <c r="F60" s="22" t="n"/>
      <c r="G60" s="22" t="n"/>
      <c r="H60" s="20">
        <f>IF(OR($G60&lt;&gt;"liaison",$D60=""),"",$D60&amp;"#"&amp;COUNTIFS($D$2:$D60,$D60,$G$2:$G60,"liaison"))</f>
        <v/>
      </c>
    </row>
    <row r="61">
      <c r="A61" s="22" t="n"/>
      <c r="B61" s="22" t="n"/>
      <c r="C61" s="22" t="n"/>
      <c r="D61" s="22" t="n"/>
      <c r="E61" s="22" t="n"/>
      <c r="F61" s="22" t="n"/>
      <c r="G61" s="22" t="n"/>
      <c r="H61" s="20">
        <f>IF(OR($G61&lt;&gt;"liaison",$D61=""),"",$D61&amp;"#"&amp;COUNTIFS($D$2:$D61,$D61,$G$2:$G61,"liaison"))</f>
        <v/>
      </c>
    </row>
    <row r="62">
      <c r="A62" s="22" t="n"/>
      <c r="B62" s="22" t="n"/>
      <c r="C62" s="22" t="n"/>
      <c r="D62" s="22" t="n"/>
      <c r="E62" s="22" t="n"/>
      <c r="F62" s="22" t="n"/>
      <c r="G62" s="22" t="n"/>
      <c r="H62" s="20">
        <f>IF(OR($G62&lt;&gt;"liaison",$D62=""),"",$D62&amp;"#"&amp;COUNTIFS($D$2:$D62,$D62,$G$2:$G62,"liaison"))</f>
        <v/>
      </c>
    </row>
    <row r="63">
      <c r="A63" s="22" t="n"/>
      <c r="B63" s="22" t="n"/>
      <c r="C63" s="22" t="n"/>
      <c r="D63" s="22" t="n"/>
      <c r="E63" s="22" t="n"/>
      <c r="F63" s="22" t="n"/>
      <c r="G63" s="22" t="n"/>
      <c r="H63" s="20">
        <f>IF(OR($G63&lt;&gt;"liaison",$D63=""),"",$D63&amp;"#"&amp;COUNTIFS($D$2:$D63,$D63,$G$2:$G63,"liaison"))</f>
        <v/>
      </c>
    </row>
    <row r="64">
      <c r="A64" s="22" t="n"/>
      <c r="B64" s="22" t="n"/>
      <c r="C64" s="22" t="n"/>
      <c r="D64" s="22" t="n"/>
      <c r="E64" s="22" t="n"/>
      <c r="F64" s="22" t="n"/>
      <c r="G64" s="22" t="n"/>
      <c r="H64" s="20">
        <f>IF(OR($G64&lt;&gt;"liaison",$D64=""),"",$D64&amp;"#"&amp;COUNTIFS($D$2:$D64,$D64,$G$2:$G64,"liaison"))</f>
        <v/>
      </c>
    </row>
    <row r="65">
      <c r="A65" s="22" t="n"/>
      <c r="B65" s="22" t="n"/>
      <c r="C65" s="22" t="n"/>
      <c r="D65" s="22" t="n"/>
      <c r="E65" s="22" t="n"/>
      <c r="F65" s="22" t="n"/>
      <c r="G65" s="22" t="n"/>
      <c r="H65" s="20">
        <f>IF(OR($G65&lt;&gt;"liaison",$D65=""),"",$D65&amp;"#"&amp;COUNTIFS($D$2:$D65,$D65,$G$2:$G65,"liaison"))</f>
        <v/>
      </c>
    </row>
    <row r="66">
      <c r="A66" s="22" t="n"/>
      <c r="B66" s="22" t="n"/>
      <c r="C66" s="22" t="n"/>
      <c r="D66" s="22" t="n"/>
      <c r="E66" s="22" t="n"/>
      <c r="F66" s="22" t="n"/>
      <c r="G66" s="22" t="n"/>
      <c r="H66" s="20">
        <f>IF(OR($G66&lt;&gt;"liaison",$D66=""),"",$D66&amp;"#"&amp;COUNTIFS($D$2:$D66,$D66,$G$2:$G66,"liaison"))</f>
        <v/>
      </c>
    </row>
    <row r="67">
      <c r="A67" s="22" t="n"/>
      <c r="B67" s="22" t="n"/>
      <c r="C67" s="22" t="n"/>
      <c r="D67" s="22" t="n"/>
      <c r="E67" s="22" t="n"/>
      <c r="F67" s="22" t="n"/>
      <c r="G67" s="22" t="n"/>
      <c r="H67" s="20">
        <f>IF(OR($G67&lt;&gt;"liaison",$D67=""),"",$D67&amp;"#"&amp;COUNTIFS($D$2:$D67,$D67,$G$2:$G67,"liaison"))</f>
        <v/>
      </c>
    </row>
    <row r="68">
      <c r="A68" s="22" t="n"/>
      <c r="B68" s="22" t="n"/>
      <c r="C68" s="22" t="n"/>
      <c r="D68" s="22" t="n"/>
      <c r="E68" s="22" t="n"/>
      <c r="F68" s="22" t="n"/>
      <c r="G68" s="22" t="n"/>
      <c r="H68" s="20">
        <f>IF(OR($G68&lt;&gt;"liaison",$D68=""),"",$D68&amp;"#"&amp;COUNTIFS($D$2:$D68,$D68,$G$2:$G68,"liaison"))</f>
        <v/>
      </c>
    </row>
    <row r="69">
      <c r="A69" s="22" t="n"/>
      <c r="B69" s="22" t="n"/>
      <c r="C69" s="22" t="n"/>
      <c r="D69" s="22" t="n"/>
      <c r="E69" s="22" t="n"/>
      <c r="F69" s="22" t="n"/>
      <c r="G69" s="22" t="n"/>
      <c r="H69" s="20">
        <f>IF(OR($G69&lt;&gt;"liaison",$D69=""),"",$D69&amp;"#"&amp;COUNTIFS($D$2:$D69,$D69,$G$2:$G69,"liaison"))</f>
        <v/>
      </c>
    </row>
    <row r="70">
      <c r="A70" s="22" t="n"/>
      <c r="B70" s="22" t="n"/>
      <c r="C70" s="22" t="n"/>
      <c r="D70" s="22" t="n"/>
      <c r="E70" s="22" t="n"/>
      <c r="F70" s="22" t="n"/>
      <c r="G70" s="22" t="n"/>
      <c r="H70" s="20">
        <f>IF(OR($G70&lt;&gt;"liaison",$D70=""),"",$D70&amp;"#"&amp;COUNTIFS($D$2:$D70,$D70,$G$2:$G70,"liaison"))</f>
        <v/>
      </c>
    </row>
    <row r="71">
      <c r="A71" s="22" t="n"/>
      <c r="B71" s="22" t="n"/>
      <c r="C71" s="22" t="n"/>
      <c r="D71" s="22" t="n"/>
      <c r="E71" s="22" t="n"/>
      <c r="F71" s="22" t="n"/>
      <c r="G71" s="22" t="n"/>
      <c r="H71" s="20">
        <f>IF(OR($G71&lt;&gt;"liaison",$D71=""),"",$D71&amp;"#"&amp;COUNTIFS($D$2:$D71,$D71,$G$2:$G71,"liaison"))</f>
        <v/>
      </c>
    </row>
    <row r="72">
      <c r="A72" s="22" t="n"/>
      <c r="B72" s="22" t="n"/>
      <c r="C72" s="22" t="n"/>
      <c r="D72" s="22" t="n"/>
      <c r="E72" s="22" t="n"/>
      <c r="F72" s="22" t="n"/>
      <c r="G72" s="22" t="n"/>
      <c r="H72" s="20">
        <f>IF(OR($G72&lt;&gt;"liaison",$D72=""),"",$D72&amp;"#"&amp;COUNTIFS($D$2:$D72,$D72,$G$2:$G72,"liaison"))</f>
        <v/>
      </c>
    </row>
    <row r="73">
      <c r="A73" s="22" t="n"/>
      <c r="B73" s="22" t="n"/>
      <c r="C73" s="22" t="n"/>
      <c r="D73" s="22" t="n"/>
      <c r="E73" s="22" t="n"/>
      <c r="F73" s="22" t="n"/>
      <c r="G73" s="22" t="n"/>
      <c r="H73" s="20">
        <f>IF(OR($G73&lt;&gt;"liaison",$D73=""),"",$D73&amp;"#"&amp;COUNTIFS($D$2:$D73,$D73,$G$2:$G73,"liaison"))</f>
        <v/>
      </c>
    </row>
    <row r="74">
      <c r="A74" s="22" t="n"/>
      <c r="B74" s="22" t="n"/>
      <c r="C74" s="22" t="n"/>
      <c r="D74" s="22" t="n"/>
      <c r="E74" s="22" t="n"/>
      <c r="F74" s="22" t="n"/>
      <c r="G74" s="22" t="n"/>
      <c r="H74" s="20">
        <f>IF(OR($G74&lt;&gt;"liaison",$D74=""),"",$D74&amp;"#"&amp;COUNTIFS($D$2:$D74,$D74,$G$2:$G74,"liaison"))</f>
        <v/>
      </c>
    </row>
    <row r="75">
      <c r="A75" s="22" t="n"/>
      <c r="B75" s="22" t="n"/>
      <c r="C75" s="22" t="n"/>
      <c r="D75" s="22" t="n"/>
      <c r="E75" s="22" t="n"/>
      <c r="F75" s="22" t="n"/>
      <c r="G75" s="22" t="n"/>
      <c r="H75" s="20">
        <f>IF(OR($G75&lt;&gt;"liaison",$D75=""),"",$D75&amp;"#"&amp;COUNTIFS($D$2:$D75,$D75,$G$2:$G75,"liaison"))</f>
        <v/>
      </c>
    </row>
    <row r="76">
      <c r="A76" s="22" t="n"/>
      <c r="B76" s="22" t="n"/>
      <c r="C76" s="22" t="n"/>
      <c r="D76" s="22" t="n"/>
      <c r="E76" s="22" t="n"/>
      <c r="F76" s="22" t="n"/>
      <c r="G76" s="22" t="n"/>
      <c r="H76" s="20">
        <f>IF(OR($G76&lt;&gt;"liaison",$D76=""),"",$D76&amp;"#"&amp;COUNTIFS($D$2:$D76,$D76,$G$2:$G76,"liaison"))</f>
        <v/>
      </c>
    </row>
    <row r="77">
      <c r="A77" s="22" t="n"/>
      <c r="B77" s="22" t="n"/>
      <c r="C77" s="22" t="n"/>
      <c r="D77" s="22" t="n"/>
      <c r="E77" s="22" t="n"/>
      <c r="F77" s="22" t="n"/>
      <c r="G77" s="22" t="n"/>
      <c r="H77" s="20">
        <f>IF(OR($G77&lt;&gt;"liaison",$D77=""),"",$D77&amp;"#"&amp;COUNTIFS($D$2:$D77,$D77,$G$2:$G77,"liaison"))</f>
        <v/>
      </c>
    </row>
    <row r="78">
      <c r="A78" s="22" t="n"/>
      <c r="B78" s="22" t="n"/>
      <c r="C78" s="22" t="n"/>
      <c r="D78" s="22" t="n"/>
      <c r="E78" s="22" t="n"/>
      <c r="F78" s="22" t="n"/>
      <c r="G78" s="22" t="n"/>
      <c r="H78" s="20">
        <f>IF(OR($G78&lt;&gt;"liaison",$D78=""),"",$D78&amp;"#"&amp;COUNTIFS($D$2:$D78,$D78,$G$2:$G78,"liaison"))</f>
        <v/>
      </c>
    </row>
    <row r="79">
      <c r="A79" s="22" t="n"/>
      <c r="B79" s="22" t="n"/>
      <c r="C79" s="22" t="n"/>
      <c r="D79" s="22" t="n"/>
      <c r="E79" s="22" t="n"/>
      <c r="F79" s="22" t="n"/>
      <c r="G79" s="22" t="n"/>
      <c r="H79" s="20">
        <f>IF(OR($G79&lt;&gt;"liaison",$D79=""),"",$D79&amp;"#"&amp;COUNTIFS($D$2:$D79,$D79,$G$2:$G79,"liaison"))</f>
        <v/>
      </c>
    </row>
    <row r="80">
      <c r="A80" s="22" t="n"/>
      <c r="B80" s="22" t="n"/>
      <c r="C80" s="22" t="n"/>
      <c r="D80" s="22" t="n"/>
      <c r="E80" s="22" t="n"/>
      <c r="F80" s="22" t="n"/>
      <c r="G80" s="22" t="n"/>
      <c r="H80" s="20">
        <f>IF(OR($G80&lt;&gt;"liaison",$D80=""),"",$D80&amp;"#"&amp;COUNTIFS($D$2:$D80,$D80,$G$2:$G80,"liaison"))</f>
        <v/>
      </c>
    </row>
    <row r="81">
      <c r="A81" s="22" t="n"/>
      <c r="B81" s="22" t="n"/>
      <c r="C81" s="22" t="n"/>
      <c r="D81" s="22" t="n"/>
      <c r="E81" s="22" t="n"/>
      <c r="F81" s="22" t="n"/>
      <c r="G81" s="22" t="n"/>
      <c r="H81" s="20">
        <f>IF(OR($G81&lt;&gt;"liaison",$D81=""),"",$D81&amp;"#"&amp;COUNTIFS($D$2:$D81,$D81,$G$2:$G81,"liaison"))</f>
        <v/>
      </c>
    </row>
    <row r="82">
      <c r="A82" s="22" t="n"/>
      <c r="B82" s="22" t="n"/>
      <c r="C82" s="22" t="n"/>
      <c r="D82" s="22" t="n"/>
      <c r="E82" s="22" t="n"/>
      <c r="F82" s="22" t="n"/>
      <c r="G82" s="22" t="n"/>
      <c r="H82" s="20">
        <f>IF(OR($G82&lt;&gt;"liaison",$D82=""),"",$D82&amp;"#"&amp;COUNTIFS($D$2:$D82,$D82,$G$2:$G82,"liaison"))</f>
        <v/>
      </c>
    </row>
    <row r="83">
      <c r="A83" s="22" t="n"/>
      <c r="B83" s="22" t="n"/>
      <c r="C83" s="22" t="n"/>
      <c r="D83" s="22" t="n"/>
      <c r="E83" s="22" t="n"/>
      <c r="F83" s="22" t="n"/>
      <c r="G83" s="22" t="n"/>
      <c r="H83" s="20">
        <f>IF(OR($G83&lt;&gt;"liaison",$D83=""),"",$D83&amp;"#"&amp;COUNTIFS($D$2:$D83,$D83,$G$2:$G83,"liaison"))</f>
        <v/>
      </c>
    </row>
    <row r="84">
      <c r="A84" s="22" t="n"/>
      <c r="B84" s="22" t="n"/>
      <c r="C84" s="22" t="n"/>
      <c r="D84" s="22" t="n"/>
      <c r="E84" s="22" t="n"/>
      <c r="F84" s="22" t="n"/>
      <c r="G84" s="22" t="n"/>
      <c r="H84" s="20">
        <f>IF(OR($G84&lt;&gt;"liaison",$D84=""),"",$D84&amp;"#"&amp;COUNTIFS($D$2:$D84,$D84,$G$2:$G84,"liaison"))</f>
        <v/>
      </c>
    </row>
    <row r="85">
      <c r="A85" s="22" t="n"/>
      <c r="B85" s="22" t="n"/>
      <c r="C85" s="22" t="n"/>
      <c r="D85" s="22" t="n"/>
      <c r="E85" s="22" t="n"/>
      <c r="F85" s="22" t="n"/>
      <c r="G85" s="22" t="n"/>
      <c r="H85" s="20">
        <f>IF(OR($G85&lt;&gt;"liaison",$D85=""),"",$D85&amp;"#"&amp;COUNTIFS($D$2:$D85,$D85,$G$2:$G85,"liaison"))</f>
        <v/>
      </c>
    </row>
    <row r="86">
      <c r="A86" s="22" t="n"/>
      <c r="B86" s="22" t="n"/>
      <c r="C86" s="22" t="n"/>
      <c r="D86" s="22" t="n"/>
      <c r="E86" s="22" t="n"/>
      <c r="F86" s="22" t="n"/>
      <c r="G86" s="22" t="n"/>
      <c r="H86" s="20">
        <f>IF(OR($G86&lt;&gt;"liaison",$D86=""),"",$D86&amp;"#"&amp;COUNTIFS($D$2:$D86,$D86,$G$2:$G86,"liaison"))</f>
        <v/>
      </c>
    </row>
    <row r="87">
      <c r="A87" s="22" t="n"/>
      <c r="B87" s="22" t="n"/>
      <c r="C87" s="22" t="n"/>
      <c r="D87" s="22" t="n"/>
      <c r="E87" s="22" t="n"/>
      <c r="F87" s="22" t="n"/>
      <c r="G87" s="22" t="n"/>
      <c r="H87" s="20">
        <f>IF(OR($G87&lt;&gt;"liaison",$D87=""),"",$D87&amp;"#"&amp;COUNTIFS($D$2:$D87,$D87,$G$2:$G87,"liaison"))</f>
        <v/>
      </c>
    </row>
    <row r="88">
      <c r="A88" s="22" t="n"/>
      <c r="B88" s="22" t="n"/>
      <c r="C88" s="22" t="n"/>
      <c r="D88" s="22" t="n"/>
      <c r="E88" s="22" t="n"/>
      <c r="F88" s="22" t="n"/>
      <c r="G88" s="22" t="n"/>
      <c r="H88" s="20">
        <f>IF(OR($G88&lt;&gt;"liaison",$D88=""),"",$D88&amp;"#"&amp;COUNTIFS($D$2:$D88,$D88,$G$2:$G88,"liaison"))</f>
        <v/>
      </c>
    </row>
    <row r="89">
      <c r="A89" s="22" t="n"/>
      <c r="B89" s="22" t="n"/>
      <c r="C89" s="22" t="n"/>
      <c r="D89" s="22" t="n"/>
      <c r="E89" s="22" t="n"/>
      <c r="F89" s="22" t="n"/>
      <c r="G89" s="22" t="n"/>
      <c r="H89" s="20">
        <f>IF(OR($G89&lt;&gt;"liaison",$D89=""),"",$D89&amp;"#"&amp;COUNTIFS($D$2:$D89,$D89,$G$2:$G89,"liaison"))</f>
        <v/>
      </c>
    </row>
    <row r="90">
      <c r="A90" s="22" t="n"/>
      <c r="B90" s="22" t="n"/>
      <c r="C90" s="22" t="n"/>
      <c r="D90" s="22" t="n"/>
      <c r="E90" s="22" t="n"/>
      <c r="F90" s="22" t="n"/>
      <c r="G90" s="22" t="n"/>
      <c r="H90" s="20">
        <f>IF(OR($G90&lt;&gt;"liaison",$D90=""),"",$D90&amp;"#"&amp;COUNTIFS($D$2:$D90,$D90,$G$2:$G90,"liaison"))</f>
        <v/>
      </c>
    </row>
    <row r="91">
      <c r="A91" s="22" t="n"/>
      <c r="B91" s="22" t="n"/>
      <c r="C91" s="22" t="n"/>
      <c r="D91" s="22" t="n"/>
      <c r="E91" s="22" t="n"/>
      <c r="F91" s="22" t="n"/>
      <c r="G91" s="22" t="n"/>
      <c r="H91" s="20">
        <f>IF(OR($G91&lt;&gt;"liaison",$D91=""),"",$D91&amp;"#"&amp;COUNTIFS($D$2:$D91,$D91,$G$2:$G91,"liaison"))</f>
        <v/>
      </c>
    </row>
    <row r="92">
      <c r="A92" s="22" t="n"/>
      <c r="B92" s="22" t="n"/>
      <c r="C92" s="22" t="n"/>
      <c r="D92" s="22" t="n"/>
      <c r="E92" s="22" t="n"/>
      <c r="F92" s="22" t="n"/>
      <c r="G92" s="22" t="n"/>
      <c r="H92" s="20">
        <f>IF(OR($G92&lt;&gt;"liaison",$D92=""),"",$D92&amp;"#"&amp;COUNTIFS($D$2:$D92,$D92,$G$2:$G92,"liaison"))</f>
        <v/>
      </c>
    </row>
    <row r="93">
      <c r="A93" s="22" t="n"/>
      <c r="B93" s="22" t="n"/>
      <c r="C93" s="22" t="n"/>
      <c r="D93" s="22" t="n"/>
      <c r="E93" s="22" t="n"/>
      <c r="F93" s="22" t="n"/>
      <c r="G93" s="22" t="n"/>
      <c r="H93" s="20">
        <f>IF(OR($G93&lt;&gt;"liaison",$D93=""),"",$D93&amp;"#"&amp;COUNTIFS($D$2:$D93,$D93,$G$2:$G93,"liaison"))</f>
        <v/>
      </c>
    </row>
    <row r="94">
      <c r="A94" s="22" t="n"/>
      <c r="B94" s="22" t="n"/>
      <c r="C94" s="22" t="n"/>
      <c r="D94" s="22" t="n"/>
      <c r="E94" s="22" t="n"/>
      <c r="F94" s="22" t="n"/>
      <c r="G94" s="22" t="n"/>
      <c r="H94" s="20">
        <f>IF(OR($G94&lt;&gt;"liaison",$D94=""),"",$D94&amp;"#"&amp;COUNTIFS($D$2:$D94,$D94,$G$2:$G94,"liaison"))</f>
        <v/>
      </c>
    </row>
    <row r="95">
      <c r="A95" s="22" t="n"/>
      <c r="B95" s="22" t="n"/>
      <c r="C95" s="22" t="n"/>
      <c r="D95" s="22" t="n"/>
      <c r="E95" s="22" t="n"/>
      <c r="F95" s="22" t="n"/>
      <c r="G95" s="22" t="n"/>
      <c r="H95" s="20">
        <f>IF(OR($G95&lt;&gt;"liaison",$D95=""),"",$D95&amp;"#"&amp;COUNTIFS($D$2:$D95,$D95,$G$2:$G95,"liaison"))</f>
        <v/>
      </c>
    </row>
    <row r="96">
      <c r="A96" s="22" t="n"/>
      <c r="B96" s="22" t="n"/>
      <c r="C96" s="22" t="n"/>
      <c r="D96" s="22" t="n"/>
      <c r="E96" s="22" t="n"/>
      <c r="F96" s="22" t="n"/>
      <c r="G96" s="22" t="n"/>
      <c r="H96" s="20">
        <f>IF(OR($G96&lt;&gt;"liaison",$D96=""),"",$D96&amp;"#"&amp;COUNTIFS($D$2:$D96,$D96,$G$2:$G96,"liaison"))</f>
        <v/>
      </c>
    </row>
    <row r="97">
      <c r="A97" s="22" t="n"/>
      <c r="B97" s="22" t="n"/>
      <c r="C97" s="22" t="n"/>
      <c r="D97" s="22" t="n"/>
      <c r="E97" s="22" t="n"/>
      <c r="F97" s="22" t="n"/>
      <c r="G97" s="22" t="n"/>
      <c r="H97" s="20">
        <f>IF(OR($G97&lt;&gt;"liaison",$D97=""),"",$D97&amp;"#"&amp;COUNTIFS($D$2:$D97,$D97,$G$2:$G97,"liaison"))</f>
        <v/>
      </c>
    </row>
    <row r="98">
      <c r="A98" s="22" t="n"/>
      <c r="B98" s="22" t="n"/>
      <c r="C98" s="22" t="n"/>
      <c r="D98" s="22" t="n"/>
      <c r="E98" s="22" t="n"/>
      <c r="F98" s="22" t="n"/>
      <c r="G98" s="22" t="n"/>
      <c r="H98" s="20">
        <f>IF(OR($G98&lt;&gt;"liaison",$D98=""),"",$D98&amp;"#"&amp;COUNTIFS($D$2:$D98,$D98,$G$2:$G98,"liaison"))</f>
        <v/>
      </c>
    </row>
    <row r="99">
      <c r="A99" s="22" t="n"/>
      <c r="B99" s="22" t="n"/>
      <c r="C99" s="22" t="n"/>
      <c r="D99" s="22" t="n"/>
      <c r="E99" s="22" t="n"/>
      <c r="F99" s="22" t="n"/>
      <c r="G99" s="22" t="n"/>
      <c r="H99" s="20">
        <f>IF(OR($G99&lt;&gt;"liaison",$D99=""),"",$D99&amp;"#"&amp;COUNTIFS($D$2:$D99,$D99,$G$2:$G99,"liaison"))</f>
        <v/>
      </c>
    </row>
    <row r="100">
      <c r="A100" s="22" t="n"/>
      <c r="B100" s="22" t="n"/>
      <c r="C100" s="22" t="n"/>
      <c r="D100" s="22" t="n"/>
      <c r="E100" s="22" t="n"/>
      <c r="F100" s="22" t="n"/>
      <c r="G100" s="22" t="n"/>
      <c r="H100" s="20">
        <f>IF(OR($G100&lt;&gt;"liaison",$D100=""),"",$D100&amp;"#"&amp;COUNTIFS($D$2:$D100,$D100,$G$2:$G100,"liaison"))</f>
        <v/>
      </c>
    </row>
    <row r="101">
      <c r="A101" s="22" t="n"/>
      <c r="B101" s="22" t="n"/>
      <c r="C101" s="22" t="n"/>
      <c r="D101" s="22" t="n"/>
      <c r="E101" s="22" t="n"/>
      <c r="F101" s="22" t="n"/>
      <c r="G101" s="22" t="n"/>
      <c r="H101" s="20">
        <f>IF(OR($G101&lt;&gt;"liaison",$D101=""),"",$D101&amp;"#"&amp;COUNTIFS($D$2:$D101,$D101,$G$2:$G101,"liaison"))</f>
        <v/>
      </c>
    </row>
    <row r="102">
      <c r="A102" s="22" t="n"/>
      <c r="B102" s="22" t="n"/>
      <c r="C102" s="22" t="n"/>
      <c r="D102" s="22" t="n"/>
      <c r="E102" s="22" t="n"/>
      <c r="F102" s="22" t="n"/>
      <c r="G102" s="22" t="n"/>
      <c r="H102" s="20">
        <f>IF(OR($G102&lt;&gt;"liaison",$D102=""),"",$D102&amp;"#"&amp;COUNTIFS($D$2:$D102,$D102,$G$2:$G102,"liaison"))</f>
        <v/>
      </c>
    </row>
    <row r="103">
      <c r="A103" s="22" t="n"/>
      <c r="B103" s="22" t="n"/>
      <c r="C103" s="22" t="n"/>
      <c r="D103" s="22" t="n"/>
      <c r="E103" s="22" t="n"/>
      <c r="F103" s="22" t="n"/>
      <c r="G103" s="22" t="n"/>
      <c r="H103" s="20">
        <f>IF(OR($G103&lt;&gt;"liaison",$D103=""),"",$D103&amp;"#"&amp;COUNTIFS($D$2:$D103,$D103,$G$2:$G103,"liaison"))</f>
        <v/>
      </c>
    </row>
    <row r="104">
      <c r="A104" s="22" t="n"/>
      <c r="B104" s="22" t="n"/>
      <c r="C104" s="22" t="n"/>
      <c r="D104" s="22" t="n"/>
      <c r="E104" s="22" t="n"/>
      <c r="F104" s="22" t="n"/>
      <c r="G104" s="22" t="n"/>
      <c r="H104" s="20">
        <f>IF(OR($G104&lt;&gt;"liaison",$D104=""),"",$D104&amp;"#"&amp;COUNTIFS($D$2:$D104,$D104,$G$2:$G104,"liaison"))</f>
        <v/>
      </c>
    </row>
    <row r="105">
      <c r="A105" s="22" t="n"/>
      <c r="B105" s="22" t="n"/>
      <c r="C105" s="22" t="n"/>
      <c r="D105" s="22" t="n"/>
      <c r="E105" s="22" t="n"/>
      <c r="F105" s="22" t="n"/>
      <c r="G105" s="22" t="n"/>
      <c r="H105" s="20">
        <f>IF(OR($G105&lt;&gt;"liaison",$D105=""),"",$D105&amp;"#"&amp;COUNTIFS($D$2:$D105,$D105,$G$2:$G105,"liaison"))</f>
        <v/>
      </c>
    </row>
    <row r="106">
      <c r="A106" s="22" t="n"/>
      <c r="B106" s="22" t="n"/>
      <c r="C106" s="22" t="n"/>
      <c r="D106" s="22" t="n"/>
      <c r="E106" s="22" t="n"/>
      <c r="F106" s="22" t="n"/>
      <c r="G106" s="22" t="n"/>
      <c r="H106" s="20">
        <f>IF(OR($G106&lt;&gt;"liaison",$D106=""),"",$D106&amp;"#"&amp;COUNTIFS($D$2:$D106,$D106,$G$2:$G106,"liaison"))</f>
        <v/>
      </c>
    </row>
    <row r="107">
      <c r="A107" s="22" t="n"/>
      <c r="B107" s="22" t="n"/>
      <c r="C107" s="22" t="n"/>
      <c r="D107" s="22" t="n"/>
      <c r="E107" s="22" t="n"/>
      <c r="F107" s="22" t="n"/>
      <c r="G107" s="22" t="n"/>
      <c r="H107" s="20">
        <f>IF(OR($G107&lt;&gt;"liaison",$D107=""),"",$D107&amp;"#"&amp;COUNTIFS($D$2:$D107,$D107,$G$2:$G107,"liaison"))</f>
        <v/>
      </c>
    </row>
    <row r="108">
      <c r="A108" s="22" t="n"/>
      <c r="B108" s="22" t="n"/>
      <c r="C108" s="22" t="n"/>
      <c r="D108" s="22" t="n"/>
      <c r="E108" s="22" t="n"/>
      <c r="F108" s="22" t="n"/>
      <c r="G108" s="22" t="n"/>
      <c r="H108" s="20">
        <f>IF(OR($G108&lt;&gt;"liaison",$D108=""),"",$D108&amp;"#"&amp;COUNTIFS($D$2:$D108,$D108,$G$2:$G108,"liaison"))</f>
        <v/>
      </c>
    </row>
    <row r="109">
      <c r="A109" s="22" t="n"/>
      <c r="B109" s="22" t="n"/>
      <c r="C109" s="22" t="n"/>
      <c r="D109" s="22" t="n"/>
      <c r="E109" s="22" t="n"/>
      <c r="F109" s="22" t="n"/>
      <c r="G109" s="22" t="n"/>
      <c r="H109" s="20">
        <f>IF(OR($G109&lt;&gt;"liaison",$D109=""),"",$D109&amp;"#"&amp;COUNTIFS($D$2:$D109,$D109,$G$2:$G109,"liaison"))</f>
        <v/>
      </c>
    </row>
    <row r="110">
      <c r="A110" s="22" t="n"/>
      <c r="B110" s="22" t="n"/>
      <c r="C110" s="22" t="n"/>
      <c r="D110" s="22" t="n"/>
      <c r="E110" s="22" t="n"/>
      <c r="F110" s="22" t="n"/>
      <c r="G110" s="22" t="n"/>
      <c r="H110" s="20">
        <f>IF(OR($G110&lt;&gt;"liaison",$D110=""),"",$D110&amp;"#"&amp;COUNTIFS($D$2:$D110,$D110,$G$2:$G110,"liaison"))</f>
        <v/>
      </c>
    </row>
    <row r="111">
      <c r="A111" s="22" t="n"/>
      <c r="B111" s="22" t="n"/>
      <c r="C111" s="22" t="n"/>
      <c r="D111" s="22" t="n"/>
      <c r="E111" s="22" t="n"/>
      <c r="F111" s="22" t="n"/>
      <c r="G111" s="22" t="n"/>
      <c r="H111" s="20">
        <f>IF(OR($G111&lt;&gt;"liaison",$D111=""),"",$D111&amp;"#"&amp;COUNTIFS($D$2:$D111,$D111,$G$2:$G111,"liaison"))</f>
        <v/>
      </c>
    </row>
    <row r="112">
      <c r="A112" s="22" t="n"/>
      <c r="B112" s="22" t="n"/>
      <c r="C112" s="22" t="n"/>
      <c r="D112" s="22" t="n"/>
      <c r="E112" s="22" t="n"/>
      <c r="F112" s="22" t="n"/>
      <c r="G112" s="22" t="n"/>
      <c r="H112" s="20">
        <f>IF(OR($G112&lt;&gt;"liaison",$D112=""),"",$D112&amp;"#"&amp;COUNTIFS($D$2:$D112,$D112,$G$2:$G112,"liaison"))</f>
        <v/>
      </c>
    </row>
    <row r="113">
      <c r="A113" s="22" t="n"/>
      <c r="B113" s="22" t="n"/>
      <c r="C113" s="22" t="n"/>
      <c r="D113" s="22" t="n"/>
      <c r="E113" s="22" t="n"/>
      <c r="F113" s="22" t="n"/>
      <c r="G113" s="22" t="n"/>
      <c r="H113" s="20">
        <f>IF(OR($G113&lt;&gt;"liaison",$D113=""),"",$D113&amp;"#"&amp;COUNTIFS($D$2:$D113,$D113,$G$2:$G113,"liaison"))</f>
        <v/>
      </c>
    </row>
    <row r="114">
      <c r="A114" s="22" t="n"/>
      <c r="B114" s="22" t="n"/>
      <c r="C114" s="22" t="n"/>
      <c r="D114" s="22" t="n"/>
      <c r="E114" s="22" t="n"/>
      <c r="F114" s="22" t="n"/>
      <c r="G114" s="22" t="n"/>
      <c r="H114" s="20">
        <f>IF(OR($G114&lt;&gt;"liaison",$D114=""),"",$D114&amp;"#"&amp;COUNTIFS($D$2:$D114,$D114,$G$2:$G114,"liaison"))</f>
        <v/>
      </c>
    </row>
    <row r="115">
      <c r="A115" s="22" t="n"/>
      <c r="B115" s="22" t="n"/>
      <c r="C115" s="22" t="n"/>
      <c r="D115" s="22" t="n"/>
      <c r="E115" s="22" t="n"/>
      <c r="F115" s="22" t="n"/>
      <c r="G115" s="22" t="n"/>
      <c r="H115" s="20">
        <f>IF(OR($G115&lt;&gt;"liaison",$D115=""),"",$D115&amp;"#"&amp;COUNTIFS($D$2:$D115,$D115,$G$2:$G115,"liaison"))</f>
        <v/>
      </c>
    </row>
    <row r="116">
      <c r="A116" s="22" t="n"/>
      <c r="B116" s="22" t="n"/>
      <c r="C116" s="22" t="n"/>
      <c r="D116" s="22" t="n"/>
      <c r="E116" s="22" t="n"/>
      <c r="F116" s="22" t="n"/>
      <c r="G116" s="22" t="n"/>
      <c r="H116" s="20">
        <f>IF(OR($G116&lt;&gt;"liaison",$D116=""),"",$D116&amp;"#"&amp;COUNTIFS($D$2:$D116,$D116,$G$2:$G116,"liaison"))</f>
        <v/>
      </c>
    </row>
    <row r="117">
      <c r="A117" s="22" t="n"/>
      <c r="B117" s="22" t="n"/>
      <c r="C117" s="22" t="n"/>
      <c r="D117" s="22" t="n"/>
      <c r="E117" s="22" t="n"/>
      <c r="F117" s="22" t="n"/>
      <c r="G117" s="22" t="n"/>
      <c r="H117" s="20">
        <f>IF(OR($G117&lt;&gt;"liaison",$D117=""),"",$D117&amp;"#"&amp;COUNTIFS($D$2:$D117,$D117,$G$2:$G117,"liaison"))</f>
        <v/>
      </c>
    </row>
    <row r="118">
      <c r="A118" s="22" t="n"/>
      <c r="B118" s="22" t="n"/>
      <c r="C118" s="22" t="n"/>
      <c r="D118" s="22" t="n"/>
      <c r="E118" s="22" t="n"/>
      <c r="F118" s="22" t="n"/>
      <c r="G118" s="22" t="n"/>
      <c r="H118" s="20">
        <f>IF(OR($G118&lt;&gt;"liaison",$D118=""),"",$D118&amp;"#"&amp;COUNTIFS($D$2:$D118,$D118,$G$2:$G118,"liaison"))</f>
        <v/>
      </c>
    </row>
    <row r="119">
      <c r="A119" s="22" t="n"/>
      <c r="B119" s="22" t="n"/>
      <c r="C119" s="22" t="n"/>
      <c r="D119" s="22" t="n"/>
      <c r="E119" s="22" t="n"/>
      <c r="F119" s="22" t="n"/>
      <c r="G119" s="22" t="n"/>
      <c r="H119" s="20">
        <f>IF(OR($G119&lt;&gt;"liaison",$D119=""),"",$D119&amp;"#"&amp;COUNTIFS($D$2:$D119,$D119,$G$2:$G119,"liaison"))</f>
        <v/>
      </c>
    </row>
    <row r="120">
      <c r="A120" s="22" t="n"/>
      <c r="B120" s="22" t="n"/>
      <c r="C120" s="22" t="n"/>
      <c r="D120" s="22" t="n"/>
      <c r="E120" s="22" t="n"/>
      <c r="F120" s="22" t="n"/>
      <c r="G120" s="22" t="n"/>
      <c r="H120" s="20">
        <f>IF(OR($G120&lt;&gt;"liaison",$D120=""),"",$D120&amp;"#"&amp;COUNTIFS($D$2:$D120,$D120,$G$2:$G120,"liaison"))</f>
        <v/>
      </c>
    </row>
    <row r="121">
      <c r="A121" s="22" t="n"/>
      <c r="B121" s="22" t="n"/>
      <c r="C121" s="22" t="n"/>
      <c r="D121" s="22" t="n"/>
      <c r="E121" s="22" t="n"/>
      <c r="F121" s="22" t="n"/>
      <c r="G121" s="22" t="n"/>
      <c r="H121" s="20">
        <f>IF(OR($G121&lt;&gt;"liaison",$D121=""),"",$D121&amp;"#"&amp;COUNTIFS($D$2:$D121,$D121,$G$2:$G121,"liaison"))</f>
        <v/>
      </c>
    </row>
    <row r="122">
      <c r="A122" s="22" t="n"/>
      <c r="B122" s="22" t="n"/>
      <c r="C122" s="22" t="n"/>
      <c r="D122" s="22" t="n"/>
      <c r="E122" s="22" t="n"/>
      <c r="F122" s="22" t="n"/>
      <c r="G122" s="22" t="n"/>
      <c r="H122" s="20">
        <f>IF(OR($G122&lt;&gt;"liaison",$D122=""),"",$D122&amp;"#"&amp;COUNTIFS($D$2:$D122,$D122,$G$2:$G122,"liaison"))</f>
        <v/>
      </c>
    </row>
    <row r="123">
      <c r="A123" s="22" t="n"/>
      <c r="B123" s="22" t="n"/>
      <c r="C123" s="22" t="n"/>
      <c r="D123" s="22" t="n"/>
      <c r="E123" s="22" t="n"/>
      <c r="F123" s="22" t="n"/>
      <c r="G123" s="22" t="n"/>
      <c r="H123" s="20">
        <f>IF(OR($G123&lt;&gt;"liaison",$D123=""),"",$D123&amp;"#"&amp;COUNTIFS($D$2:$D123,$D123,$G$2:$G123,"liaison"))</f>
        <v/>
      </c>
    </row>
    <row r="124">
      <c r="A124" s="22" t="n"/>
      <c r="B124" s="22" t="n"/>
      <c r="C124" s="22" t="n"/>
      <c r="D124" s="22" t="n"/>
      <c r="E124" s="22" t="n"/>
      <c r="F124" s="22" t="n"/>
      <c r="G124" s="22" t="n"/>
      <c r="H124" s="20">
        <f>IF(OR($G124&lt;&gt;"liaison",$D124=""),"",$D124&amp;"#"&amp;COUNTIFS($D$2:$D124,$D124,$G$2:$G124,"liaison"))</f>
        <v/>
      </c>
    </row>
    <row r="125">
      <c r="A125" s="22" t="n"/>
      <c r="B125" s="22" t="n"/>
      <c r="C125" s="22" t="n"/>
      <c r="D125" s="22" t="n"/>
      <c r="E125" s="22" t="n"/>
      <c r="F125" s="22" t="n"/>
      <c r="G125" s="22" t="n"/>
      <c r="H125" s="20">
        <f>IF(OR($G125&lt;&gt;"liaison",$D125=""),"",$D125&amp;"#"&amp;COUNTIFS($D$2:$D125,$D125,$G$2:$G125,"liaison"))</f>
        <v/>
      </c>
    </row>
    <row r="126">
      <c r="A126" s="22" t="n"/>
      <c r="B126" s="22" t="n"/>
      <c r="C126" s="22" t="n"/>
      <c r="D126" s="22" t="n"/>
      <c r="E126" s="22" t="n"/>
      <c r="F126" s="22" t="n"/>
      <c r="G126" s="22" t="n"/>
      <c r="H126" s="20">
        <f>IF(OR($G126&lt;&gt;"liaison",$D126=""),"",$D126&amp;"#"&amp;COUNTIFS($D$2:$D126,$D126,$G$2:$G126,"liaison"))</f>
        <v/>
      </c>
    </row>
    <row r="127">
      <c r="A127" s="22" t="n"/>
      <c r="B127" s="22" t="n"/>
      <c r="C127" s="22" t="n"/>
      <c r="D127" s="22" t="n"/>
      <c r="E127" s="22" t="n"/>
      <c r="F127" s="22" t="n"/>
      <c r="G127" s="22" t="n"/>
      <c r="H127" s="20">
        <f>IF(OR($G127&lt;&gt;"liaison",$D127=""),"",$D127&amp;"#"&amp;COUNTIFS($D$2:$D127,$D127,$G$2:$G127,"liaison"))</f>
        <v/>
      </c>
    </row>
    <row r="128">
      <c r="A128" s="22" t="n"/>
      <c r="B128" s="22" t="n"/>
      <c r="C128" s="22" t="n"/>
      <c r="D128" s="22" t="n"/>
      <c r="E128" s="22" t="n"/>
      <c r="F128" s="22" t="n"/>
      <c r="G128" s="22" t="n"/>
      <c r="H128" s="20">
        <f>IF(OR($G128&lt;&gt;"liaison",$D128=""),"",$D128&amp;"#"&amp;COUNTIFS($D$2:$D128,$D128,$G$2:$G128,"liaison"))</f>
        <v/>
      </c>
    </row>
    <row r="129">
      <c r="A129" s="22" t="n"/>
      <c r="B129" s="22" t="n"/>
      <c r="C129" s="22" t="n"/>
      <c r="D129" s="22" t="n"/>
      <c r="E129" s="22" t="n"/>
      <c r="F129" s="22" t="n"/>
      <c r="G129" s="22" t="n"/>
      <c r="H129" s="20">
        <f>IF(OR($G129&lt;&gt;"liaison",$D129=""),"",$D129&amp;"#"&amp;COUNTIFS($D$2:$D129,$D129,$G$2:$G129,"liaison"))</f>
        <v/>
      </c>
    </row>
    <row r="130">
      <c r="A130" s="22" t="n"/>
      <c r="B130" s="22" t="n"/>
      <c r="C130" s="22" t="n"/>
      <c r="D130" s="22" t="n"/>
      <c r="E130" s="22" t="n"/>
      <c r="F130" s="22" t="n"/>
      <c r="G130" s="22" t="n"/>
      <c r="H130" s="20">
        <f>IF(OR($G130&lt;&gt;"liaison",$D130=""),"",$D130&amp;"#"&amp;COUNTIFS($D$2:$D130,$D130,$G$2:$G130,"liaison"))</f>
        <v/>
      </c>
    </row>
    <row r="131">
      <c r="A131" s="22" t="n"/>
      <c r="B131" s="22" t="n"/>
      <c r="C131" s="22" t="n"/>
      <c r="D131" s="22" t="n"/>
      <c r="E131" s="22" t="n"/>
      <c r="F131" s="22" t="n"/>
      <c r="G131" s="22" t="n"/>
      <c r="H131" s="20">
        <f>IF(OR($G131&lt;&gt;"liaison",$D131=""),"",$D131&amp;"#"&amp;COUNTIFS($D$2:$D131,$D131,$G$2:$G131,"liaison"))</f>
        <v/>
      </c>
    </row>
    <row r="132">
      <c r="A132" s="22" t="n"/>
      <c r="B132" s="22" t="n"/>
      <c r="C132" s="22" t="n"/>
      <c r="D132" s="22" t="n"/>
      <c r="E132" s="22" t="n"/>
      <c r="F132" s="22" t="n"/>
      <c r="G132" s="22" t="n"/>
      <c r="H132" s="20">
        <f>IF(OR($G132&lt;&gt;"liaison",$D132=""),"",$D132&amp;"#"&amp;COUNTIFS($D$2:$D132,$D132,$G$2:$G132,"liaison"))</f>
        <v/>
      </c>
    </row>
    <row r="133">
      <c r="A133" s="22" t="n"/>
      <c r="B133" s="22" t="n"/>
      <c r="C133" s="22" t="n"/>
      <c r="D133" s="22" t="n"/>
      <c r="E133" s="22" t="n"/>
      <c r="F133" s="22" t="n"/>
      <c r="G133" s="22" t="n"/>
      <c r="H133" s="20">
        <f>IF(OR($G133&lt;&gt;"liaison",$D133=""),"",$D133&amp;"#"&amp;COUNTIFS($D$2:$D133,$D133,$G$2:$G133,"liaison"))</f>
        <v/>
      </c>
    </row>
    <row r="134">
      <c r="A134" s="22" t="n"/>
      <c r="B134" s="22" t="n"/>
      <c r="C134" s="22" t="n"/>
      <c r="D134" s="22" t="n"/>
      <c r="E134" s="22" t="n"/>
      <c r="F134" s="22" t="n"/>
      <c r="G134" s="22" t="n"/>
      <c r="H134" s="20">
        <f>IF(OR($G134&lt;&gt;"liaison",$D134=""),"",$D134&amp;"#"&amp;COUNTIFS($D$2:$D134,$D134,$G$2:$G134,"liaison"))</f>
        <v/>
      </c>
    </row>
    <row r="135">
      <c r="A135" s="22" t="n"/>
      <c r="B135" s="22" t="n"/>
      <c r="C135" s="22" t="n"/>
      <c r="D135" s="22" t="n"/>
      <c r="E135" s="22" t="n"/>
      <c r="F135" s="22" t="n"/>
      <c r="G135" s="22" t="n"/>
      <c r="H135" s="20">
        <f>IF(OR($G135&lt;&gt;"liaison",$D135=""),"",$D135&amp;"#"&amp;COUNTIFS($D$2:$D135,$D135,$G$2:$G135,"liaison"))</f>
        <v/>
      </c>
    </row>
    <row r="136">
      <c r="A136" s="22" t="n"/>
      <c r="B136" s="22" t="n"/>
      <c r="C136" s="22" t="n"/>
      <c r="D136" s="22" t="n"/>
      <c r="E136" s="22" t="n"/>
      <c r="F136" s="22" t="n"/>
      <c r="G136" s="22" t="n"/>
      <c r="H136" s="20">
        <f>IF(OR($G136&lt;&gt;"liaison",$D136=""),"",$D136&amp;"#"&amp;COUNTIFS($D$2:$D136,$D136,$G$2:$G136,"liaison"))</f>
        <v/>
      </c>
    </row>
    <row r="137">
      <c r="A137" s="22" t="n"/>
      <c r="B137" s="22" t="n"/>
      <c r="C137" s="22" t="n"/>
      <c r="D137" s="22" t="n"/>
      <c r="E137" s="22" t="n"/>
      <c r="F137" s="22" t="n"/>
      <c r="G137" s="22" t="n"/>
      <c r="H137" s="20">
        <f>IF(OR($G137&lt;&gt;"liaison",$D137=""),"",$D137&amp;"#"&amp;COUNTIFS($D$2:$D137,$D137,$G$2:$G137,"liaison"))</f>
        <v/>
      </c>
    </row>
    <row r="138">
      <c r="A138" s="22" t="n"/>
      <c r="B138" s="22" t="n"/>
      <c r="C138" s="22" t="n"/>
      <c r="D138" s="22" t="n"/>
      <c r="E138" s="22" t="n"/>
      <c r="F138" s="22" t="n"/>
      <c r="G138" s="22" t="n"/>
      <c r="H138" s="20">
        <f>IF(OR($G138&lt;&gt;"liaison",$D138=""),"",$D138&amp;"#"&amp;COUNTIFS($D$2:$D138,$D138,$G$2:$G138,"liaison"))</f>
        <v/>
      </c>
    </row>
    <row r="139">
      <c r="A139" s="22" t="n"/>
      <c r="B139" s="22" t="n"/>
      <c r="C139" s="22" t="n"/>
      <c r="D139" s="22" t="n"/>
      <c r="E139" s="22" t="n"/>
      <c r="F139" s="22" t="n"/>
      <c r="G139" s="22" t="n"/>
      <c r="H139" s="20">
        <f>IF(OR($G139&lt;&gt;"liaison",$D139=""),"",$D139&amp;"#"&amp;COUNTIFS($D$2:$D139,$D139,$G$2:$G139,"liaison"))</f>
        <v/>
      </c>
    </row>
    <row r="140">
      <c r="A140" s="22" t="n"/>
      <c r="B140" s="22" t="n"/>
      <c r="C140" s="22" t="n"/>
      <c r="D140" s="22" t="n"/>
      <c r="E140" s="22" t="n"/>
      <c r="F140" s="22" t="n"/>
      <c r="G140" s="22" t="n"/>
      <c r="H140" s="20">
        <f>IF(OR($G140&lt;&gt;"liaison",$D140=""),"",$D140&amp;"#"&amp;COUNTIFS($D$2:$D140,$D140,$G$2:$G140,"liaison"))</f>
        <v/>
      </c>
    </row>
    <row r="141">
      <c r="A141" s="22" t="n"/>
      <c r="B141" s="22" t="n"/>
      <c r="C141" s="22" t="n"/>
      <c r="D141" s="22" t="n"/>
      <c r="E141" s="22" t="n"/>
      <c r="F141" s="22" t="n"/>
      <c r="G141" s="22" t="n"/>
      <c r="H141" s="20">
        <f>IF(OR($G141&lt;&gt;"liaison",$D141=""),"",$D141&amp;"#"&amp;COUNTIFS($D$2:$D141,$D141,$G$2:$G141,"liaison"))</f>
        <v/>
      </c>
    </row>
    <row r="142">
      <c r="A142" s="22" t="n"/>
      <c r="B142" s="22" t="n"/>
      <c r="C142" s="22" t="n"/>
      <c r="D142" s="22" t="n"/>
      <c r="E142" s="22" t="n"/>
      <c r="F142" s="22" t="n"/>
      <c r="G142" s="22" t="n"/>
      <c r="H142" s="20">
        <f>IF(OR($G142&lt;&gt;"liaison",$D142=""),"",$D142&amp;"#"&amp;COUNTIFS($D$2:$D142,$D142,$G$2:$G142,"liaison"))</f>
        <v/>
      </c>
    </row>
    <row r="143">
      <c r="A143" s="22" t="n"/>
      <c r="B143" s="22" t="n"/>
      <c r="C143" s="22" t="n"/>
      <c r="D143" s="22" t="n"/>
      <c r="E143" s="22" t="n"/>
      <c r="F143" s="22" t="n"/>
      <c r="G143" s="22" t="n"/>
      <c r="H143" s="20">
        <f>IF(OR($G143&lt;&gt;"liaison",$D143=""),"",$D143&amp;"#"&amp;COUNTIFS($D$2:$D143,$D143,$G$2:$G143,"liaison"))</f>
        <v/>
      </c>
    </row>
    <row r="144">
      <c r="A144" s="22" t="n"/>
      <c r="B144" s="22" t="n"/>
      <c r="C144" s="22" t="n"/>
      <c r="D144" s="22" t="n"/>
      <c r="E144" s="22" t="n"/>
      <c r="F144" s="22" t="n"/>
      <c r="G144" s="22" t="n"/>
      <c r="H144" s="20">
        <f>IF(OR($G144&lt;&gt;"liaison",$D144=""),"",$D144&amp;"#"&amp;COUNTIFS($D$2:$D144,$D144,$G$2:$G144,"liaison"))</f>
        <v/>
      </c>
    </row>
    <row r="145">
      <c r="A145" s="22" t="n"/>
      <c r="B145" s="22" t="n"/>
      <c r="C145" s="22" t="n"/>
      <c r="D145" s="22" t="n"/>
      <c r="E145" s="22" t="n"/>
      <c r="F145" s="22" t="n"/>
      <c r="G145" s="22" t="n"/>
      <c r="H145" s="20">
        <f>IF(OR($G145&lt;&gt;"liaison",$D145=""),"",$D145&amp;"#"&amp;COUNTIFS($D$2:$D145,$D145,$G$2:$G145,"liaison"))</f>
        <v/>
      </c>
    </row>
    <row r="146">
      <c r="A146" s="22" t="n"/>
      <c r="B146" s="22" t="n"/>
      <c r="C146" s="22" t="n"/>
      <c r="D146" s="22" t="n"/>
      <c r="E146" s="22" t="n"/>
      <c r="F146" s="22" t="n"/>
      <c r="G146" s="22" t="n"/>
      <c r="H146" s="20">
        <f>IF(OR($G146&lt;&gt;"liaison",$D146=""),"",$D146&amp;"#"&amp;COUNTIFS($D$2:$D146,$D146,$G$2:$G146,"liaison"))</f>
        <v/>
      </c>
    </row>
    <row r="147">
      <c r="A147" s="22" t="n"/>
      <c r="B147" s="22" t="n"/>
      <c r="C147" s="22" t="n"/>
      <c r="D147" s="22" t="n"/>
      <c r="E147" s="22" t="n"/>
      <c r="F147" s="22" t="n"/>
      <c r="G147" s="22" t="n"/>
      <c r="H147" s="20">
        <f>IF(OR($G147&lt;&gt;"liaison",$D147=""),"",$D147&amp;"#"&amp;COUNTIFS($D$2:$D147,$D147,$G$2:$G147,"liaison"))</f>
        <v/>
      </c>
    </row>
    <row r="148">
      <c r="A148" s="22" t="n"/>
      <c r="B148" s="22" t="n"/>
      <c r="C148" s="22" t="n"/>
      <c r="D148" s="22" t="n"/>
      <c r="E148" s="22" t="n"/>
      <c r="F148" s="22" t="n"/>
      <c r="G148" s="22" t="n"/>
      <c r="H148" s="20">
        <f>IF(OR($G148&lt;&gt;"liaison",$D148=""),"",$D148&amp;"#"&amp;COUNTIFS($D$2:$D148,$D148,$G$2:$G148,"liaison"))</f>
        <v/>
      </c>
    </row>
    <row r="149">
      <c r="A149" s="22" t="n"/>
      <c r="B149" s="22" t="n"/>
      <c r="C149" s="22" t="n"/>
      <c r="D149" s="22" t="n"/>
      <c r="E149" s="22" t="n"/>
      <c r="F149" s="22" t="n"/>
      <c r="G149" s="22" t="n"/>
      <c r="H149" s="20">
        <f>IF(OR($G149&lt;&gt;"liaison",$D149=""),"",$D149&amp;"#"&amp;COUNTIFS($D$2:$D149,$D149,$G$2:$G149,"liaison"))</f>
        <v/>
      </c>
    </row>
    <row r="150">
      <c r="A150" s="22" t="n"/>
      <c r="B150" s="22" t="n"/>
      <c r="C150" s="22" t="n"/>
      <c r="D150" s="22" t="n"/>
      <c r="E150" s="22" t="n"/>
      <c r="F150" s="22" t="n"/>
      <c r="G150" s="22" t="n"/>
      <c r="H150" s="20">
        <f>IF(OR($G150&lt;&gt;"liaison",$D150=""),"",$D150&amp;"#"&amp;COUNTIFS($D$2:$D150,$D150,$G$2:$G150,"liaison"))</f>
        <v/>
      </c>
    </row>
    <row r="151">
      <c r="A151" s="22" t="n"/>
      <c r="B151" s="22" t="n"/>
      <c r="C151" s="22" t="n"/>
      <c r="D151" s="22" t="n"/>
      <c r="E151" s="22" t="n"/>
      <c r="F151" s="22" t="n"/>
      <c r="G151" s="22" t="n"/>
      <c r="H151" s="20">
        <f>IF(OR($G151&lt;&gt;"liaison",$D151=""),"",$D151&amp;"#"&amp;COUNTIFS($D$2:$D151,$D151,$G$2:$G151,"liaison"))</f>
        <v/>
      </c>
    </row>
    <row r="152">
      <c r="A152" s="22" t="n"/>
      <c r="B152" s="22" t="n"/>
      <c r="C152" s="22" t="n"/>
      <c r="D152" s="22" t="n"/>
      <c r="E152" s="22" t="n"/>
      <c r="F152" s="22" t="n"/>
      <c r="G152" s="22" t="n"/>
      <c r="H152" s="20">
        <f>IF(OR($G152&lt;&gt;"liaison",$D152=""),"",$D152&amp;"#"&amp;COUNTIFS($D$2:$D152,$D152,$G$2:$G152,"liaison"))</f>
        <v/>
      </c>
    </row>
    <row r="153">
      <c r="A153" s="22" t="n"/>
      <c r="B153" s="22" t="n"/>
      <c r="C153" s="22" t="n"/>
      <c r="D153" s="22" t="n"/>
      <c r="E153" s="22" t="n"/>
      <c r="F153" s="22" t="n"/>
      <c r="G153" s="22" t="n"/>
      <c r="H153" s="20">
        <f>IF(OR($G153&lt;&gt;"liaison",$D153=""),"",$D153&amp;"#"&amp;COUNTIFS($D$2:$D153,$D153,$G$2:$G153,"liaison"))</f>
        <v/>
      </c>
    </row>
    <row r="154">
      <c r="A154" s="22" t="n"/>
      <c r="B154" s="22" t="n"/>
      <c r="C154" s="22" t="n"/>
      <c r="D154" s="22" t="n"/>
      <c r="E154" s="22" t="n"/>
      <c r="F154" s="22" t="n"/>
      <c r="G154" s="22" t="n"/>
      <c r="H154" s="20">
        <f>IF(OR($G154&lt;&gt;"liaison",$D154=""),"",$D154&amp;"#"&amp;COUNTIFS($D$2:$D154,$D154,$G$2:$G154,"liaison"))</f>
        <v/>
      </c>
    </row>
    <row r="155">
      <c r="A155" s="22" t="n"/>
      <c r="B155" s="22" t="n"/>
      <c r="C155" s="22" t="n"/>
      <c r="D155" s="22" t="n"/>
      <c r="E155" s="22" t="n"/>
      <c r="F155" s="22" t="n"/>
      <c r="G155" s="22" t="n"/>
      <c r="H155" s="20">
        <f>IF(OR($G155&lt;&gt;"liaison",$D155=""),"",$D155&amp;"#"&amp;COUNTIFS($D$2:$D155,$D155,$G$2:$G155,"liaison"))</f>
        <v/>
      </c>
    </row>
    <row r="156">
      <c r="A156" s="22" t="n"/>
      <c r="B156" s="22" t="n"/>
      <c r="C156" s="22" t="n"/>
      <c r="D156" s="22" t="n"/>
      <c r="E156" s="22" t="n"/>
      <c r="F156" s="22" t="n"/>
      <c r="G156" s="22" t="n"/>
      <c r="H156" s="20">
        <f>IF(OR($G156&lt;&gt;"liaison",$D156=""),"",$D156&amp;"#"&amp;COUNTIFS($D$2:$D156,$D156,$G$2:$G156,"liaison"))</f>
        <v/>
      </c>
    </row>
    <row r="157">
      <c r="A157" s="22" t="n"/>
      <c r="B157" s="22" t="n"/>
      <c r="C157" s="22" t="n"/>
      <c r="D157" s="22" t="n"/>
      <c r="E157" s="22" t="n"/>
      <c r="F157" s="22" t="n"/>
      <c r="G157" s="22" t="n"/>
      <c r="H157" s="20">
        <f>IF(OR($G157&lt;&gt;"liaison",$D157=""),"",$D157&amp;"#"&amp;COUNTIFS($D$2:$D157,$D157,$G$2:$G157,"liaison"))</f>
        <v/>
      </c>
    </row>
    <row r="158">
      <c r="A158" s="22" t="n"/>
      <c r="B158" s="22" t="n"/>
      <c r="C158" s="22" t="n"/>
      <c r="D158" s="22" t="n"/>
      <c r="E158" s="22" t="n"/>
      <c r="F158" s="22" t="n"/>
      <c r="G158" s="22" t="n"/>
      <c r="H158" s="20">
        <f>IF(OR($G158&lt;&gt;"liaison",$D158=""),"",$D158&amp;"#"&amp;COUNTIFS($D$2:$D158,$D158,$G$2:$G158,"liaison"))</f>
        <v/>
      </c>
    </row>
    <row r="159">
      <c r="A159" s="22" t="n"/>
      <c r="B159" s="22" t="n"/>
      <c r="C159" s="22" t="n"/>
      <c r="D159" s="22" t="n"/>
      <c r="E159" s="22" t="n"/>
      <c r="F159" s="22" t="n"/>
      <c r="G159" s="22" t="n"/>
      <c r="H159" s="20">
        <f>IF(OR($G159&lt;&gt;"liaison",$D159=""),"",$D159&amp;"#"&amp;COUNTIFS($D$2:$D159,$D159,$G$2:$G159,"liaison"))</f>
        <v/>
      </c>
    </row>
    <row r="160">
      <c r="A160" s="22" t="n"/>
      <c r="B160" s="22" t="n"/>
      <c r="C160" s="22" t="n"/>
      <c r="D160" s="22" t="n"/>
      <c r="E160" s="22" t="n"/>
      <c r="F160" s="22" t="n"/>
      <c r="G160" s="22" t="n"/>
      <c r="H160" s="20">
        <f>IF(OR($G160&lt;&gt;"liaison",$D160=""),"",$D160&amp;"#"&amp;COUNTIFS($D$2:$D160,$D160,$G$2:$G160,"liaison"))</f>
        <v/>
      </c>
    </row>
    <row r="161">
      <c r="A161" s="22" t="n"/>
      <c r="B161" s="22" t="n"/>
      <c r="C161" s="22" t="n"/>
      <c r="D161" s="22" t="n"/>
      <c r="E161" s="22" t="n"/>
      <c r="F161" s="22" t="n"/>
      <c r="G161" s="22" t="n"/>
      <c r="H161" s="20">
        <f>IF(OR($G161&lt;&gt;"liaison",$D161=""),"",$D161&amp;"#"&amp;COUNTIFS($D$2:$D161,$D161,$G$2:$G161,"liaison"))</f>
        <v/>
      </c>
    </row>
    <row r="162">
      <c r="A162" s="22" t="n"/>
      <c r="B162" s="22" t="n"/>
      <c r="C162" s="22" t="n"/>
      <c r="D162" s="22" t="n"/>
      <c r="E162" s="22" t="n"/>
      <c r="F162" s="22" t="n"/>
      <c r="G162" s="22" t="n"/>
      <c r="H162" s="20">
        <f>IF(OR($G162&lt;&gt;"liaison",$D162=""),"",$D162&amp;"#"&amp;COUNTIFS($D$2:$D162,$D162,$G$2:$G162,"liaison"))</f>
        <v/>
      </c>
    </row>
    <row r="163">
      <c r="A163" s="22" t="n"/>
      <c r="B163" s="22" t="n"/>
      <c r="C163" s="22" t="n"/>
      <c r="D163" s="22" t="n"/>
      <c r="E163" s="22" t="n"/>
      <c r="F163" s="22" t="n"/>
      <c r="G163" s="22" t="n"/>
      <c r="H163" s="20">
        <f>IF(OR($G163&lt;&gt;"liaison",$D163=""),"",$D163&amp;"#"&amp;COUNTIFS($D$2:$D163,$D163,$G$2:$G163,"liaison"))</f>
        <v/>
      </c>
    </row>
    <row r="164">
      <c r="A164" s="22" t="n"/>
      <c r="B164" s="22" t="n"/>
      <c r="C164" s="22" t="n"/>
      <c r="D164" s="22" t="n"/>
      <c r="E164" s="22" t="n"/>
      <c r="F164" s="22" t="n"/>
      <c r="G164" s="22" t="n"/>
      <c r="H164" s="20">
        <f>IF(OR($G164&lt;&gt;"liaison",$D164=""),"",$D164&amp;"#"&amp;COUNTIFS($D$2:$D164,$D164,$G$2:$G164,"liaison"))</f>
        <v/>
      </c>
    </row>
    <row r="165">
      <c r="A165" s="22" t="n"/>
      <c r="B165" s="22" t="n"/>
      <c r="C165" s="22" t="n"/>
      <c r="D165" s="22" t="n"/>
      <c r="E165" s="22" t="n"/>
      <c r="F165" s="22" t="n"/>
      <c r="G165" s="22" t="n"/>
      <c r="H165" s="20">
        <f>IF(OR($G165&lt;&gt;"liaison",$D165=""),"",$D165&amp;"#"&amp;COUNTIFS($D$2:$D165,$D165,$G$2:$G165,"liaison"))</f>
        <v/>
      </c>
    </row>
    <row r="166">
      <c r="A166" s="22" t="n"/>
      <c r="B166" s="22" t="n"/>
      <c r="C166" s="22" t="n"/>
      <c r="D166" s="22" t="n"/>
      <c r="E166" s="22" t="n"/>
      <c r="F166" s="22" t="n"/>
      <c r="G166" s="22" t="n"/>
      <c r="H166" s="20">
        <f>IF(OR($G166&lt;&gt;"liaison",$D166=""),"",$D166&amp;"#"&amp;COUNTIFS($D$2:$D166,$D166,$G$2:$G166,"liaison"))</f>
        <v/>
      </c>
    </row>
    <row r="167">
      <c r="A167" s="22" t="n"/>
      <c r="B167" s="22" t="n"/>
      <c r="C167" s="22" t="n"/>
      <c r="D167" s="22" t="n"/>
      <c r="E167" s="22" t="n"/>
      <c r="F167" s="22" t="n"/>
      <c r="G167" s="22" t="n"/>
      <c r="H167" s="20">
        <f>IF(OR($G167&lt;&gt;"liaison",$D167=""),"",$D167&amp;"#"&amp;COUNTIFS($D$2:$D167,$D167,$G$2:$G167,"liaison"))</f>
        <v/>
      </c>
    </row>
    <row r="168">
      <c r="A168" s="22" t="n"/>
      <c r="B168" s="22" t="n"/>
      <c r="C168" s="22" t="n"/>
      <c r="D168" s="22" t="n"/>
      <c r="E168" s="22" t="n"/>
      <c r="F168" s="22" t="n"/>
      <c r="G168" s="22" t="n"/>
      <c r="H168" s="20">
        <f>IF(OR($G168&lt;&gt;"liaison",$D168=""),"",$D168&amp;"#"&amp;COUNTIFS($D$2:$D168,$D168,$G$2:$G168,"liaison"))</f>
        <v/>
      </c>
    </row>
    <row r="169">
      <c r="A169" s="22" t="n"/>
      <c r="B169" s="22" t="n"/>
      <c r="C169" s="22" t="n"/>
      <c r="D169" s="22" t="n"/>
      <c r="E169" s="22" t="n"/>
      <c r="F169" s="22" t="n"/>
      <c r="G169" s="22" t="n"/>
      <c r="H169" s="20">
        <f>IF(OR($G169&lt;&gt;"liaison",$D169=""),"",$D169&amp;"#"&amp;COUNTIFS($D$2:$D169,$D169,$G$2:$G169,"liaison"))</f>
        <v/>
      </c>
    </row>
    <row r="170">
      <c r="A170" s="22" t="n"/>
      <c r="B170" s="22" t="n"/>
      <c r="C170" s="22" t="n"/>
      <c r="D170" s="22" t="n"/>
      <c r="E170" s="22" t="n"/>
      <c r="F170" s="22" t="n"/>
      <c r="G170" s="22" t="n"/>
      <c r="H170" s="20">
        <f>IF(OR($G170&lt;&gt;"liaison",$D170=""),"",$D170&amp;"#"&amp;COUNTIFS($D$2:$D170,$D170,$G$2:$G170,"liaison"))</f>
        <v/>
      </c>
    </row>
    <row r="171">
      <c r="A171" s="22" t="n"/>
      <c r="B171" s="22" t="n"/>
      <c r="C171" s="22" t="n"/>
      <c r="D171" s="22" t="n"/>
      <c r="E171" s="22" t="n"/>
      <c r="F171" s="22" t="n"/>
      <c r="G171" s="22" t="n"/>
      <c r="H171" s="20">
        <f>IF(OR($G171&lt;&gt;"liaison",$D171=""),"",$D171&amp;"#"&amp;COUNTIFS($D$2:$D171,$D171,$G$2:$G171,"liaison"))</f>
        <v/>
      </c>
    </row>
    <row r="172">
      <c r="A172" s="22" t="n"/>
      <c r="B172" s="22" t="n"/>
      <c r="C172" s="22" t="n"/>
      <c r="D172" s="22" t="n"/>
      <c r="E172" s="22" t="n"/>
      <c r="F172" s="22" t="n"/>
      <c r="G172" s="22" t="n"/>
      <c r="H172" s="20">
        <f>IF(OR($G172&lt;&gt;"liaison",$D172=""),"",$D172&amp;"#"&amp;COUNTIFS($D$2:$D172,$D172,$G$2:$G172,"liaison"))</f>
        <v/>
      </c>
    </row>
    <row r="173">
      <c r="A173" s="22" t="n"/>
      <c r="B173" s="22" t="n"/>
      <c r="C173" s="22" t="n"/>
      <c r="D173" s="22" t="n"/>
      <c r="E173" s="22" t="n"/>
      <c r="F173" s="22" t="n"/>
      <c r="G173" s="22" t="n"/>
      <c r="H173" s="20">
        <f>IF(OR($G173&lt;&gt;"liaison",$D173=""),"",$D173&amp;"#"&amp;COUNTIFS($D$2:$D173,$D173,$G$2:$G173,"liaison"))</f>
        <v/>
      </c>
    </row>
    <row r="174">
      <c r="A174" s="22" t="n"/>
      <c r="B174" s="22" t="n"/>
      <c r="C174" s="22" t="n"/>
      <c r="D174" s="22" t="n"/>
      <c r="E174" s="22" t="n"/>
      <c r="F174" s="22" t="n"/>
      <c r="G174" s="22" t="n"/>
      <c r="H174" s="20">
        <f>IF(OR($G174&lt;&gt;"liaison",$D174=""),"",$D174&amp;"#"&amp;COUNTIFS($D$2:$D174,$D174,$G$2:$G174,"liaison"))</f>
        <v/>
      </c>
    </row>
    <row r="175">
      <c r="A175" s="22" t="n"/>
      <c r="B175" s="22" t="n"/>
      <c r="C175" s="22" t="n"/>
      <c r="D175" s="22" t="n"/>
      <c r="E175" s="22" t="n"/>
      <c r="F175" s="22" t="n"/>
      <c r="G175" s="22" t="n"/>
      <c r="H175" s="20">
        <f>IF(OR($G175&lt;&gt;"liaison",$D175=""),"",$D175&amp;"#"&amp;COUNTIFS($D$2:$D175,$D175,$G$2:$G175,"liaison"))</f>
        <v/>
      </c>
    </row>
    <row r="176">
      <c r="A176" s="22" t="n"/>
      <c r="B176" s="22" t="n"/>
      <c r="C176" s="22" t="n"/>
      <c r="D176" s="22" t="n"/>
      <c r="E176" s="22" t="n"/>
      <c r="F176" s="22" t="n"/>
      <c r="G176" s="22" t="n"/>
      <c r="H176" s="20">
        <f>IF(OR($G176&lt;&gt;"liaison",$D176=""),"",$D176&amp;"#"&amp;COUNTIFS($D$2:$D176,$D176,$G$2:$G176,"liaison"))</f>
        <v/>
      </c>
    </row>
    <row r="177">
      <c r="A177" s="22" t="n"/>
      <c r="B177" s="22" t="n"/>
      <c r="C177" s="22" t="n"/>
      <c r="D177" s="22" t="n"/>
      <c r="E177" s="22" t="n"/>
      <c r="F177" s="22" t="n"/>
      <c r="G177" s="22" t="n"/>
      <c r="H177" s="20">
        <f>IF(OR($G177&lt;&gt;"liaison",$D177=""),"",$D177&amp;"#"&amp;COUNTIFS($D$2:$D177,$D177,$G$2:$G177,"liaison"))</f>
        <v/>
      </c>
    </row>
    <row r="178">
      <c r="A178" s="22" t="n"/>
      <c r="B178" s="22" t="n"/>
      <c r="C178" s="22" t="n"/>
      <c r="D178" s="22" t="n"/>
      <c r="E178" s="22" t="n"/>
      <c r="F178" s="22" t="n"/>
      <c r="G178" s="22" t="n"/>
      <c r="H178" s="20">
        <f>IF(OR($G178&lt;&gt;"liaison",$D178=""),"",$D178&amp;"#"&amp;COUNTIFS($D$2:$D178,$D178,$G$2:$G178,"liaison"))</f>
        <v/>
      </c>
    </row>
    <row r="179">
      <c r="A179" s="22" t="n"/>
      <c r="B179" s="22" t="n"/>
      <c r="C179" s="22" t="n"/>
      <c r="D179" s="22" t="n"/>
      <c r="E179" s="22" t="n"/>
      <c r="F179" s="22" t="n"/>
      <c r="G179" s="22" t="n"/>
      <c r="H179" s="20">
        <f>IF(OR($G179&lt;&gt;"liaison",$D179=""),"",$D179&amp;"#"&amp;COUNTIFS($D$2:$D179,$D179,$G$2:$G179,"liaison"))</f>
        <v/>
      </c>
    </row>
    <row r="180">
      <c r="A180" s="22" t="n"/>
      <c r="B180" s="22" t="n"/>
      <c r="C180" s="22" t="n"/>
      <c r="D180" s="22" t="n"/>
      <c r="E180" s="22" t="n"/>
      <c r="F180" s="22" t="n"/>
      <c r="G180" s="22" t="n"/>
      <c r="H180" s="20">
        <f>IF(OR($G180&lt;&gt;"liaison",$D180=""),"",$D180&amp;"#"&amp;COUNTIFS($D$2:$D180,$D180,$G$2:$G180,"liaison"))</f>
        <v/>
      </c>
    </row>
    <row r="181">
      <c r="A181" s="22" t="n"/>
      <c r="B181" s="22" t="n"/>
      <c r="C181" s="22" t="n"/>
      <c r="D181" s="22" t="n"/>
      <c r="E181" s="22" t="n"/>
      <c r="F181" s="22" t="n"/>
      <c r="G181" s="22" t="n"/>
      <c r="H181" s="20">
        <f>IF(OR($G181&lt;&gt;"liaison",$D181=""),"",$D181&amp;"#"&amp;COUNTIFS($D$2:$D181,$D181,$G$2:$G181,"liaison"))</f>
        <v/>
      </c>
    </row>
    <row r="182">
      <c r="A182" s="22" t="n"/>
      <c r="B182" s="22" t="n"/>
      <c r="C182" s="22" t="n"/>
      <c r="D182" s="22" t="n"/>
      <c r="E182" s="22" t="n"/>
      <c r="F182" s="22" t="n"/>
      <c r="G182" s="22" t="n"/>
      <c r="H182" s="20">
        <f>IF(OR($G182&lt;&gt;"liaison",$D182=""),"",$D182&amp;"#"&amp;COUNTIFS($D$2:$D182,$D182,$G$2:$G182,"liaison"))</f>
        <v/>
      </c>
    </row>
    <row r="183">
      <c r="A183" s="22" t="n"/>
      <c r="B183" s="22" t="n"/>
      <c r="C183" s="22" t="n"/>
      <c r="D183" s="22" t="n"/>
      <c r="E183" s="22" t="n"/>
      <c r="F183" s="22" t="n"/>
      <c r="G183" s="22" t="n"/>
      <c r="H183" s="20">
        <f>IF(OR($G183&lt;&gt;"liaison",$D183=""),"",$D183&amp;"#"&amp;COUNTIFS($D$2:$D183,$D183,$G$2:$G183,"liaison"))</f>
        <v/>
      </c>
    </row>
    <row r="184">
      <c r="A184" s="22" t="n"/>
      <c r="B184" s="22" t="n"/>
      <c r="C184" s="22" t="n"/>
      <c r="D184" s="22" t="n"/>
      <c r="E184" s="22" t="n"/>
      <c r="F184" s="22" t="n"/>
      <c r="G184" s="22" t="n"/>
      <c r="H184" s="20">
        <f>IF(OR($G184&lt;&gt;"liaison",$D184=""),"",$D184&amp;"#"&amp;COUNTIFS($D$2:$D184,$D184,$G$2:$G184,"liaison"))</f>
        <v/>
      </c>
    </row>
    <row r="185">
      <c r="A185" s="22" t="n"/>
      <c r="B185" s="22" t="n"/>
      <c r="C185" s="22" t="n"/>
      <c r="D185" s="22" t="n"/>
      <c r="E185" s="22" t="n"/>
      <c r="F185" s="22" t="n"/>
      <c r="G185" s="22" t="n"/>
      <c r="H185" s="20">
        <f>IF(OR($G185&lt;&gt;"liaison",$D185=""),"",$D185&amp;"#"&amp;COUNTIFS($D$2:$D185,$D185,$G$2:$G185,"liaison"))</f>
        <v/>
      </c>
    </row>
    <row r="186">
      <c r="A186" s="22" t="n"/>
      <c r="B186" s="22" t="n"/>
      <c r="C186" s="22" t="n"/>
      <c r="D186" s="22" t="n"/>
      <c r="E186" s="22" t="n"/>
      <c r="F186" s="22" t="n"/>
      <c r="G186" s="22" t="n"/>
      <c r="H186" s="20">
        <f>IF(OR($G186&lt;&gt;"liaison",$D186=""),"",$D186&amp;"#"&amp;COUNTIFS($D$2:$D186,$D186,$G$2:$G186,"liaison"))</f>
        <v/>
      </c>
    </row>
    <row r="187">
      <c r="A187" s="22" t="n"/>
      <c r="B187" s="22" t="n"/>
      <c r="C187" s="22" t="n"/>
      <c r="D187" s="22" t="n"/>
      <c r="E187" s="22" t="n"/>
      <c r="F187" s="22" t="n"/>
      <c r="G187" s="22" t="n"/>
      <c r="H187" s="20">
        <f>IF(OR($G187&lt;&gt;"liaison",$D187=""),"",$D187&amp;"#"&amp;COUNTIFS($D$2:$D187,$D187,$G$2:$G187,"liaison"))</f>
        <v/>
      </c>
    </row>
    <row r="188">
      <c r="A188" s="22" t="n"/>
      <c r="B188" s="22" t="n"/>
      <c r="C188" s="22" t="n"/>
      <c r="D188" s="22" t="n"/>
      <c r="E188" s="22" t="n"/>
      <c r="F188" s="22" t="n"/>
      <c r="G188" s="22" t="n"/>
      <c r="H188" s="20">
        <f>IF(OR($G188&lt;&gt;"liaison",$D188=""),"",$D188&amp;"#"&amp;COUNTIFS($D$2:$D188,$D188,$G$2:$G188,"liaison"))</f>
        <v/>
      </c>
    </row>
    <row r="189">
      <c r="A189" s="22" t="n"/>
      <c r="B189" s="22" t="n"/>
      <c r="C189" s="22" t="n"/>
      <c r="D189" s="22" t="n"/>
      <c r="E189" s="22" t="n"/>
      <c r="F189" s="22" t="n"/>
      <c r="G189" s="22" t="n"/>
      <c r="H189" s="20">
        <f>IF(OR($G189&lt;&gt;"liaison",$D189=""),"",$D189&amp;"#"&amp;COUNTIFS($D$2:$D189,$D189,$G$2:$G189,"liaison"))</f>
        <v/>
      </c>
    </row>
    <row r="190">
      <c r="A190" s="22" t="n"/>
      <c r="B190" s="22" t="n"/>
      <c r="C190" s="22" t="n"/>
      <c r="D190" s="22" t="n"/>
      <c r="E190" s="22" t="n"/>
      <c r="F190" s="22" t="n"/>
      <c r="G190" s="22" t="n"/>
      <c r="H190" s="20">
        <f>IF(OR($G190&lt;&gt;"liaison",$D190=""),"",$D190&amp;"#"&amp;COUNTIFS($D$2:$D190,$D190,$G$2:$G190,"liaison"))</f>
        <v/>
      </c>
    </row>
    <row r="191">
      <c r="A191" s="22" t="n"/>
      <c r="B191" s="22" t="n"/>
      <c r="C191" s="22" t="n"/>
      <c r="D191" s="22" t="n"/>
      <c r="E191" s="22" t="n"/>
      <c r="F191" s="22" t="n"/>
      <c r="G191" s="22" t="n"/>
      <c r="H191" s="20">
        <f>IF(OR($G191&lt;&gt;"liaison",$D191=""),"",$D191&amp;"#"&amp;COUNTIFS($D$2:$D191,$D191,$G$2:$G191,"liaison"))</f>
        <v/>
      </c>
    </row>
    <row r="192">
      <c r="A192" s="22" t="n"/>
      <c r="B192" s="22" t="n"/>
      <c r="C192" s="22" t="n"/>
      <c r="D192" s="22" t="n"/>
      <c r="E192" s="22" t="n"/>
      <c r="F192" s="22" t="n"/>
      <c r="G192" s="22" t="n"/>
      <c r="H192" s="20">
        <f>IF(OR($G192&lt;&gt;"liaison",$D192=""),"",$D192&amp;"#"&amp;COUNTIFS($D$2:$D192,$D192,$G$2:$G192,"liaison"))</f>
        <v/>
      </c>
    </row>
    <row r="193">
      <c r="A193" s="22" t="n"/>
      <c r="B193" s="22" t="n"/>
      <c r="C193" s="22" t="n"/>
      <c r="D193" s="22" t="n"/>
      <c r="E193" s="22" t="n"/>
      <c r="F193" s="22" t="n"/>
      <c r="G193" s="22" t="n"/>
      <c r="H193" s="20">
        <f>IF(OR($G193&lt;&gt;"liaison",$D193=""),"",$D193&amp;"#"&amp;COUNTIFS($D$2:$D193,$D193,$G$2:$G193,"liaison"))</f>
        <v/>
      </c>
    </row>
    <row r="194">
      <c r="A194" s="22" t="n"/>
      <c r="B194" s="22" t="n"/>
      <c r="C194" s="22" t="n"/>
      <c r="D194" s="22" t="n"/>
      <c r="E194" s="22" t="n"/>
      <c r="F194" s="22" t="n"/>
      <c r="G194" s="22" t="n"/>
      <c r="H194" s="20">
        <f>IF(OR($G194&lt;&gt;"liaison",$D194=""),"",$D194&amp;"#"&amp;COUNTIFS($D$2:$D194,$D194,$G$2:$G194,"liaison"))</f>
        <v/>
      </c>
    </row>
    <row r="195">
      <c r="A195" s="22" t="n"/>
      <c r="B195" s="22" t="n"/>
      <c r="C195" s="22" t="n"/>
      <c r="D195" s="22" t="n"/>
      <c r="E195" s="22" t="n"/>
      <c r="F195" s="22" t="n"/>
      <c r="G195" s="22" t="n"/>
      <c r="H195" s="20">
        <f>IF(OR($G195&lt;&gt;"liaison",$D195=""),"",$D195&amp;"#"&amp;COUNTIFS($D$2:$D195,$D195,$G$2:$G195,"liaison"))</f>
        <v/>
      </c>
    </row>
    <row r="196">
      <c r="A196" s="22" t="n"/>
      <c r="B196" s="22" t="n"/>
      <c r="C196" s="22" t="n"/>
      <c r="D196" s="22" t="n"/>
      <c r="E196" s="22" t="n"/>
      <c r="F196" s="22" t="n"/>
      <c r="G196" s="22" t="n"/>
      <c r="H196" s="20">
        <f>IF(OR($G196&lt;&gt;"liaison",$D196=""),"",$D196&amp;"#"&amp;COUNTIFS($D$2:$D196,$D196,$G$2:$G196,"liaison"))</f>
        <v/>
      </c>
    </row>
    <row r="197">
      <c r="A197" s="22" t="n"/>
      <c r="B197" s="22" t="n"/>
      <c r="C197" s="22" t="n"/>
      <c r="D197" s="22" t="n"/>
      <c r="E197" s="22" t="n"/>
      <c r="F197" s="22" t="n"/>
      <c r="G197" s="22" t="n"/>
      <c r="H197" s="20">
        <f>IF(OR($G197&lt;&gt;"liaison",$D197=""),"",$D197&amp;"#"&amp;COUNTIFS($D$2:$D197,$D197,$G$2:$G197,"liaison"))</f>
        <v/>
      </c>
    </row>
    <row r="198">
      <c r="A198" s="22" t="n"/>
      <c r="B198" s="22" t="n"/>
      <c r="C198" s="22" t="n"/>
      <c r="D198" s="22" t="n"/>
      <c r="E198" s="22" t="n"/>
      <c r="F198" s="22" t="n"/>
      <c r="G198" s="22" t="n"/>
      <c r="H198" s="20">
        <f>IF(OR($G198&lt;&gt;"liaison",$D198=""),"",$D198&amp;"#"&amp;COUNTIFS($D$2:$D198,$D198,$G$2:$G198,"liaison"))</f>
        <v/>
      </c>
    </row>
    <row r="199">
      <c r="A199" s="22" t="n"/>
      <c r="B199" s="22" t="n"/>
      <c r="C199" s="22" t="n"/>
      <c r="D199" s="22" t="n"/>
      <c r="E199" s="22" t="n"/>
      <c r="F199" s="22" t="n"/>
      <c r="G199" s="22" t="n"/>
      <c r="H199" s="20">
        <f>IF(OR($G199&lt;&gt;"liaison",$D199=""),"",$D199&amp;"#"&amp;COUNTIFS($D$2:$D199,$D199,$G$2:$G199,"liaison"))</f>
        <v/>
      </c>
    </row>
    <row r="201">
      <c r="A201" s="23" t="inlineStr">
        <is>
          <t>Set Type to "liaison" and pick a Team, and that person appears on every day tab automatically — the first five rows for a team become its liaisons 1 to 5.</t>
        </is>
      </c>
    </row>
    <row r="202">
      <c r="A202" s="23" t="inlineStr">
        <is>
          <t>Key is computed. Do not type in it.</t>
        </is>
      </c>
    </row>
  </sheetData>
  <dataValidations count="2">
    <dataValidation sqref="G2:G199" showDropDown="0" showInputMessage="0" showErrorMessage="0" allowBlank="1" type="list">
      <formula1>"board,liaison,judge,videographer,ras rep,sponsor,volunteer"</formula1>
    </dataValidation>
    <dataValidation sqref="D2:D199" showDropDown="0" showInputMessage="0" showErrorMessage="0" allowBlank="1" type="list">
      <formula1>=Teams!$B$2:$B$9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 customWidth="1" min="1" max="1"/>
    <col width="26" customWidth="1" min="2" max="2"/>
    <col width="10" customWidth="1" min="3" max="3"/>
    <col width="12" customWidth="1" min="4" max="4"/>
    <col width="12" customWidth="1" min="5" max="5"/>
    <col width="30" customWidth="1" min="6" max="6"/>
    <col width="22" customWidth="1" min="7" max="7"/>
  </cols>
  <sheetData>
    <row r="1">
      <c r="A1" s="18" t="inlineStr">
        <is>
          <t>ID</t>
        </is>
      </c>
      <c r="B1" s="18" t="inlineStr">
        <is>
          <t>Team Name</t>
        </is>
      </c>
      <c r="C1" s="18" t="inlineStr">
        <is>
          <t>Abbrev</t>
        </is>
      </c>
      <c r="D1" s="18" t="inlineStr">
        <is>
          <t>Show Order</t>
        </is>
      </c>
      <c r="E1" s="18" t="inlineStr">
        <is>
          <t>Check</t>
        </is>
      </c>
      <c r="F1" s="18" t="inlineStr">
        <is>
          <t>Captain(s)</t>
        </is>
      </c>
      <c r="G1" s="18" t="inlineStr">
        <is>
          <t>Liaison Contact</t>
        </is>
      </c>
    </row>
    <row r="2">
      <c r="A2" s="24" t="inlineStr">
        <is>
          <t>TM-UNC</t>
        </is>
      </c>
      <c r="B2" s="24" t="inlineStr">
        <is>
          <t>UNC Taar Heel Raas</t>
        </is>
      </c>
      <c r="C2" s="24" t="inlineStr">
        <is>
          <t>UNC</t>
        </is>
      </c>
      <c r="D2" s="25" t="n"/>
      <c r="E2" s="26">
        <f>IF($D2="","",IF(COUNTIF($D$2:$D$9,$D2)&gt;1,"DUPLICATE","OK"))</f>
        <v/>
      </c>
      <c r="F2" s="27" t="n"/>
      <c r="G2" s="27" t="n"/>
    </row>
    <row r="3">
      <c r="A3" s="24" t="inlineStr">
        <is>
          <t>TM-ILL</t>
        </is>
      </c>
      <c r="B3" s="24" t="inlineStr">
        <is>
          <t>Illini Raas</t>
        </is>
      </c>
      <c r="C3" s="24" t="inlineStr">
        <is>
          <t>Illini</t>
        </is>
      </c>
      <c r="D3" s="25" t="n"/>
      <c r="E3" s="26">
        <f>IF($D3="","",IF(COUNTIF($D$2:$D$9,$D3)&gt;1,"DUPLICATE","OK"))</f>
        <v/>
      </c>
      <c r="F3" s="27" t="n"/>
      <c r="G3" s="27" t="n"/>
    </row>
    <row r="4">
      <c r="A4" s="24" t="inlineStr">
        <is>
          <t>TM-UTD</t>
        </is>
      </c>
      <c r="B4" s="24" t="inlineStr">
        <is>
          <t>UTD Taraas</t>
        </is>
      </c>
      <c r="C4" s="24" t="inlineStr">
        <is>
          <t>UTD</t>
        </is>
      </c>
      <c r="D4" s="25" t="n"/>
      <c r="E4" s="26">
        <f>IF($D4="","",IF(COUNTIF($D$2:$D$9,$D4)&gt;1,"DUPLICATE","OK"))</f>
        <v/>
      </c>
      <c r="F4" s="27" t="n"/>
      <c r="G4" s="27" t="n"/>
    </row>
    <row r="5">
      <c r="A5" s="24" t="inlineStr">
        <is>
          <t>TM-UVA</t>
        </is>
      </c>
      <c r="B5" s="24" t="inlineStr">
        <is>
          <t>UVA Hooraas</t>
        </is>
      </c>
      <c r="C5" s="24" t="inlineStr">
        <is>
          <t>UVA</t>
        </is>
      </c>
      <c r="D5" s="25" t="n"/>
      <c r="E5" s="26">
        <f>IF($D5="","",IF(COUNTIF($D$2:$D$9,$D5)&gt;1,"DUPLICATE","OK"))</f>
        <v/>
      </c>
      <c r="F5" s="27" t="n"/>
      <c r="G5" s="27" t="n"/>
    </row>
    <row r="6">
      <c r="A6" s="24" t="inlineStr">
        <is>
          <t>TM-UMD</t>
        </is>
      </c>
      <c r="B6" s="24" t="inlineStr">
        <is>
          <t>UMD Entouraas</t>
        </is>
      </c>
      <c r="C6" s="24" t="inlineStr">
        <is>
          <t>UMD</t>
        </is>
      </c>
      <c r="D6" s="25" t="n"/>
      <c r="E6" s="26">
        <f>IF($D6="","",IF(COUNTIF($D$2:$D$9,$D6)&gt;1,"DUPLICATE","OK"))</f>
        <v/>
      </c>
      <c r="F6" s="27" t="n"/>
      <c r="G6" s="27" t="n"/>
    </row>
    <row r="7">
      <c r="A7" s="24" t="inlineStr">
        <is>
          <t>TM-UMI</t>
        </is>
      </c>
      <c r="B7" s="24" t="inlineStr">
        <is>
          <t>Michigan Wolveraas</t>
        </is>
      </c>
      <c r="C7" s="24" t="inlineStr">
        <is>
          <t>UMich</t>
        </is>
      </c>
      <c r="D7" s="25" t="n"/>
      <c r="E7" s="26">
        <f>IF($D7="","",IF(COUNTIF($D$2:$D$9,$D7)&gt;1,"DUPLICATE","OK"))</f>
        <v/>
      </c>
      <c r="F7" s="27" t="n"/>
      <c r="G7" s="27" t="n"/>
    </row>
    <row r="8">
      <c r="A8" s="24" t="inlineStr">
        <is>
          <t>TM-MSU</t>
        </is>
      </c>
      <c r="B8" s="24" t="inlineStr">
        <is>
          <t>MSU Raasparty</t>
        </is>
      </c>
      <c r="C8" s="24" t="inlineStr">
        <is>
          <t>MSU</t>
        </is>
      </c>
      <c r="D8" s="25" t="n"/>
      <c r="E8" s="26">
        <f>IF($D8="","",IF(COUNTIF($D$2:$D$9,$D8)&gt;1,"DUPLICATE","OK"))</f>
        <v/>
      </c>
      <c r="F8" s="27" t="n"/>
      <c r="G8" s="27" t="n"/>
    </row>
    <row r="9">
      <c r="A9" s="24" t="inlineStr">
        <is>
          <t>TM-GT</t>
        </is>
      </c>
      <c r="B9" s="24" t="inlineStr">
        <is>
          <t>GT Ramblin Raas</t>
        </is>
      </c>
      <c r="C9" s="24" t="inlineStr">
        <is>
          <t>GT</t>
        </is>
      </c>
      <c r="D9" s="25" t="n"/>
      <c r="E9" s="26">
        <f>IF($D9="","",IF(COUNTIF($D$2:$D$9,$D9)&gt;1,"DUPLICATE","OK"))</f>
        <v/>
      </c>
      <c r="F9" s="27" t="n"/>
      <c r="G9" s="27" t="n"/>
    </row>
    <row r="11">
      <c r="A11" s="23" t="inlineStr">
        <is>
          <t>Show Order is the running order, 1-8. Leave it blank until the draw — Saturday's grid is built against slots, not teams, so it can be filled in before you know who is where.</t>
        </is>
      </c>
    </row>
    <row r="12">
      <c r="A12" s="23" t="inlineStr">
        <is>
          <t>Fill this column in and Saturday resolves itself: every "Show Order N" row picks up the team sitting in slot N, and the app imports it as that team's schedule.</t>
        </is>
      </c>
    </row>
    <row r="13">
      <c r="A13" s="23" t="inlineStr">
        <is>
          <t>Check flags a slot given to two teams. Every row must read OK before you upload.</t>
        </is>
      </c>
    </row>
  </sheetData>
  <dataValidations count="1">
    <dataValidation sqref="D2:D9" showDropDown="0" showInputMessage="0" showErrorMessage="1" allowBlank="1" errorTitle="Invalid show order" error="Show Order must be a whole number from 1 to 8." type="whole" operator="between">
      <formula1>1</formula1>
      <formula2>8</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61"/>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22" customWidth="1" min="3" max="3"/>
    <col width="16" customWidth="1" min="4" max="4"/>
    <col width="26" customWidth="1" min="5" max="5"/>
    <col width="10" customWidth="1" min="6" max="6"/>
    <col width="30" customWidth="1" min="7" max="7"/>
    <col width="12" customWidth="1" min="8" max="8"/>
  </cols>
  <sheetData>
    <row r="1">
      <c r="A1" s="18" t="inlineStr">
        <is>
          <t>First Name</t>
        </is>
      </c>
      <c r="B1" s="18" t="inlineStr">
        <is>
          <t>Last Name</t>
        </is>
      </c>
      <c r="C1" s="18" t="inlineStr">
        <is>
          <t>Team</t>
        </is>
      </c>
      <c r="D1" s="18" t="inlineStr">
        <is>
          <t>Phone</t>
        </is>
      </c>
      <c r="E1" s="18" t="inlineStr">
        <is>
          <t>Email</t>
        </is>
      </c>
      <c r="F1" s="18" t="inlineStr">
        <is>
          <t>Captain?</t>
        </is>
      </c>
      <c r="G1" s="18" t="inlineStr">
        <is>
          <t>Dietary Restrictions</t>
        </is>
      </c>
      <c r="H1" s="18" t="inlineStr">
        <is>
          <t>T-Shirt Size</t>
        </is>
      </c>
    </row>
    <row r="2">
      <c r="A2" s="19" t="inlineStr">
        <is>
          <t>Example</t>
        </is>
      </c>
      <c r="B2" s="19" t="inlineStr">
        <is>
          <t>Dancer</t>
        </is>
      </c>
      <c r="C2" s="19" t="inlineStr">
        <is>
          <t>UNC Taar Heel Raas</t>
        </is>
      </c>
      <c r="D2" s="19" t="inlineStr">
        <is>
          <t>555-0110</t>
        </is>
      </c>
      <c r="E2" s="19" t="inlineStr">
        <is>
          <t>dancer@example.edu</t>
        </is>
      </c>
      <c r="F2" s="19" t="inlineStr">
        <is>
          <t>No</t>
        </is>
      </c>
      <c r="G2" s="19" t="inlineStr">
        <is>
          <t>Vegetarian</t>
        </is>
      </c>
      <c r="H2" s="19" t="inlineStr">
        <is>
          <t>M</t>
        </is>
      </c>
    </row>
    <row r="3">
      <c r="A3" s="21" t="n"/>
      <c r="B3" s="22" t="n"/>
      <c r="C3" s="22" t="n"/>
      <c r="D3" s="22" t="n"/>
      <c r="E3" s="22" t="n"/>
      <c r="F3" s="22" t="n"/>
      <c r="G3" s="22" t="n"/>
      <c r="H3" s="22" t="n"/>
    </row>
    <row r="4">
      <c r="A4" s="22" t="n"/>
      <c r="B4" s="22" t="n"/>
      <c r="C4" s="22" t="n"/>
      <c r="D4" s="22" t="n"/>
      <c r="E4" s="22" t="n"/>
      <c r="F4" s="22" t="n"/>
      <c r="G4" s="22" t="n"/>
      <c r="H4" s="22" t="n"/>
    </row>
    <row r="5">
      <c r="A5" s="22" t="n"/>
      <c r="B5" s="22" t="n"/>
      <c r="C5" s="22" t="n"/>
      <c r="D5" s="22" t="n"/>
      <c r="E5" s="22" t="n"/>
      <c r="F5" s="22" t="n"/>
      <c r="G5" s="22" t="n"/>
      <c r="H5" s="22" t="n"/>
    </row>
    <row r="6">
      <c r="A6" s="22" t="n"/>
      <c r="B6" s="22" t="n"/>
      <c r="C6" s="22" t="n"/>
      <c r="D6" s="22" t="n"/>
      <c r="E6" s="22" t="n"/>
      <c r="F6" s="22" t="n"/>
      <c r="G6" s="22" t="n"/>
      <c r="H6" s="22" t="n"/>
    </row>
    <row r="7">
      <c r="A7" s="22"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2">
      <c r="A22" s="22" t="n"/>
      <c r="B22" s="22" t="n"/>
      <c r="C22" s="22" t="n"/>
      <c r="D22" s="22" t="n"/>
      <c r="E22" s="22" t="n"/>
      <c r="F22" s="22" t="n"/>
      <c r="G22" s="22" t="n"/>
      <c r="H22" s="22" t="n"/>
    </row>
    <row r="23">
      <c r="A23" s="22" t="n"/>
      <c r="B23" s="22" t="n"/>
      <c r="C23" s="22" t="n"/>
      <c r="D23" s="22" t="n"/>
      <c r="E23" s="22" t="n"/>
      <c r="F23" s="22" t="n"/>
      <c r="G23" s="22" t="n"/>
      <c r="H23" s="22" t="n"/>
    </row>
    <row r="24">
      <c r="A24" s="22" t="n"/>
      <c r="B24" s="22" t="n"/>
      <c r="C24" s="22" t="n"/>
      <c r="D24" s="22" t="n"/>
      <c r="E24" s="22" t="n"/>
      <c r="F24" s="22" t="n"/>
      <c r="G24" s="22" t="n"/>
      <c r="H24" s="22" t="n"/>
    </row>
    <row r="25">
      <c r="A25" s="22" t="n"/>
      <c r="B25" s="22" t="n"/>
      <c r="C25" s="22" t="n"/>
      <c r="D25" s="22" t="n"/>
      <c r="E25" s="22" t="n"/>
      <c r="F25" s="22" t="n"/>
      <c r="G25" s="22" t="n"/>
      <c r="H25" s="22" t="n"/>
    </row>
    <row r="26">
      <c r="A26" s="22" t="n"/>
      <c r="B26" s="22" t="n"/>
      <c r="C26" s="22" t="n"/>
      <c r="D26" s="22" t="n"/>
      <c r="E26" s="22" t="n"/>
      <c r="F26" s="22" t="n"/>
      <c r="G26" s="22" t="n"/>
      <c r="H26" s="22" t="n"/>
    </row>
    <row r="27">
      <c r="A27" s="22" t="n"/>
      <c r="B27" s="22" t="n"/>
      <c r="C27" s="22" t="n"/>
      <c r="D27" s="22" t="n"/>
      <c r="E27" s="22" t="n"/>
      <c r="F27" s="22" t="n"/>
      <c r="G27" s="22" t="n"/>
      <c r="H27" s="22" t="n"/>
    </row>
    <row r="28">
      <c r="A28" s="22" t="n"/>
      <c r="B28" s="22" t="n"/>
      <c r="C28" s="22" t="n"/>
      <c r="D28" s="22" t="n"/>
      <c r="E28" s="22" t="n"/>
      <c r="F28" s="22" t="n"/>
      <c r="G28" s="22" t="n"/>
      <c r="H28" s="22" t="n"/>
    </row>
    <row r="29">
      <c r="A29" s="22" t="n"/>
      <c r="B29" s="22" t="n"/>
      <c r="C29" s="22" t="n"/>
      <c r="D29" s="22" t="n"/>
      <c r="E29" s="22" t="n"/>
      <c r="F29" s="22" t="n"/>
      <c r="G29" s="22" t="n"/>
      <c r="H29" s="22" t="n"/>
    </row>
    <row r="30">
      <c r="A30" s="22" t="n"/>
      <c r="B30" s="22" t="n"/>
      <c r="C30" s="22" t="n"/>
      <c r="D30" s="22" t="n"/>
      <c r="E30" s="22" t="n"/>
      <c r="F30" s="22" t="n"/>
      <c r="G30" s="22" t="n"/>
      <c r="H30" s="22" t="n"/>
    </row>
    <row r="31">
      <c r="A31" s="22" t="n"/>
      <c r="B31" s="22" t="n"/>
      <c r="C31" s="22" t="n"/>
      <c r="D31" s="22" t="n"/>
      <c r="E31" s="22" t="n"/>
      <c r="F31" s="22" t="n"/>
      <c r="G31" s="22" t="n"/>
      <c r="H31" s="22" t="n"/>
    </row>
    <row r="32">
      <c r="A32" s="22" t="n"/>
      <c r="B32" s="22" t="n"/>
      <c r="C32" s="22" t="n"/>
      <c r="D32" s="22" t="n"/>
      <c r="E32" s="22" t="n"/>
      <c r="F32" s="22" t="n"/>
      <c r="G32" s="22" t="n"/>
      <c r="H32" s="22" t="n"/>
    </row>
    <row r="33">
      <c r="A33" s="22" t="n"/>
      <c r="B33" s="22" t="n"/>
      <c r="C33" s="22" t="n"/>
      <c r="D33" s="22" t="n"/>
      <c r="E33" s="22" t="n"/>
      <c r="F33" s="22" t="n"/>
      <c r="G33" s="22" t="n"/>
      <c r="H33" s="22" t="n"/>
    </row>
    <row r="34">
      <c r="A34" s="22" t="n"/>
      <c r="B34" s="22" t="n"/>
      <c r="C34" s="22" t="n"/>
      <c r="D34" s="22" t="n"/>
      <c r="E34" s="22" t="n"/>
      <c r="F34" s="22" t="n"/>
      <c r="G34" s="22" t="n"/>
      <c r="H34" s="22" t="n"/>
    </row>
    <row r="35">
      <c r="A35" s="22" t="n"/>
      <c r="B35" s="22" t="n"/>
      <c r="C35" s="22" t="n"/>
      <c r="D35" s="22" t="n"/>
      <c r="E35" s="22" t="n"/>
      <c r="F35" s="22" t="n"/>
      <c r="G35" s="22" t="n"/>
      <c r="H35" s="22" t="n"/>
    </row>
    <row r="36">
      <c r="A36" s="22" t="n"/>
      <c r="B36" s="22" t="n"/>
      <c r="C36" s="22" t="n"/>
      <c r="D36" s="22" t="n"/>
      <c r="E36" s="22" t="n"/>
      <c r="F36" s="22" t="n"/>
      <c r="G36" s="22" t="n"/>
      <c r="H36" s="22" t="n"/>
    </row>
    <row r="37">
      <c r="A37" s="22" t="n"/>
      <c r="B37" s="22" t="n"/>
      <c r="C37" s="22" t="n"/>
      <c r="D37" s="22" t="n"/>
      <c r="E37" s="22" t="n"/>
      <c r="F37" s="22" t="n"/>
      <c r="G37" s="22" t="n"/>
      <c r="H37" s="22" t="n"/>
    </row>
    <row r="38">
      <c r="A38" s="22" t="n"/>
      <c r="B38" s="22" t="n"/>
      <c r="C38" s="22" t="n"/>
      <c r="D38" s="22" t="n"/>
      <c r="E38" s="22" t="n"/>
      <c r="F38" s="22" t="n"/>
      <c r="G38" s="22" t="n"/>
      <c r="H38" s="22" t="n"/>
    </row>
    <row r="39">
      <c r="A39" s="22" t="n"/>
      <c r="B39" s="22" t="n"/>
      <c r="C39" s="22" t="n"/>
      <c r="D39" s="22" t="n"/>
      <c r="E39" s="22" t="n"/>
      <c r="F39" s="22" t="n"/>
      <c r="G39" s="22" t="n"/>
      <c r="H39" s="22" t="n"/>
    </row>
    <row r="40">
      <c r="A40" s="22" t="n"/>
      <c r="B40" s="22" t="n"/>
      <c r="C40" s="22" t="n"/>
      <c r="D40" s="22" t="n"/>
      <c r="E40" s="22" t="n"/>
      <c r="F40" s="22" t="n"/>
      <c r="G40" s="22" t="n"/>
      <c r="H40" s="22" t="n"/>
    </row>
    <row r="41">
      <c r="A41" s="22" t="n"/>
      <c r="B41" s="22" t="n"/>
      <c r="C41" s="22" t="n"/>
      <c r="D41" s="22" t="n"/>
      <c r="E41" s="22" t="n"/>
      <c r="F41" s="22" t="n"/>
      <c r="G41" s="22" t="n"/>
      <c r="H41" s="22" t="n"/>
    </row>
    <row r="42">
      <c r="A42" s="22" t="n"/>
      <c r="B42" s="22" t="n"/>
      <c r="C42" s="22" t="n"/>
      <c r="D42" s="22" t="n"/>
      <c r="E42" s="22" t="n"/>
      <c r="F42" s="22" t="n"/>
      <c r="G42" s="22" t="n"/>
      <c r="H42" s="22" t="n"/>
    </row>
    <row r="43">
      <c r="A43" s="22" t="n"/>
      <c r="B43" s="22" t="n"/>
      <c r="C43" s="22" t="n"/>
      <c r="D43" s="22" t="n"/>
      <c r="E43" s="22" t="n"/>
      <c r="F43" s="22" t="n"/>
      <c r="G43" s="22" t="n"/>
      <c r="H43" s="22" t="n"/>
    </row>
    <row r="44">
      <c r="A44" s="22" t="n"/>
      <c r="B44" s="22" t="n"/>
      <c r="C44" s="22" t="n"/>
      <c r="D44" s="22" t="n"/>
      <c r="E44" s="22" t="n"/>
      <c r="F44" s="22" t="n"/>
      <c r="G44" s="22" t="n"/>
      <c r="H44" s="22" t="n"/>
    </row>
    <row r="45">
      <c r="A45" s="22" t="n"/>
      <c r="B45" s="22" t="n"/>
      <c r="C45" s="22" t="n"/>
      <c r="D45" s="22" t="n"/>
      <c r="E45" s="22" t="n"/>
      <c r="F45" s="22" t="n"/>
      <c r="G45" s="22" t="n"/>
      <c r="H45" s="22" t="n"/>
    </row>
    <row r="46">
      <c r="A46" s="22" t="n"/>
      <c r="B46" s="22" t="n"/>
      <c r="C46" s="22" t="n"/>
      <c r="D46" s="22" t="n"/>
      <c r="E46" s="22" t="n"/>
      <c r="F46" s="22" t="n"/>
      <c r="G46" s="22" t="n"/>
      <c r="H46" s="22" t="n"/>
    </row>
    <row r="47">
      <c r="A47" s="22" t="n"/>
      <c r="B47" s="22" t="n"/>
      <c r="C47" s="22" t="n"/>
      <c r="D47" s="22" t="n"/>
      <c r="E47" s="22" t="n"/>
      <c r="F47" s="22" t="n"/>
      <c r="G47" s="22" t="n"/>
      <c r="H47" s="22" t="n"/>
    </row>
    <row r="48">
      <c r="A48" s="22" t="n"/>
      <c r="B48" s="22" t="n"/>
      <c r="C48" s="22" t="n"/>
      <c r="D48" s="22" t="n"/>
      <c r="E48" s="22" t="n"/>
      <c r="F48" s="22" t="n"/>
      <c r="G48" s="22" t="n"/>
      <c r="H48" s="22" t="n"/>
    </row>
    <row r="49">
      <c r="A49" s="22" t="n"/>
      <c r="B49" s="22" t="n"/>
      <c r="C49" s="22" t="n"/>
      <c r="D49" s="22" t="n"/>
      <c r="E49" s="22" t="n"/>
      <c r="F49" s="22" t="n"/>
      <c r="G49" s="22" t="n"/>
      <c r="H49" s="22" t="n"/>
    </row>
    <row r="50">
      <c r="A50" s="22" t="n"/>
      <c r="B50" s="22" t="n"/>
      <c r="C50" s="22" t="n"/>
      <c r="D50" s="22" t="n"/>
      <c r="E50" s="22" t="n"/>
      <c r="F50" s="22" t="n"/>
      <c r="G50" s="22" t="n"/>
      <c r="H50" s="22" t="n"/>
    </row>
    <row r="51">
      <c r="A51" s="22" t="n"/>
      <c r="B51" s="22" t="n"/>
      <c r="C51" s="22" t="n"/>
      <c r="D51" s="22" t="n"/>
      <c r="E51" s="22" t="n"/>
      <c r="F51" s="22" t="n"/>
      <c r="G51" s="22" t="n"/>
      <c r="H51" s="22" t="n"/>
    </row>
    <row r="52">
      <c r="A52" s="22" t="n"/>
      <c r="B52" s="22" t="n"/>
      <c r="C52" s="22" t="n"/>
      <c r="D52" s="22" t="n"/>
      <c r="E52" s="22" t="n"/>
      <c r="F52" s="22" t="n"/>
      <c r="G52" s="22" t="n"/>
      <c r="H52" s="22" t="n"/>
    </row>
    <row r="53">
      <c r="A53" s="22" t="n"/>
      <c r="B53" s="22" t="n"/>
      <c r="C53" s="22" t="n"/>
      <c r="D53" s="22" t="n"/>
      <c r="E53" s="22" t="n"/>
      <c r="F53" s="22" t="n"/>
      <c r="G53" s="22" t="n"/>
      <c r="H53" s="22" t="n"/>
    </row>
    <row r="54">
      <c r="A54" s="22" t="n"/>
      <c r="B54" s="22" t="n"/>
      <c r="C54" s="22" t="n"/>
      <c r="D54" s="22" t="n"/>
      <c r="E54" s="22" t="n"/>
      <c r="F54" s="22" t="n"/>
      <c r="G54" s="22" t="n"/>
      <c r="H54" s="22" t="n"/>
    </row>
    <row r="55">
      <c r="A55" s="22" t="n"/>
      <c r="B55" s="22" t="n"/>
      <c r="C55" s="22" t="n"/>
      <c r="D55" s="22" t="n"/>
      <c r="E55" s="22" t="n"/>
      <c r="F55" s="22" t="n"/>
      <c r="G55" s="22" t="n"/>
      <c r="H55" s="22" t="n"/>
    </row>
    <row r="56">
      <c r="A56" s="22" t="n"/>
      <c r="B56" s="22" t="n"/>
      <c r="C56" s="22" t="n"/>
      <c r="D56" s="22" t="n"/>
      <c r="E56" s="22" t="n"/>
      <c r="F56" s="22" t="n"/>
      <c r="G56" s="22" t="n"/>
      <c r="H56" s="22" t="n"/>
    </row>
    <row r="57">
      <c r="A57" s="22" t="n"/>
      <c r="B57" s="22" t="n"/>
      <c r="C57" s="22" t="n"/>
      <c r="D57" s="22" t="n"/>
      <c r="E57" s="22" t="n"/>
      <c r="F57" s="22" t="n"/>
      <c r="G57" s="22" t="n"/>
      <c r="H57" s="22" t="n"/>
    </row>
    <row r="58">
      <c r="A58" s="22" t="n"/>
      <c r="B58" s="22" t="n"/>
      <c r="C58" s="22" t="n"/>
      <c r="D58" s="22" t="n"/>
      <c r="E58" s="22" t="n"/>
      <c r="F58" s="22" t="n"/>
      <c r="G58" s="22" t="n"/>
      <c r="H58" s="22" t="n"/>
    </row>
    <row r="59">
      <c r="A59" s="22" t="n"/>
      <c r="B59" s="22" t="n"/>
      <c r="C59" s="22" t="n"/>
      <c r="D59" s="22" t="n"/>
      <c r="E59" s="22" t="n"/>
      <c r="F59" s="22" t="n"/>
      <c r="G59" s="22" t="n"/>
      <c r="H59" s="22" t="n"/>
    </row>
    <row r="60">
      <c r="A60" s="22" t="n"/>
      <c r="B60" s="22" t="n"/>
      <c r="C60" s="22" t="n"/>
      <c r="D60" s="22" t="n"/>
      <c r="E60" s="22" t="n"/>
      <c r="F60" s="22" t="n"/>
      <c r="G60" s="22" t="n"/>
      <c r="H60" s="22" t="n"/>
    </row>
    <row r="61">
      <c r="A61" s="22" t="n"/>
      <c r="B61" s="22" t="n"/>
      <c r="C61" s="22" t="n"/>
      <c r="D61" s="22" t="n"/>
      <c r="E61" s="22" t="n"/>
      <c r="F61" s="22" t="n"/>
      <c r="G61" s="22" t="n"/>
      <c r="H61" s="22" t="n"/>
    </row>
    <row r="62">
      <c r="A62" s="22" t="n"/>
      <c r="B62" s="22" t="n"/>
      <c r="C62" s="22" t="n"/>
      <c r="D62" s="22" t="n"/>
      <c r="E62" s="22" t="n"/>
      <c r="F62" s="22" t="n"/>
      <c r="G62" s="22" t="n"/>
      <c r="H62" s="22" t="n"/>
    </row>
    <row r="63">
      <c r="A63" s="22" t="n"/>
      <c r="B63" s="22" t="n"/>
      <c r="C63" s="22" t="n"/>
      <c r="D63" s="22" t="n"/>
      <c r="E63" s="22" t="n"/>
      <c r="F63" s="22" t="n"/>
      <c r="G63" s="22" t="n"/>
      <c r="H63" s="22" t="n"/>
    </row>
    <row r="64">
      <c r="A64" s="22" t="n"/>
      <c r="B64" s="22" t="n"/>
      <c r="C64" s="22" t="n"/>
      <c r="D64" s="22" t="n"/>
      <c r="E64" s="22" t="n"/>
      <c r="F64" s="22" t="n"/>
      <c r="G64" s="22" t="n"/>
      <c r="H64" s="22" t="n"/>
    </row>
    <row r="65">
      <c r="A65" s="22" t="n"/>
      <c r="B65" s="22" t="n"/>
      <c r="C65" s="22" t="n"/>
      <c r="D65" s="22" t="n"/>
      <c r="E65" s="22" t="n"/>
      <c r="F65" s="22" t="n"/>
      <c r="G65" s="22" t="n"/>
      <c r="H65" s="22" t="n"/>
    </row>
    <row r="66">
      <c r="A66" s="22" t="n"/>
      <c r="B66" s="22" t="n"/>
      <c r="C66" s="22" t="n"/>
      <c r="D66" s="22" t="n"/>
      <c r="E66" s="22" t="n"/>
      <c r="F66" s="22" t="n"/>
      <c r="G66" s="22" t="n"/>
      <c r="H66" s="22" t="n"/>
    </row>
    <row r="67">
      <c r="A67" s="22" t="n"/>
      <c r="B67" s="22" t="n"/>
      <c r="C67" s="22" t="n"/>
      <c r="D67" s="22" t="n"/>
      <c r="E67" s="22" t="n"/>
      <c r="F67" s="22" t="n"/>
      <c r="G67" s="22" t="n"/>
      <c r="H67" s="22" t="n"/>
    </row>
    <row r="68">
      <c r="A68" s="22" t="n"/>
      <c r="B68" s="22" t="n"/>
      <c r="C68" s="22" t="n"/>
      <c r="D68" s="22" t="n"/>
      <c r="E68" s="22" t="n"/>
      <c r="F68" s="22" t="n"/>
      <c r="G68" s="22" t="n"/>
      <c r="H68" s="22" t="n"/>
    </row>
    <row r="69">
      <c r="A69" s="22" t="n"/>
      <c r="B69" s="22" t="n"/>
      <c r="C69" s="22" t="n"/>
      <c r="D69" s="22" t="n"/>
      <c r="E69" s="22" t="n"/>
      <c r="F69" s="22" t="n"/>
      <c r="G69" s="22" t="n"/>
      <c r="H69" s="22" t="n"/>
    </row>
    <row r="70">
      <c r="A70" s="22" t="n"/>
      <c r="B70" s="22" t="n"/>
      <c r="C70" s="22" t="n"/>
      <c r="D70" s="22" t="n"/>
      <c r="E70" s="22" t="n"/>
      <c r="F70" s="22" t="n"/>
      <c r="G70" s="22" t="n"/>
      <c r="H70" s="22" t="n"/>
    </row>
    <row r="71">
      <c r="A71" s="22" t="n"/>
      <c r="B71" s="22" t="n"/>
      <c r="C71" s="22" t="n"/>
      <c r="D71" s="22" t="n"/>
      <c r="E71" s="22" t="n"/>
      <c r="F71" s="22" t="n"/>
      <c r="G71" s="22" t="n"/>
      <c r="H71" s="22" t="n"/>
    </row>
    <row r="72">
      <c r="A72" s="22" t="n"/>
      <c r="B72" s="22" t="n"/>
      <c r="C72" s="22" t="n"/>
      <c r="D72" s="22" t="n"/>
      <c r="E72" s="22" t="n"/>
      <c r="F72" s="22" t="n"/>
      <c r="G72" s="22" t="n"/>
      <c r="H72" s="22" t="n"/>
    </row>
    <row r="73">
      <c r="A73" s="22" t="n"/>
      <c r="B73" s="22" t="n"/>
      <c r="C73" s="22" t="n"/>
      <c r="D73" s="22" t="n"/>
      <c r="E73" s="22" t="n"/>
      <c r="F73" s="22" t="n"/>
      <c r="G73" s="22" t="n"/>
      <c r="H73" s="22" t="n"/>
    </row>
    <row r="74">
      <c r="A74" s="22" t="n"/>
      <c r="B74" s="22" t="n"/>
      <c r="C74" s="22" t="n"/>
      <c r="D74" s="22" t="n"/>
      <c r="E74" s="22" t="n"/>
      <c r="F74" s="22" t="n"/>
      <c r="G74" s="22" t="n"/>
      <c r="H74" s="22" t="n"/>
    </row>
    <row r="75">
      <c r="A75" s="22" t="n"/>
      <c r="B75" s="22" t="n"/>
      <c r="C75" s="22" t="n"/>
      <c r="D75" s="22" t="n"/>
      <c r="E75" s="22" t="n"/>
      <c r="F75" s="22" t="n"/>
      <c r="G75" s="22" t="n"/>
      <c r="H75" s="22" t="n"/>
    </row>
    <row r="76">
      <c r="A76" s="22" t="n"/>
      <c r="B76" s="22" t="n"/>
      <c r="C76" s="22" t="n"/>
      <c r="D76" s="22" t="n"/>
      <c r="E76" s="22" t="n"/>
      <c r="F76" s="22" t="n"/>
      <c r="G76" s="22" t="n"/>
      <c r="H76" s="22" t="n"/>
    </row>
    <row r="77">
      <c r="A77" s="22" t="n"/>
      <c r="B77" s="22" t="n"/>
      <c r="C77" s="22" t="n"/>
      <c r="D77" s="22" t="n"/>
      <c r="E77" s="22" t="n"/>
      <c r="F77" s="22" t="n"/>
      <c r="G77" s="22" t="n"/>
      <c r="H77" s="22" t="n"/>
    </row>
    <row r="78">
      <c r="A78" s="22" t="n"/>
      <c r="B78" s="22" t="n"/>
      <c r="C78" s="22" t="n"/>
      <c r="D78" s="22" t="n"/>
      <c r="E78" s="22" t="n"/>
      <c r="F78" s="22" t="n"/>
      <c r="G78" s="22" t="n"/>
      <c r="H78" s="22" t="n"/>
    </row>
    <row r="79">
      <c r="A79" s="22" t="n"/>
      <c r="B79" s="22" t="n"/>
      <c r="C79" s="22" t="n"/>
      <c r="D79" s="22" t="n"/>
      <c r="E79" s="22" t="n"/>
      <c r="F79" s="22" t="n"/>
      <c r="G79" s="22" t="n"/>
      <c r="H79" s="22" t="n"/>
    </row>
    <row r="80">
      <c r="A80" s="22" t="n"/>
      <c r="B80" s="22" t="n"/>
      <c r="C80" s="22" t="n"/>
      <c r="D80" s="22" t="n"/>
      <c r="E80" s="22" t="n"/>
      <c r="F80" s="22" t="n"/>
      <c r="G80" s="22" t="n"/>
      <c r="H80" s="22" t="n"/>
    </row>
    <row r="81">
      <c r="A81" s="22" t="n"/>
      <c r="B81" s="22" t="n"/>
      <c r="C81" s="22" t="n"/>
      <c r="D81" s="22" t="n"/>
      <c r="E81" s="22" t="n"/>
      <c r="F81" s="22" t="n"/>
      <c r="G81" s="22" t="n"/>
      <c r="H81" s="22" t="n"/>
    </row>
    <row r="82">
      <c r="A82" s="22" t="n"/>
      <c r="B82" s="22" t="n"/>
      <c r="C82" s="22" t="n"/>
      <c r="D82" s="22" t="n"/>
      <c r="E82" s="22" t="n"/>
      <c r="F82" s="22" t="n"/>
      <c r="G82" s="22" t="n"/>
      <c r="H82" s="22" t="n"/>
    </row>
    <row r="83">
      <c r="A83" s="22" t="n"/>
      <c r="B83" s="22" t="n"/>
      <c r="C83" s="22" t="n"/>
      <c r="D83" s="22" t="n"/>
      <c r="E83" s="22" t="n"/>
      <c r="F83" s="22" t="n"/>
      <c r="G83" s="22" t="n"/>
      <c r="H83" s="22" t="n"/>
    </row>
    <row r="84">
      <c r="A84" s="22" t="n"/>
      <c r="B84" s="22" t="n"/>
      <c r="C84" s="22" t="n"/>
      <c r="D84" s="22" t="n"/>
      <c r="E84" s="22" t="n"/>
      <c r="F84" s="22" t="n"/>
      <c r="G84" s="22" t="n"/>
      <c r="H84" s="22" t="n"/>
    </row>
    <row r="85">
      <c r="A85" s="22" t="n"/>
      <c r="B85" s="22" t="n"/>
      <c r="C85" s="22" t="n"/>
      <c r="D85" s="22" t="n"/>
      <c r="E85" s="22" t="n"/>
      <c r="F85" s="22" t="n"/>
      <c r="G85" s="22" t="n"/>
      <c r="H85" s="22" t="n"/>
    </row>
    <row r="86">
      <c r="A86" s="22" t="n"/>
      <c r="B86" s="22" t="n"/>
      <c r="C86" s="22" t="n"/>
      <c r="D86" s="22" t="n"/>
      <c r="E86" s="22" t="n"/>
      <c r="F86" s="22" t="n"/>
      <c r="G86" s="22" t="n"/>
      <c r="H86" s="22" t="n"/>
    </row>
    <row r="87">
      <c r="A87" s="22" t="n"/>
      <c r="B87" s="22" t="n"/>
      <c r="C87" s="22" t="n"/>
      <c r="D87" s="22" t="n"/>
      <c r="E87" s="22" t="n"/>
      <c r="F87" s="22" t="n"/>
      <c r="G87" s="22" t="n"/>
      <c r="H87" s="22" t="n"/>
    </row>
    <row r="88">
      <c r="A88" s="22" t="n"/>
      <c r="B88" s="22" t="n"/>
      <c r="C88" s="22" t="n"/>
      <c r="D88" s="22" t="n"/>
      <c r="E88" s="22" t="n"/>
      <c r="F88" s="22" t="n"/>
      <c r="G88" s="22" t="n"/>
      <c r="H88" s="22" t="n"/>
    </row>
    <row r="89">
      <c r="A89" s="22" t="n"/>
      <c r="B89" s="22" t="n"/>
      <c r="C89" s="22" t="n"/>
      <c r="D89" s="22" t="n"/>
      <c r="E89" s="22" t="n"/>
      <c r="F89" s="22" t="n"/>
      <c r="G89" s="22" t="n"/>
      <c r="H89" s="22" t="n"/>
    </row>
    <row r="90">
      <c r="A90" s="22" t="n"/>
      <c r="B90" s="22" t="n"/>
      <c r="C90" s="22" t="n"/>
      <c r="D90" s="22" t="n"/>
      <c r="E90" s="22" t="n"/>
      <c r="F90" s="22" t="n"/>
      <c r="G90" s="22" t="n"/>
      <c r="H90" s="22" t="n"/>
    </row>
    <row r="91">
      <c r="A91" s="22" t="n"/>
      <c r="B91" s="22" t="n"/>
      <c r="C91" s="22" t="n"/>
      <c r="D91" s="22" t="n"/>
      <c r="E91" s="22" t="n"/>
      <c r="F91" s="22" t="n"/>
      <c r="G91" s="22" t="n"/>
      <c r="H91" s="22" t="n"/>
    </row>
    <row r="92">
      <c r="A92" s="22" t="n"/>
      <c r="B92" s="22" t="n"/>
      <c r="C92" s="22" t="n"/>
      <c r="D92" s="22" t="n"/>
      <c r="E92" s="22" t="n"/>
      <c r="F92" s="22" t="n"/>
      <c r="G92" s="22" t="n"/>
      <c r="H92" s="22" t="n"/>
    </row>
    <row r="93">
      <c r="A93" s="22" t="n"/>
      <c r="B93" s="22" t="n"/>
      <c r="C93" s="22" t="n"/>
      <c r="D93" s="22" t="n"/>
      <c r="E93" s="22" t="n"/>
      <c r="F93" s="22" t="n"/>
      <c r="G93" s="22" t="n"/>
      <c r="H93" s="22" t="n"/>
    </row>
    <row r="94">
      <c r="A94" s="22" t="n"/>
      <c r="B94" s="22" t="n"/>
      <c r="C94" s="22" t="n"/>
      <c r="D94" s="22" t="n"/>
      <c r="E94" s="22" t="n"/>
      <c r="F94" s="22" t="n"/>
      <c r="G94" s="22" t="n"/>
      <c r="H94" s="22" t="n"/>
    </row>
    <row r="95">
      <c r="A95" s="22" t="n"/>
      <c r="B95" s="22" t="n"/>
      <c r="C95" s="22" t="n"/>
      <c r="D95" s="22" t="n"/>
      <c r="E95" s="22" t="n"/>
      <c r="F95" s="22" t="n"/>
      <c r="G95" s="22" t="n"/>
      <c r="H95" s="22" t="n"/>
    </row>
    <row r="96">
      <c r="A96" s="22" t="n"/>
      <c r="B96" s="22" t="n"/>
      <c r="C96" s="22" t="n"/>
      <c r="D96" s="22" t="n"/>
      <c r="E96" s="22" t="n"/>
      <c r="F96" s="22" t="n"/>
      <c r="G96" s="22" t="n"/>
      <c r="H96" s="22" t="n"/>
    </row>
    <row r="97">
      <c r="A97" s="22" t="n"/>
      <c r="B97" s="22" t="n"/>
      <c r="C97" s="22" t="n"/>
      <c r="D97" s="22" t="n"/>
      <c r="E97" s="22" t="n"/>
      <c r="F97" s="22" t="n"/>
      <c r="G97" s="22" t="n"/>
      <c r="H97" s="22" t="n"/>
    </row>
    <row r="98">
      <c r="A98" s="22" t="n"/>
      <c r="B98" s="22" t="n"/>
      <c r="C98" s="22" t="n"/>
      <c r="D98" s="22" t="n"/>
      <c r="E98" s="22" t="n"/>
      <c r="F98" s="22" t="n"/>
      <c r="G98" s="22" t="n"/>
      <c r="H98" s="22" t="n"/>
    </row>
    <row r="99">
      <c r="A99" s="22" t="n"/>
      <c r="B99" s="22" t="n"/>
      <c r="C99" s="22" t="n"/>
      <c r="D99" s="22" t="n"/>
      <c r="E99" s="22" t="n"/>
      <c r="F99" s="22" t="n"/>
      <c r="G99" s="22" t="n"/>
      <c r="H99" s="22" t="n"/>
    </row>
    <row r="100">
      <c r="A100" s="22" t="n"/>
      <c r="B100" s="22" t="n"/>
      <c r="C100" s="22" t="n"/>
      <c r="D100" s="22" t="n"/>
      <c r="E100" s="22" t="n"/>
      <c r="F100" s="22" t="n"/>
      <c r="G100" s="22" t="n"/>
      <c r="H100" s="22" t="n"/>
    </row>
    <row r="101">
      <c r="A101" s="22" t="n"/>
      <c r="B101" s="22" t="n"/>
      <c r="C101" s="22" t="n"/>
      <c r="D101" s="22" t="n"/>
      <c r="E101" s="22" t="n"/>
      <c r="F101" s="22" t="n"/>
      <c r="G101" s="22" t="n"/>
      <c r="H101" s="22" t="n"/>
    </row>
    <row r="102">
      <c r="A102" s="22" t="n"/>
      <c r="B102" s="22" t="n"/>
      <c r="C102" s="22" t="n"/>
      <c r="D102" s="22" t="n"/>
      <c r="E102" s="22" t="n"/>
      <c r="F102" s="22" t="n"/>
      <c r="G102" s="22" t="n"/>
      <c r="H102" s="22" t="n"/>
    </row>
    <row r="103">
      <c r="A103" s="22" t="n"/>
      <c r="B103" s="22" t="n"/>
      <c r="C103" s="22" t="n"/>
      <c r="D103" s="22" t="n"/>
      <c r="E103" s="22" t="n"/>
      <c r="F103" s="22" t="n"/>
      <c r="G103" s="22" t="n"/>
      <c r="H103" s="22" t="n"/>
    </row>
    <row r="104">
      <c r="A104" s="22" t="n"/>
      <c r="B104" s="22" t="n"/>
      <c r="C104" s="22" t="n"/>
      <c r="D104" s="22" t="n"/>
      <c r="E104" s="22" t="n"/>
      <c r="F104" s="22" t="n"/>
      <c r="G104" s="22" t="n"/>
      <c r="H104" s="22" t="n"/>
    </row>
    <row r="105">
      <c r="A105" s="22" t="n"/>
      <c r="B105" s="22" t="n"/>
      <c r="C105" s="22" t="n"/>
      <c r="D105" s="22" t="n"/>
      <c r="E105" s="22" t="n"/>
      <c r="F105" s="22" t="n"/>
      <c r="G105" s="22" t="n"/>
      <c r="H105" s="22" t="n"/>
    </row>
    <row r="106">
      <c r="A106" s="22" t="n"/>
      <c r="B106" s="22" t="n"/>
      <c r="C106" s="22" t="n"/>
      <c r="D106" s="22" t="n"/>
      <c r="E106" s="22" t="n"/>
      <c r="F106" s="22" t="n"/>
      <c r="G106" s="22" t="n"/>
      <c r="H106" s="22" t="n"/>
    </row>
    <row r="107">
      <c r="A107" s="22" t="n"/>
      <c r="B107" s="22" t="n"/>
      <c r="C107" s="22" t="n"/>
      <c r="D107" s="22" t="n"/>
      <c r="E107" s="22" t="n"/>
      <c r="F107" s="22" t="n"/>
      <c r="G107" s="22" t="n"/>
      <c r="H107" s="22" t="n"/>
    </row>
    <row r="108">
      <c r="A108" s="22" t="n"/>
      <c r="B108" s="22" t="n"/>
      <c r="C108" s="22" t="n"/>
      <c r="D108" s="22" t="n"/>
      <c r="E108" s="22" t="n"/>
      <c r="F108" s="22" t="n"/>
      <c r="G108" s="22" t="n"/>
      <c r="H108" s="22" t="n"/>
    </row>
    <row r="109">
      <c r="A109" s="22" t="n"/>
      <c r="B109" s="22" t="n"/>
      <c r="C109" s="22" t="n"/>
      <c r="D109" s="22" t="n"/>
      <c r="E109" s="22" t="n"/>
      <c r="F109" s="22" t="n"/>
      <c r="G109" s="22" t="n"/>
      <c r="H109" s="22" t="n"/>
    </row>
    <row r="110">
      <c r="A110" s="22" t="n"/>
      <c r="B110" s="22" t="n"/>
      <c r="C110" s="22" t="n"/>
      <c r="D110" s="22" t="n"/>
      <c r="E110" s="22" t="n"/>
      <c r="F110" s="22" t="n"/>
      <c r="G110" s="22" t="n"/>
      <c r="H110" s="22" t="n"/>
    </row>
    <row r="111">
      <c r="A111" s="22" t="n"/>
      <c r="B111" s="22" t="n"/>
      <c r="C111" s="22" t="n"/>
      <c r="D111" s="22" t="n"/>
      <c r="E111" s="22" t="n"/>
      <c r="F111" s="22" t="n"/>
      <c r="G111" s="22" t="n"/>
      <c r="H111" s="22" t="n"/>
    </row>
    <row r="112">
      <c r="A112" s="22" t="n"/>
      <c r="B112" s="22" t="n"/>
      <c r="C112" s="22" t="n"/>
      <c r="D112" s="22" t="n"/>
      <c r="E112" s="22" t="n"/>
      <c r="F112" s="22" t="n"/>
      <c r="G112" s="22" t="n"/>
      <c r="H112" s="22" t="n"/>
    </row>
    <row r="113">
      <c r="A113" s="22" t="n"/>
      <c r="B113" s="22" t="n"/>
      <c r="C113" s="22" t="n"/>
      <c r="D113" s="22" t="n"/>
      <c r="E113" s="22" t="n"/>
      <c r="F113" s="22" t="n"/>
      <c r="G113" s="22" t="n"/>
      <c r="H113" s="22" t="n"/>
    </row>
    <row r="114">
      <c r="A114" s="22" t="n"/>
      <c r="B114" s="22" t="n"/>
      <c r="C114" s="22" t="n"/>
      <c r="D114" s="22" t="n"/>
      <c r="E114" s="22" t="n"/>
      <c r="F114" s="22" t="n"/>
      <c r="G114" s="22" t="n"/>
      <c r="H114" s="22" t="n"/>
    </row>
    <row r="115">
      <c r="A115" s="22" t="n"/>
      <c r="B115" s="22" t="n"/>
      <c r="C115" s="22" t="n"/>
      <c r="D115" s="22" t="n"/>
      <c r="E115" s="22" t="n"/>
      <c r="F115" s="22" t="n"/>
      <c r="G115" s="22" t="n"/>
      <c r="H115" s="22" t="n"/>
    </row>
    <row r="116">
      <c r="A116" s="22" t="n"/>
      <c r="B116" s="22" t="n"/>
      <c r="C116" s="22" t="n"/>
      <c r="D116" s="22" t="n"/>
      <c r="E116" s="22" t="n"/>
      <c r="F116" s="22" t="n"/>
      <c r="G116" s="22" t="n"/>
      <c r="H116" s="22" t="n"/>
    </row>
    <row r="117">
      <c r="A117" s="22" t="n"/>
      <c r="B117" s="22" t="n"/>
      <c r="C117" s="22" t="n"/>
      <c r="D117" s="22" t="n"/>
      <c r="E117" s="22" t="n"/>
      <c r="F117" s="22" t="n"/>
      <c r="G117" s="22" t="n"/>
      <c r="H117" s="22" t="n"/>
    </row>
    <row r="118">
      <c r="A118" s="22" t="n"/>
      <c r="B118" s="22" t="n"/>
      <c r="C118" s="22" t="n"/>
      <c r="D118" s="22" t="n"/>
      <c r="E118" s="22" t="n"/>
      <c r="F118" s="22" t="n"/>
      <c r="G118" s="22" t="n"/>
      <c r="H118" s="22" t="n"/>
    </row>
    <row r="119">
      <c r="A119" s="22" t="n"/>
      <c r="B119" s="22" t="n"/>
      <c r="C119" s="22" t="n"/>
      <c r="D119" s="22" t="n"/>
      <c r="E119" s="22" t="n"/>
      <c r="F119" s="22" t="n"/>
      <c r="G119" s="22" t="n"/>
      <c r="H119" s="22" t="n"/>
    </row>
    <row r="120">
      <c r="A120" s="22" t="n"/>
      <c r="B120" s="22" t="n"/>
      <c r="C120" s="22" t="n"/>
      <c r="D120" s="22" t="n"/>
      <c r="E120" s="22" t="n"/>
      <c r="F120" s="22" t="n"/>
      <c r="G120" s="22" t="n"/>
      <c r="H120" s="22" t="n"/>
    </row>
    <row r="121">
      <c r="A121" s="22" t="n"/>
      <c r="B121" s="22" t="n"/>
      <c r="C121" s="22" t="n"/>
      <c r="D121" s="22" t="n"/>
      <c r="E121" s="22" t="n"/>
      <c r="F121" s="22" t="n"/>
      <c r="G121" s="22" t="n"/>
      <c r="H121" s="22" t="n"/>
    </row>
    <row r="122">
      <c r="A122" s="22" t="n"/>
      <c r="B122" s="22" t="n"/>
      <c r="C122" s="22" t="n"/>
      <c r="D122" s="22" t="n"/>
      <c r="E122" s="22" t="n"/>
      <c r="F122" s="22" t="n"/>
      <c r="G122" s="22" t="n"/>
      <c r="H122" s="22" t="n"/>
    </row>
    <row r="123">
      <c r="A123" s="22" t="n"/>
      <c r="B123" s="22" t="n"/>
      <c r="C123" s="22" t="n"/>
      <c r="D123" s="22" t="n"/>
      <c r="E123" s="22" t="n"/>
      <c r="F123" s="22" t="n"/>
      <c r="G123" s="22" t="n"/>
      <c r="H123" s="22" t="n"/>
    </row>
    <row r="124">
      <c r="A124" s="22" t="n"/>
      <c r="B124" s="22" t="n"/>
      <c r="C124" s="22" t="n"/>
      <c r="D124" s="22" t="n"/>
      <c r="E124" s="22" t="n"/>
      <c r="F124" s="22" t="n"/>
      <c r="G124" s="22" t="n"/>
      <c r="H124" s="22" t="n"/>
    </row>
    <row r="125">
      <c r="A125" s="22" t="n"/>
      <c r="B125" s="22" t="n"/>
      <c r="C125" s="22" t="n"/>
      <c r="D125" s="22" t="n"/>
      <c r="E125" s="22" t="n"/>
      <c r="F125" s="22" t="n"/>
      <c r="G125" s="22" t="n"/>
      <c r="H125" s="22" t="n"/>
    </row>
    <row r="126">
      <c r="A126" s="22" t="n"/>
      <c r="B126" s="22" t="n"/>
      <c r="C126" s="22" t="n"/>
      <c r="D126" s="22" t="n"/>
      <c r="E126" s="22" t="n"/>
      <c r="F126" s="22" t="n"/>
      <c r="G126" s="22" t="n"/>
      <c r="H126" s="22" t="n"/>
    </row>
    <row r="127">
      <c r="A127" s="22" t="n"/>
      <c r="B127" s="22" t="n"/>
      <c r="C127" s="22" t="n"/>
      <c r="D127" s="22" t="n"/>
      <c r="E127" s="22" t="n"/>
      <c r="F127" s="22" t="n"/>
      <c r="G127" s="22" t="n"/>
      <c r="H127" s="22" t="n"/>
    </row>
    <row r="128">
      <c r="A128" s="22" t="n"/>
      <c r="B128" s="22" t="n"/>
      <c r="C128" s="22" t="n"/>
      <c r="D128" s="22" t="n"/>
      <c r="E128" s="22" t="n"/>
      <c r="F128" s="22" t="n"/>
      <c r="G128" s="22" t="n"/>
      <c r="H128" s="22" t="n"/>
    </row>
    <row r="129">
      <c r="A129" s="22" t="n"/>
      <c r="B129" s="22" t="n"/>
      <c r="C129" s="22" t="n"/>
      <c r="D129" s="22" t="n"/>
      <c r="E129" s="22" t="n"/>
      <c r="F129" s="22" t="n"/>
      <c r="G129" s="22" t="n"/>
      <c r="H129" s="22" t="n"/>
    </row>
    <row r="130">
      <c r="A130" s="22" t="n"/>
      <c r="B130" s="22" t="n"/>
      <c r="C130" s="22" t="n"/>
      <c r="D130" s="22" t="n"/>
      <c r="E130" s="22" t="n"/>
      <c r="F130" s="22" t="n"/>
      <c r="G130" s="22" t="n"/>
      <c r="H130" s="22" t="n"/>
    </row>
    <row r="131">
      <c r="A131" s="22" t="n"/>
      <c r="B131" s="22" t="n"/>
      <c r="C131" s="22" t="n"/>
      <c r="D131" s="22" t="n"/>
      <c r="E131" s="22" t="n"/>
      <c r="F131" s="22" t="n"/>
      <c r="G131" s="22" t="n"/>
      <c r="H131" s="22" t="n"/>
    </row>
    <row r="132">
      <c r="A132" s="22" t="n"/>
      <c r="B132" s="22" t="n"/>
      <c r="C132" s="22" t="n"/>
      <c r="D132" s="22" t="n"/>
      <c r="E132" s="22" t="n"/>
      <c r="F132" s="22" t="n"/>
      <c r="G132" s="22" t="n"/>
      <c r="H132" s="22" t="n"/>
    </row>
    <row r="133">
      <c r="A133" s="22" t="n"/>
      <c r="B133" s="22" t="n"/>
      <c r="C133" s="22" t="n"/>
      <c r="D133" s="22" t="n"/>
      <c r="E133" s="22" t="n"/>
      <c r="F133" s="22" t="n"/>
      <c r="G133" s="22" t="n"/>
      <c r="H133" s="22" t="n"/>
    </row>
    <row r="134">
      <c r="A134" s="22" t="n"/>
      <c r="B134" s="22" t="n"/>
      <c r="C134" s="22" t="n"/>
      <c r="D134" s="22" t="n"/>
      <c r="E134" s="22" t="n"/>
      <c r="F134" s="22" t="n"/>
      <c r="G134" s="22" t="n"/>
      <c r="H134" s="22" t="n"/>
    </row>
    <row r="135">
      <c r="A135" s="22" t="n"/>
      <c r="B135" s="22" t="n"/>
      <c r="C135" s="22" t="n"/>
      <c r="D135" s="22" t="n"/>
      <c r="E135" s="22" t="n"/>
      <c r="F135" s="22" t="n"/>
      <c r="G135" s="22" t="n"/>
      <c r="H135" s="22" t="n"/>
    </row>
    <row r="136">
      <c r="A136" s="22" t="n"/>
      <c r="B136" s="22" t="n"/>
      <c r="C136" s="22" t="n"/>
      <c r="D136" s="22" t="n"/>
      <c r="E136" s="22" t="n"/>
      <c r="F136" s="22" t="n"/>
      <c r="G136" s="22" t="n"/>
      <c r="H136" s="22" t="n"/>
    </row>
    <row r="137">
      <c r="A137" s="22" t="n"/>
      <c r="B137" s="22" t="n"/>
      <c r="C137" s="22" t="n"/>
      <c r="D137" s="22" t="n"/>
      <c r="E137" s="22" t="n"/>
      <c r="F137" s="22" t="n"/>
      <c r="G137" s="22" t="n"/>
      <c r="H137" s="22" t="n"/>
    </row>
    <row r="138">
      <c r="A138" s="22" t="n"/>
      <c r="B138" s="22" t="n"/>
      <c r="C138" s="22" t="n"/>
      <c r="D138" s="22" t="n"/>
      <c r="E138" s="22" t="n"/>
      <c r="F138" s="22" t="n"/>
      <c r="G138" s="22" t="n"/>
      <c r="H138" s="22" t="n"/>
    </row>
    <row r="139">
      <c r="A139" s="22" t="n"/>
      <c r="B139" s="22" t="n"/>
      <c r="C139" s="22" t="n"/>
      <c r="D139" s="22" t="n"/>
      <c r="E139" s="22" t="n"/>
      <c r="F139" s="22" t="n"/>
      <c r="G139" s="22" t="n"/>
      <c r="H139" s="22" t="n"/>
    </row>
    <row r="140">
      <c r="A140" s="22" t="n"/>
      <c r="B140" s="22" t="n"/>
      <c r="C140" s="22" t="n"/>
      <c r="D140" s="22" t="n"/>
      <c r="E140" s="22" t="n"/>
      <c r="F140" s="22" t="n"/>
      <c r="G140" s="22" t="n"/>
      <c r="H140" s="22" t="n"/>
    </row>
    <row r="141">
      <c r="A141" s="22" t="n"/>
      <c r="B141" s="22" t="n"/>
      <c r="C141" s="22" t="n"/>
      <c r="D141" s="22" t="n"/>
      <c r="E141" s="22" t="n"/>
      <c r="F141" s="22" t="n"/>
      <c r="G141" s="22" t="n"/>
      <c r="H141" s="22" t="n"/>
    </row>
    <row r="142">
      <c r="A142" s="22" t="n"/>
      <c r="B142" s="22" t="n"/>
      <c r="C142" s="22" t="n"/>
      <c r="D142" s="22" t="n"/>
      <c r="E142" s="22" t="n"/>
      <c r="F142" s="22" t="n"/>
      <c r="G142" s="22" t="n"/>
      <c r="H142" s="22" t="n"/>
    </row>
    <row r="143">
      <c r="A143" s="22" t="n"/>
      <c r="B143" s="22" t="n"/>
      <c r="C143" s="22" t="n"/>
      <c r="D143" s="22" t="n"/>
      <c r="E143" s="22" t="n"/>
      <c r="F143" s="22" t="n"/>
      <c r="G143" s="22" t="n"/>
      <c r="H143" s="22" t="n"/>
    </row>
    <row r="144">
      <c r="A144" s="22" t="n"/>
      <c r="B144" s="22" t="n"/>
      <c r="C144" s="22" t="n"/>
      <c r="D144" s="22" t="n"/>
      <c r="E144" s="22" t="n"/>
      <c r="F144" s="22" t="n"/>
      <c r="G144" s="22" t="n"/>
      <c r="H144" s="22" t="n"/>
    </row>
    <row r="145">
      <c r="A145" s="22" t="n"/>
      <c r="B145" s="22" t="n"/>
      <c r="C145" s="22" t="n"/>
      <c r="D145" s="22" t="n"/>
      <c r="E145" s="22" t="n"/>
      <c r="F145" s="22" t="n"/>
      <c r="G145" s="22" t="n"/>
      <c r="H145" s="22" t="n"/>
    </row>
    <row r="146">
      <c r="A146" s="22" t="n"/>
      <c r="B146" s="22" t="n"/>
      <c r="C146" s="22" t="n"/>
      <c r="D146" s="22" t="n"/>
      <c r="E146" s="22" t="n"/>
      <c r="F146" s="22" t="n"/>
      <c r="G146" s="22" t="n"/>
      <c r="H146" s="22" t="n"/>
    </row>
    <row r="147">
      <c r="A147" s="22" t="n"/>
      <c r="B147" s="22" t="n"/>
      <c r="C147" s="22" t="n"/>
      <c r="D147" s="22" t="n"/>
      <c r="E147" s="22" t="n"/>
      <c r="F147" s="22" t="n"/>
      <c r="G147" s="22" t="n"/>
      <c r="H147" s="22" t="n"/>
    </row>
    <row r="148">
      <c r="A148" s="22" t="n"/>
      <c r="B148" s="22" t="n"/>
      <c r="C148" s="22" t="n"/>
      <c r="D148" s="22" t="n"/>
      <c r="E148" s="22" t="n"/>
      <c r="F148" s="22" t="n"/>
      <c r="G148" s="22" t="n"/>
      <c r="H148" s="22" t="n"/>
    </row>
    <row r="149">
      <c r="A149" s="22" t="n"/>
      <c r="B149" s="22" t="n"/>
      <c r="C149" s="22" t="n"/>
      <c r="D149" s="22" t="n"/>
      <c r="E149" s="22" t="n"/>
      <c r="F149" s="22" t="n"/>
      <c r="G149" s="22" t="n"/>
      <c r="H149" s="22" t="n"/>
    </row>
    <row r="150">
      <c r="A150" s="22" t="n"/>
      <c r="B150" s="22" t="n"/>
      <c r="C150" s="22" t="n"/>
      <c r="D150" s="22" t="n"/>
      <c r="E150" s="22" t="n"/>
      <c r="F150" s="22" t="n"/>
      <c r="G150" s="22" t="n"/>
      <c r="H150" s="22" t="n"/>
    </row>
    <row r="151">
      <c r="A151" s="22" t="n"/>
      <c r="B151" s="22" t="n"/>
      <c r="C151" s="22" t="n"/>
      <c r="D151" s="22" t="n"/>
      <c r="E151" s="22" t="n"/>
      <c r="F151" s="22" t="n"/>
      <c r="G151" s="22" t="n"/>
      <c r="H151" s="22" t="n"/>
    </row>
    <row r="152">
      <c r="A152" s="22" t="n"/>
      <c r="B152" s="22" t="n"/>
      <c r="C152" s="22" t="n"/>
      <c r="D152" s="22" t="n"/>
      <c r="E152" s="22" t="n"/>
      <c r="F152" s="22" t="n"/>
      <c r="G152" s="22" t="n"/>
      <c r="H152" s="22" t="n"/>
    </row>
    <row r="153">
      <c r="A153" s="22" t="n"/>
      <c r="B153" s="22" t="n"/>
      <c r="C153" s="22" t="n"/>
      <c r="D153" s="22" t="n"/>
      <c r="E153" s="22" t="n"/>
      <c r="F153" s="22" t="n"/>
      <c r="G153" s="22" t="n"/>
      <c r="H153" s="22" t="n"/>
    </row>
    <row r="154">
      <c r="A154" s="22" t="n"/>
      <c r="B154" s="22" t="n"/>
      <c r="C154" s="22" t="n"/>
      <c r="D154" s="22" t="n"/>
      <c r="E154" s="22" t="n"/>
      <c r="F154" s="22" t="n"/>
      <c r="G154" s="22" t="n"/>
      <c r="H154" s="22" t="n"/>
    </row>
    <row r="155">
      <c r="A155" s="22" t="n"/>
      <c r="B155" s="22" t="n"/>
      <c r="C155" s="22" t="n"/>
      <c r="D155" s="22" t="n"/>
      <c r="E155" s="22" t="n"/>
      <c r="F155" s="22" t="n"/>
      <c r="G155" s="22" t="n"/>
      <c r="H155" s="22" t="n"/>
    </row>
    <row r="156">
      <c r="A156" s="22" t="n"/>
      <c r="B156" s="22" t="n"/>
      <c r="C156" s="22" t="n"/>
      <c r="D156" s="22" t="n"/>
      <c r="E156" s="22" t="n"/>
      <c r="F156" s="22" t="n"/>
      <c r="G156" s="22" t="n"/>
      <c r="H156" s="22" t="n"/>
    </row>
    <row r="157">
      <c r="A157" s="22" t="n"/>
      <c r="B157" s="22" t="n"/>
      <c r="C157" s="22" t="n"/>
      <c r="D157" s="22" t="n"/>
      <c r="E157" s="22" t="n"/>
      <c r="F157" s="22" t="n"/>
      <c r="G157" s="22" t="n"/>
      <c r="H157" s="22" t="n"/>
    </row>
    <row r="158">
      <c r="A158" s="22" t="n"/>
      <c r="B158" s="22" t="n"/>
      <c r="C158" s="22" t="n"/>
      <c r="D158" s="22" t="n"/>
      <c r="E158" s="22" t="n"/>
      <c r="F158" s="22" t="n"/>
      <c r="G158" s="22" t="n"/>
      <c r="H158" s="22" t="n"/>
    </row>
    <row r="159">
      <c r="A159" s="22" t="n"/>
      <c r="B159" s="22" t="n"/>
      <c r="C159" s="22" t="n"/>
      <c r="D159" s="22" t="n"/>
      <c r="E159" s="22" t="n"/>
      <c r="F159" s="22" t="n"/>
      <c r="G159" s="22" t="n"/>
      <c r="H159" s="22" t="n"/>
    </row>
    <row r="160">
      <c r="A160" s="22" t="n"/>
      <c r="B160" s="22" t="n"/>
      <c r="C160" s="22" t="n"/>
      <c r="D160" s="22" t="n"/>
      <c r="E160" s="22" t="n"/>
      <c r="F160" s="22" t="n"/>
      <c r="G160" s="22" t="n"/>
      <c r="H160" s="22" t="n"/>
    </row>
    <row r="161">
      <c r="A161" s="22" t="n"/>
      <c r="B161" s="22" t="n"/>
      <c r="C161" s="22" t="n"/>
      <c r="D161" s="22" t="n"/>
      <c r="E161" s="22" t="n"/>
      <c r="F161" s="22" t="n"/>
      <c r="G161" s="22" t="n"/>
      <c r="H161" s="22" t="n"/>
    </row>
    <row r="162">
      <c r="A162" s="22" t="n"/>
      <c r="B162" s="22" t="n"/>
      <c r="C162" s="22" t="n"/>
      <c r="D162" s="22" t="n"/>
      <c r="E162" s="22" t="n"/>
      <c r="F162" s="22" t="n"/>
      <c r="G162" s="22" t="n"/>
      <c r="H162" s="22" t="n"/>
    </row>
    <row r="163">
      <c r="A163" s="22" t="n"/>
      <c r="B163" s="22" t="n"/>
      <c r="C163" s="22" t="n"/>
      <c r="D163" s="22" t="n"/>
      <c r="E163" s="22" t="n"/>
      <c r="F163" s="22" t="n"/>
      <c r="G163" s="22" t="n"/>
      <c r="H163" s="22" t="n"/>
    </row>
    <row r="164">
      <c r="A164" s="22" t="n"/>
      <c r="B164" s="22" t="n"/>
      <c r="C164" s="22" t="n"/>
      <c r="D164" s="22" t="n"/>
      <c r="E164" s="22" t="n"/>
      <c r="F164" s="22" t="n"/>
      <c r="G164" s="22" t="n"/>
      <c r="H164" s="22" t="n"/>
    </row>
    <row r="165">
      <c r="A165" s="22" t="n"/>
      <c r="B165" s="22" t="n"/>
      <c r="C165" s="22" t="n"/>
      <c r="D165" s="22" t="n"/>
      <c r="E165" s="22" t="n"/>
      <c r="F165" s="22" t="n"/>
      <c r="G165" s="22" t="n"/>
      <c r="H165" s="22" t="n"/>
    </row>
    <row r="166">
      <c r="A166" s="22" t="n"/>
      <c r="B166" s="22" t="n"/>
      <c r="C166" s="22" t="n"/>
      <c r="D166" s="22" t="n"/>
      <c r="E166" s="22" t="n"/>
      <c r="F166" s="22" t="n"/>
      <c r="G166" s="22" t="n"/>
      <c r="H166" s="22" t="n"/>
    </row>
    <row r="167">
      <c r="A167" s="22" t="n"/>
      <c r="B167" s="22" t="n"/>
      <c r="C167" s="22" t="n"/>
      <c r="D167" s="22" t="n"/>
      <c r="E167" s="22" t="n"/>
      <c r="F167" s="22" t="n"/>
      <c r="G167" s="22" t="n"/>
      <c r="H167" s="22" t="n"/>
    </row>
    <row r="168">
      <c r="A168" s="22" t="n"/>
      <c r="B168" s="22" t="n"/>
      <c r="C168" s="22" t="n"/>
      <c r="D168" s="22" t="n"/>
      <c r="E168" s="22" t="n"/>
      <c r="F168" s="22" t="n"/>
      <c r="G168" s="22" t="n"/>
      <c r="H168" s="22" t="n"/>
    </row>
    <row r="169">
      <c r="A169" s="22" t="n"/>
      <c r="B169" s="22" t="n"/>
      <c r="C169" s="22" t="n"/>
      <c r="D169" s="22" t="n"/>
      <c r="E169" s="22" t="n"/>
      <c r="F169" s="22" t="n"/>
      <c r="G169" s="22" t="n"/>
      <c r="H169" s="22" t="n"/>
    </row>
    <row r="170">
      <c r="A170" s="22" t="n"/>
      <c r="B170" s="22" t="n"/>
      <c r="C170" s="22" t="n"/>
      <c r="D170" s="22" t="n"/>
      <c r="E170" s="22" t="n"/>
      <c r="F170" s="22" t="n"/>
      <c r="G170" s="22" t="n"/>
      <c r="H170" s="22" t="n"/>
    </row>
    <row r="171">
      <c r="A171" s="22" t="n"/>
      <c r="B171" s="22" t="n"/>
      <c r="C171" s="22" t="n"/>
      <c r="D171" s="22" t="n"/>
      <c r="E171" s="22" t="n"/>
      <c r="F171" s="22" t="n"/>
      <c r="G171" s="22" t="n"/>
      <c r="H171" s="22" t="n"/>
    </row>
    <row r="172">
      <c r="A172" s="22" t="n"/>
      <c r="B172" s="22" t="n"/>
      <c r="C172" s="22" t="n"/>
      <c r="D172" s="22" t="n"/>
      <c r="E172" s="22" t="n"/>
      <c r="F172" s="22" t="n"/>
      <c r="G172" s="22" t="n"/>
      <c r="H172" s="22" t="n"/>
    </row>
    <row r="173">
      <c r="A173" s="22" t="n"/>
      <c r="B173" s="22" t="n"/>
      <c r="C173" s="22" t="n"/>
      <c r="D173" s="22" t="n"/>
      <c r="E173" s="22" t="n"/>
      <c r="F173" s="22" t="n"/>
      <c r="G173" s="22" t="n"/>
      <c r="H173" s="22" t="n"/>
    </row>
    <row r="174">
      <c r="A174" s="22" t="n"/>
      <c r="B174" s="22" t="n"/>
      <c r="C174" s="22" t="n"/>
      <c r="D174" s="22" t="n"/>
      <c r="E174" s="22" t="n"/>
      <c r="F174" s="22" t="n"/>
      <c r="G174" s="22" t="n"/>
      <c r="H174" s="22" t="n"/>
    </row>
    <row r="175">
      <c r="A175" s="22" t="n"/>
      <c r="B175" s="22" t="n"/>
      <c r="C175" s="22" t="n"/>
      <c r="D175" s="22" t="n"/>
      <c r="E175" s="22" t="n"/>
      <c r="F175" s="22" t="n"/>
      <c r="G175" s="22" t="n"/>
      <c r="H175" s="22" t="n"/>
    </row>
    <row r="176">
      <c r="A176" s="22" t="n"/>
      <c r="B176" s="22" t="n"/>
      <c r="C176" s="22" t="n"/>
      <c r="D176" s="22" t="n"/>
      <c r="E176" s="22" t="n"/>
      <c r="F176" s="22" t="n"/>
      <c r="G176" s="22" t="n"/>
      <c r="H176" s="22" t="n"/>
    </row>
    <row r="177">
      <c r="A177" s="22" t="n"/>
      <c r="B177" s="22" t="n"/>
      <c r="C177" s="22" t="n"/>
      <c r="D177" s="22" t="n"/>
      <c r="E177" s="22" t="n"/>
      <c r="F177" s="22" t="n"/>
      <c r="G177" s="22" t="n"/>
      <c r="H177" s="22" t="n"/>
    </row>
    <row r="178">
      <c r="A178" s="22" t="n"/>
      <c r="B178" s="22" t="n"/>
      <c r="C178" s="22" t="n"/>
      <c r="D178" s="22" t="n"/>
      <c r="E178" s="22" t="n"/>
      <c r="F178" s="22" t="n"/>
      <c r="G178" s="22" t="n"/>
      <c r="H178" s="22" t="n"/>
    </row>
    <row r="179">
      <c r="A179" s="22" t="n"/>
      <c r="B179" s="22" t="n"/>
      <c r="C179" s="22" t="n"/>
      <c r="D179" s="22" t="n"/>
      <c r="E179" s="22" t="n"/>
      <c r="F179" s="22" t="n"/>
      <c r="G179" s="22" t="n"/>
      <c r="H179" s="22" t="n"/>
    </row>
    <row r="180">
      <c r="A180" s="22" t="n"/>
      <c r="B180" s="22" t="n"/>
      <c r="C180" s="22" t="n"/>
      <c r="D180" s="22" t="n"/>
      <c r="E180" s="22" t="n"/>
      <c r="F180" s="22" t="n"/>
      <c r="G180" s="22" t="n"/>
      <c r="H180" s="22" t="n"/>
    </row>
    <row r="181">
      <c r="A181" s="22" t="n"/>
      <c r="B181" s="22" t="n"/>
      <c r="C181" s="22" t="n"/>
      <c r="D181" s="22" t="n"/>
      <c r="E181" s="22" t="n"/>
      <c r="F181" s="22" t="n"/>
      <c r="G181" s="22" t="n"/>
      <c r="H181" s="22" t="n"/>
    </row>
    <row r="182">
      <c r="A182" s="22" t="n"/>
      <c r="B182" s="22" t="n"/>
      <c r="C182" s="22" t="n"/>
      <c r="D182" s="22" t="n"/>
      <c r="E182" s="22" t="n"/>
      <c r="F182" s="22" t="n"/>
      <c r="G182" s="22" t="n"/>
      <c r="H182" s="22" t="n"/>
    </row>
    <row r="183">
      <c r="A183" s="22" t="n"/>
      <c r="B183" s="22" t="n"/>
      <c r="C183" s="22" t="n"/>
      <c r="D183" s="22" t="n"/>
      <c r="E183" s="22" t="n"/>
      <c r="F183" s="22" t="n"/>
      <c r="G183" s="22" t="n"/>
      <c r="H183" s="22" t="n"/>
    </row>
    <row r="184">
      <c r="A184" s="22" t="n"/>
      <c r="B184" s="22" t="n"/>
      <c r="C184" s="22" t="n"/>
      <c r="D184" s="22" t="n"/>
      <c r="E184" s="22" t="n"/>
      <c r="F184" s="22" t="n"/>
      <c r="G184" s="22" t="n"/>
      <c r="H184" s="22" t="n"/>
    </row>
    <row r="185">
      <c r="A185" s="22" t="n"/>
      <c r="B185" s="22" t="n"/>
      <c r="C185" s="22" t="n"/>
      <c r="D185" s="22" t="n"/>
      <c r="E185" s="22" t="n"/>
      <c r="F185" s="22" t="n"/>
      <c r="G185" s="22" t="n"/>
      <c r="H185" s="22" t="n"/>
    </row>
    <row r="186">
      <c r="A186" s="22" t="n"/>
      <c r="B186" s="22" t="n"/>
      <c r="C186" s="22" t="n"/>
      <c r="D186" s="22" t="n"/>
      <c r="E186" s="22" t="n"/>
      <c r="F186" s="22" t="n"/>
      <c r="G186" s="22" t="n"/>
      <c r="H186" s="22" t="n"/>
    </row>
    <row r="187">
      <c r="A187" s="22" t="n"/>
      <c r="B187" s="22" t="n"/>
      <c r="C187" s="22" t="n"/>
      <c r="D187" s="22" t="n"/>
      <c r="E187" s="22" t="n"/>
      <c r="F187" s="22" t="n"/>
      <c r="G187" s="22" t="n"/>
      <c r="H187" s="22" t="n"/>
    </row>
    <row r="188">
      <c r="A188" s="22" t="n"/>
      <c r="B188" s="22" t="n"/>
      <c r="C188" s="22" t="n"/>
      <c r="D188" s="22" t="n"/>
      <c r="E188" s="22" t="n"/>
      <c r="F188" s="22" t="n"/>
      <c r="G188" s="22" t="n"/>
      <c r="H188" s="22" t="n"/>
    </row>
    <row r="189">
      <c r="A189" s="22" t="n"/>
      <c r="B189" s="22" t="n"/>
      <c r="C189" s="22" t="n"/>
      <c r="D189" s="22" t="n"/>
      <c r="E189" s="22" t="n"/>
      <c r="F189" s="22" t="n"/>
      <c r="G189" s="22" t="n"/>
      <c r="H189" s="22" t="n"/>
    </row>
    <row r="190">
      <c r="A190" s="22" t="n"/>
      <c r="B190" s="22" t="n"/>
      <c r="C190" s="22" t="n"/>
      <c r="D190" s="22" t="n"/>
      <c r="E190" s="22" t="n"/>
      <c r="F190" s="22" t="n"/>
      <c r="G190" s="22" t="n"/>
      <c r="H190" s="22" t="n"/>
    </row>
    <row r="191">
      <c r="A191" s="22" t="n"/>
      <c r="B191" s="22" t="n"/>
      <c r="C191" s="22" t="n"/>
      <c r="D191" s="22" t="n"/>
      <c r="E191" s="22" t="n"/>
      <c r="F191" s="22" t="n"/>
      <c r="G191" s="22" t="n"/>
      <c r="H191" s="22" t="n"/>
    </row>
    <row r="192">
      <c r="A192" s="22" t="n"/>
      <c r="B192" s="22" t="n"/>
      <c r="C192" s="22" t="n"/>
      <c r="D192" s="22" t="n"/>
      <c r="E192" s="22" t="n"/>
      <c r="F192" s="22" t="n"/>
      <c r="G192" s="22" t="n"/>
      <c r="H192" s="22" t="n"/>
    </row>
    <row r="193">
      <c r="A193" s="22" t="n"/>
      <c r="B193" s="22" t="n"/>
      <c r="C193" s="22" t="n"/>
      <c r="D193" s="22" t="n"/>
      <c r="E193" s="22" t="n"/>
      <c r="F193" s="22" t="n"/>
      <c r="G193" s="22" t="n"/>
      <c r="H193" s="22" t="n"/>
    </row>
    <row r="194">
      <c r="A194" s="22" t="n"/>
      <c r="B194" s="22" t="n"/>
      <c r="C194" s="22" t="n"/>
      <c r="D194" s="22" t="n"/>
      <c r="E194" s="22" t="n"/>
      <c r="F194" s="22" t="n"/>
      <c r="G194" s="22" t="n"/>
      <c r="H194" s="22" t="n"/>
    </row>
    <row r="195">
      <c r="A195" s="22" t="n"/>
      <c r="B195" s="22" t="n"/>
      <c r="C195" s="22" t="n"/>
      <c r="D195" s="22" t="n"/>
      <c r="E195" s="22" t="n"/>
      <c r="F195" s="22" t="n"/>
      <c r="G195" s="22" t="n"/>
      <c r="H195" s="22" t="n"/>
    </row>
    <row r="196">
      <c r="A196" s="22" t="n"/>
      <c r="B196" s="22" t="n"/>
      <c r="C196" s="22" t="n"/>
      <c r="D196" s="22" t="n"/>
      <c r="E196" s="22" t="n"/>
      <c r="F196" s="22" t="n"/>
      <c r="G196" s="22" t="n"/>
      <c r="H196" s="22" t="n"/>
    </row>
    <row r="197">
      <c r="A197" s="22" t="n"/>
      <c r="B197" s="22" t="n"/>
      <c r="C197" s="22" t="n"/>
      <c r="D197" s="22" t="n"/>
      <c r="E197" s="22" t="n"/>
      <c r="F197" s="22" t="n"/>
      <c r="G197" s="22" t="n"/>
      <c r="H197" s="22" t="n"/>
    </row>
    <row r="198">
      <c r="A198" s="22" t="n"/>
      <c r="B198" s="22" t="n"/>
      <c r="C198" s="22" t="n"/>
      <c r="D198" s="22" t="n"/>
      <c r="E198" s="22" t="n"/>
      <c r="F198" s="22" t="n"/>
      <c r="G198" s="22" t="n"/>
      <c r="H198" s="22" t="n"/>
    </row>
    <row r="199">
      <c r="A199" s="22" t="n"/>
      <c r="B199" s="22" t="n"/>
      <c r="C199" s="22" t="n"/>
      <c r="D199" s="22" t="n"/>
      <c r="E199" s="22" t="n"/>
      <c r="F199" s="22" t="n"/>
      <c r="G199" s="22" t="n"/>
      <c r="H199" s="22" t="n"/>
    </row>
    <row r="200">
      <c r="A200" s="22" t="n"/>
      <c r="B200" s="22" t="n"/>
      <c r="C200" s="22" t="n"/>
      <c r="D200" s="22" t="n"/>
      <c r="E200" s="22" t="n"/>
      <c r="F200" s="22" t="n"/>
      <c r="G200" s="22" t="n"/>
      <c r="H200" s="22" t="n"/>
    </row>
    <row r="201">
      <c r="A201" s="22" t="n"/>
      <c r="B201" s="22" t="n"/>
      <c r="C201" s="22" t="n"/>
      <c r="D201" s="22" t="n"/>
      <c r="E201" s="22" t="n"/>
      <c r="F201" s="22" t="n"/>
      <c r="G201" s="22" t="n"/>
      <c r="H201" s="22" t="n"/>
    </row>
    <row r="202">
      <c r="A202" s="22" t="n"/>
      <c r="B202" s="22" t="n"/>
      <c r="C202" s="22" t="n"/>
      <c r="D202" s="22" t="n"/>
      <c r="E202" s="22" t="n"/>
      <c r="F202" s="22" t="n"/>
      <c r="G202" s="22" t="n"/>
      <c r="H202" s="22" t="n"/>
    </row>
    <row r="203">
      <c r="A203" s="22" t="n"/>
      <c r="B203" s="22" t="n"/>
      <c r="C203" s="22" t="n"/>
      <c r="D203" s="22" t="n"/>
      <c r="E203" s="22" t="n"/>
      <c r="F203" s="22" t="n"/>
      <c r="G203" s="22" t="n"/>
      <c r="H203" s="22" t="n"/>
    </row>
    <row r="204">
      <c r="A204" s="22" t="n"/>
      <c r="B204" s="22" t="n"/>
      <c r="C204" s="22" t="n"/>
      <c r="D204" s="22" t="n"/>
      <c r="E204" s="22" t="n"/>
      <c r="F204" s="22" t="n"/>
      <c r="G204" s="22" t="n"/>
      <c r="H204" s="22" t="n"/>
    </row>
    <row r="205">
      <c r="A205" s="22" t="n"/>
      <c r="B205" s="22" t="n"/>
      <c r="C205" s="22" t="n"/>
      <c r="D205" s="22" t="n"/>
      <c r="E205" s="22" t="n"/>
      <c r="F205" s="22" t="n"/>
      <c r="G205" s="22" t="n"/>
      <c r="H205" s="22" t="n"/>
    </row>
    <row r="206">
      <c r="A206" s="22" t="n"/>
      <c r="B206" s="22" t="n"/>
      <c r="C206" s="22" t="n"/>
      <c r="D206" s="22" t="n"/>
      <c r="E206" s="22" t="n"/>
      <c r="F206" s="22" t="n"/>
      <c r="G206" s="22" t="n"/>
      <c r="H206" s="22" t="n"/>
    </row>
    <row r="207">
      <c r="A207" s="22" t="n"/>
      <c r="B207" s="22" t="n"/>
      <c r="C207" s="22" t="n"/>
      <c r="D207" s="22" t="n"/>
      <c r="E207" s="22" t="n"/>
      <c r="F207" s="22" t="n"/>
      <c r="G207" s="22" t="n"/>
      <c r="H207" s="22" t="n"/>
    </row>
    <row r="208">
      <c r="A208" s="22" t="n"/>
      <c r="B208" s="22" t="n"/>
      <c r="C208" s="22" t="n"/>
      <c r="D208" s="22" t="n"/>
      <c r="E208" s="22" t="n"/>
      <c r="F208" s="22" t="n"/>
      <c r="G208" s="22" t="n"/>
      <c r="H208" s="22" t="n"/>
    </row>
    <row r="209">
      <c r="A209" s="22" t="n"/>
      <c r="B209" s="22" t="n"/>
      <c r="C209" s="22" t="n"/>
      <c r="D209" s="22" t="n"/>
      <c r="E209" s="22" t="n"/>
      <c r="F209" s="22" t="n"/>
      <c r="G209" s="22" t="n"/>
      <c r="H209" s="22" t="n"/>
    </row>
    <row r="210">
      <c r="A210" s="22" t="n"/>
      <c r="B210" s="22" t="n"/>
      <c r="C210" s="22" t="n"/>
      <c r="D210" s="22" t="n"/>
      <c r="E210" s="22" t="n"/>
      <c r="F210" s="22" t="n"/>
      <c r="G210" s="22" t="n"/>
      <c r="H210" s="22" t="n"/>
    </row>
    <row r="211">
      <c r="A211" s="22" t="n"/>
      <c r="B211" s="22" t="n"/>
      <c r="C211" s="22" t="n"/>
      <c r="D211" s="22" t="n"/>
      <c r="E211" s="22" t="n"/>
      <c r="F211" s="22" t="n"/>
      <c r="G211" s="22" t="n"/>
      <c r="H211" s="22" t="n"/>
    </row>
    <row r="212">
      <c r="A212" s="22" t="n"/>
      <c r="B212" s="22" t="n"/>
      <c r="C212" s="22" t="n"/>
      <c r="D212" s="22" t="n"/>
      <c r="E212" s="22" t="n"/>
      <c r="F212" s="22" t="n"/>
      <c r="G212" s="22" t="n"/>
      <c r="H212" s="22" t="n"/>
    </row>
    <row r="213">
      <c r="A213" s="22" t="n"/>
      <c r="B213" s="22" t="n"/>
      <c r="C213" s="22" t="n"/>
      <c r="D213" s="22" t="n"/>
      <c r="E213" s="22" t="n"/>
      <c r="F213" s="22" t="n"/>
      <c r="G213" s="22" t="n"/>
      <c r="H213" s="22" t="n"/>
    </row>
    <row r="214">
      <c r="A214" s="22" t="n"/>
      <c r="B214" s="22" t="n"/>
      <c r="C214" s="22" t="n"/>
      <c r="D214" s="22" t="n"/>
      <c r="E214" s="22" t="n"/>
      <c r="F214" s="22" t="n"/>
      <c r="G214" s="22" t="n"/>
      <c r="H214" s="22" t="n"/>
    </row>
    <row r="215">
      <c r="A215" s="22" t="n"/>
      <c r="B215" s="22" t="n"/>
      <c r="C215" s="22" t="n"/>
      <c r="D215" s="22" t="n"/>
      <c r="E215" s="22" t="n"/>
      <c r="F215" s="22" t="n"/>
      <c r="G215" s="22" t="n"/>
      <c r="H215" s="22" t="n"/>
    </row>
    <row r="216">
      <c r="A216" s="22" t="n"/>
      <c r="B216" s="22" t="n"/>
      <c r="C216" s="22" t="n"/>
      <c r="D216" s="22" t="n"/>
      <c r="E216" s="22" t="n"/>
      <c r="F216" s="22" t="n"/>
      <c r="G216" s="22" t="n"/>
      <c r="H216" s="22" t="n"/>
    </row>
    <row r="217">
      <c r="A217" s="22" t="n"/>
      <c r="B217" s="22" t="n"/>
      <c r="C217" s="22" t="n"/>
      <c r="D217" s="22" t="n"/>
      <c r="E217" s="22" t="n"/>
      <c r="F217" s="22" t="n"/>
      <c r="G217" s="22" t="n"/>
      <c r="H217" s="22" t="n"/>
    </row>
    <row r="218">
      <c r="A218" s="22" t="n"/>
      <c r="B218" s="22" t="n"/>
      <c r="C218" s="22" t="n"/>
      <c r="D218" s="22" t="n"/>
      <c r="E218" s="22" t="n"/>
      <c r="F218" s="22" t="n"/>
      <c r="G218" s="22" t="n"/>
      <c r="H218" s="22" t="n"/>
    </row>
    <row r="219">
      <c r="A219" s="22" t="n"/>
      <c r="B219" s="22" t="n"/>
      <c r="C219" s="22" t="n"/>
      <c r="D219" s="22" t="n"/>
      <c r="E219" s="22" t="n"/>
      <c r="F219" s="22" t="n"/>
      <c r="G219" s="22" t="n"/>
      <c r="H219" s="22" t="n"/>
    </row>
    <row r="220">
      <c r="A220" s="22" t="n"/>
      <c r="B220" s="22" t="n"/>
      <c r="C220" s="22" t="n"/>
      <c r="D220" s="22" t="n"/>
      <c r="E220" s="22" t="n"/>
      <c r="F220" s="22" t="n"/>
      <c r="G220" s="22" t="n"/>
      <c r="H220" s="22" t="n"/>
    </row>
    <row r="221">
      <c r="A221" s="22" t="n"/>
      <c r="B221" s="22" t="n"/>
      <c r="C221" s="22" t="n"/>
      <c r="D221" s="22" t="n"/>
      <c r="E221" s="22" t="n"/>
      <c r="F221" s="22" t="n"/>
      <c r="G221" s="22" t="n"/>
      <c r="H221" s="22" t="n"/>
    </row>
    <row r="222">
      <c r="A222" s="22" t="n"/>
      <c r="B222" s="22" t="n"/>
      <c r="C222" s="22" t="n"/>
      <c r="D222" s="22" t="n"/>
      <c r="E222" s="22" t="n"/>
      <c r="F222" s="22" t="n"/>
      <c r="G222" s="22" t="n"/>
      <c r="H222" s="22" t="n"/>
    </row>
    <row r="223">
      <c r="A223" s="22" t="n"/>
      <c r="B223" s="22" t="n"/>
      <c r="C223" s="22" t="n"/>
      <c r="D223" s="22" t="n"/>
      <c r="E223" s="22" t="n"/>
      <c r="F223" s="22" t="n"/>
      <c r="G223" s="22" t="n"/>
      <c r="H223" s="22" t="n"/>
    </row>
    <row r="224">
      <c r="A224" s="22" t="n"/>
      <c r="B224" s="22" t="n"/>
      <c r="C224" s="22" t="n"/>
      <c r="D224" s="22" t="n"/>
      <c r="E224" s="22" t="n"/>
      <c r="F224" s="22" t="n"/>
      <c r="G224" s="22" t="n"/>
      <c r="H224" s="22" t="n"/>
    </row>
    <row r="225">
      <c r="A225" s="22" t="n"/>
      <c r="B225" s="22" t="n"/>
      <c r="C225" s="22" t="n"/>
      <c r="D225" s="22" t="n"/>
      <c r="E225" s="22" t="n"/>
      <c r="F225" s="22" t="n"/>
      <c r="G225" s="22" t="n"/>
      <c r="H225" s="22" t="n"/>
    </row>
    <row r="226">
      <c r="A226" s="22" t="n"/>
      <c r="B226" s="22" t="n"/>
      <c r="C226" s="22" t="n"/>
      <c r="D226" s="22" t="n"/>
      <c r="E226" s="22" t="n"/>
      <c r="F226" s="22" t="n"/>
      <c r="G226" s="22" t="n"/>
      <c r="H226" s="22" t="n"/>
    </row>
    <row r="227">
      <c r="A227" s="22" t="n"/>
      <c r="B227" s="22" t="n"/>
      <c r="C227" s="22" t="n"/>
      <c r="D227" s="22" t="n"/>
      <c r="E227" s="22" t="n"/>
      <c r="F227" s="22" t="n"/>
      <c r="G227" s="22" t="n"/>
      <c r="H227" s="22" t="n"/>
    </row>
    <row r="228">
      <c r="A228" s="22" t="n"/>
      <c r="B228" s="22" t="n"/>
      <c r="C228" s="22" t="n"/>
      <c r="D228" s="22" t="n"/>
      <c r="E228" s="22" t="n"/>
      <c r="F228" s="22" t="n"/>
      <c r="G228" s="22" t="n"/>
      <c r="H228" s="22" t="n"/>
    </row>
    <row r="229">
      <c r="A229" s="22" t="n"/>
      <c r="B229" s="22" t="n"/>
      <c r="C229" s="22" t="n"/>
      <c r="D229" s="22" t="n"/>
      <c r="E229" s="22" t="n"/>
      <c r="F229" s="22" t="n"/>
      <c r="G229" s="22" t="n"/>
      <c r="H229" s="22" t="n"/>
    </row>
    <row r="230">
      <c r="A230" s="22" t="n"/>
      <c r="B230" s="22" t="n"/>
      <c r="C230" s="22" t="n"/>
      <c r="D230" s="22" t="n"/>
      <c r="E230" s="22" t="n"/>
      <c r="F230" s="22" t="n"/>
      <c r="G230" s="22" t="n"/>
      <c r="H230" s="22" t="n"/>
    </row>
    <row r="231">
      <c r="A231" s="22" t="n"/>
      <c r="B231" s="22" t="n"/>
      <c r="C231" s="22" t="n"/>
      <c r="D231" s="22" t="n"/>
      <c r="E231" s="22" t="n"/>
      <c r="F231" s="22" t="n"/>
      <c r="G231" s="22" t="n"/>
      <c r="H231" s="22" t="n"/>
    </row>
    <row r="232">
      <c r="A232" s="22" t="n"/>
      <c r="B232" s="22" t="n"/>
      <c r="C232" s="22" t="n"/>
      <c r="D232" s="22" t="n"/>
      <c r="E232" s="22" t="n"/>
      <c r="F232" s="22" t="n"/>
      <c r="G232" s="22" t="n"/>
      <c r="H232" s="22" t="n"/>
    </row>
    <row r="233">
      <c r="A233" s="22" t="n"/>
      <c r="B233" s="22" t="n"/>
      <c r="C233" s="22" t="n"/>
      <c r="D233" s="22" t="n"/>
      <c r="E233" s="22" t="n"/>
      <c r="F233" s="22" t="n"/>
      <c r="G233" s="22" t="n"/>
      <c r="H233" s="22" t="n"/>
    </row>
    <row r="234">
      <c r="A234" s="22" t="n"/>
      <c r="B234" s="22" t="n"/>
      <c r="C234" s="22" t="n"/>
      <c r="D234" s="22" t="n"/>
      <c r="E234" s="22" t="n"/>
      <c r="F234" s="22" t="n"/>
      <c r="G234" s="22" t="n"/>
      <c r="H234" s="22" t="n"/>
    </row>
    <row r="235">
      <c r="A235" s="22" t="n"/>
      <c r="B235" s="22" t="n"/>
      <c r="C235" s="22" t="n"/>
      <c r="D235" s="22" t="n"/>
      <c r="E235" s="22" t="n"/>
      <c r="F235" s="22" t="n"/>
      <c r="G235" s="22" t="n"/>
      <c r="H235" s="22" t="n"/>
    </row>
    <row r="236">
      <c r="A236" s="22" t="n"/>
      <c r="B236" s="22" t="n"/>
      <c r="C236" s="22" t="n"/>
      <c r="D236" s="22" t="n"/>
      <c r="E236" s="22" t="n"/>
      <c r="F236" s="22" t="n"/>
      <c r="G236" s="22" t="n"/>
      <c r="H236" s="22" t="n"/>
    </row>
    <row r="237">
      <c r="A237" s="22" t="n"/>
      <c r="B237" s="22" t="n"/>
      <c r="C237" s="22" t="n"/>
      <c r="D237" s="22" t="n"/>
      <c r="E237" s="22" t="n"/>
      <c r="F237" s="22" t="n"/>
      <c r="G237" s="22" t="n"/>
      <c r="H237" s="22" t="n"/>
    </row>
    <row r="238">
      <c r="A238" s="22" t="n"/>
      <c r="B238" s="22" t="n"/>
      <c r="C238" s="22" t="n"/>
      <c r="D238" s="22" t="n"/>
      <c r="E238" s="22" t="n"/>
      <c r="F238" s="22" t="n"/>
      <c r="G238" s="22" t="n"/>
      <c r="H238" s="22" t="n"/>
    </row>
    <row r="239">
      <c r="A239" s="22" t="n"/>
      <c r="B239" s="22" t="n"/>
      <c r="C239" s="22" t="n"/>
      <c r="D239" s="22" t="n"/>
      <c r="E239" s="22" t="n"/>
      <c r="F239" s="22" t="n"/>
      <c r="G239" s="22" t="n"/>
      <c r="H239" s="22" t="n"/>
    </row>
    <row r="240">
      <c r="A240" s="22" t="n"/>
      <c r="B240" s="22" t="n"/>
      <c r="C240" s="22" t="n"/>
      <c r="D240" s="22" t="n"/>
      <c r="E240" s="22" t="n"/>
      <c r="F240" s="22" t="n"/>
      <c r="G240" s="22" t="n"/>
      <c r="H240" s="22" t="n"/>
    </row>
    <row r="241">
      <c r="A241" s="22" t="n"/>
      <c r="B241" s="22" t="n"/>
      <c r="C241" s="22" t="n"/>
      <c r="D241" s="22" t="n"/>
      <c r="E241" s="22" t="n"/>
      <c r="F241" s="22" t="n"/>
      <c r="G241" s="22" t="n"/>
      <c r="H241" s="22" t="n"/>
    </row>
    <row r="242">
      <c r="A242" s="22" t="n"/>
      <c r="B242" s="22" t="n"/>
      <c r="C242" s="22" t="n"/>
      <c r="D242" s="22" t="n"/>
      <c r="E242" s="22" t="n"/>
      <c r="F242" s="22" t="n"/>
      <c r="G242" s="22" t="n"/>
      <c r="H242" s="22" t="n"/>
    </row>
    <row r="243">
      <c r="A243" s="22" t="n"/>
      <c r="B243" s="22" t="n"/>
      <c r="C243" s="22" t="n"/>
      <c r="D243" s="22" t="n"/>
      <c r="E243" s="22" t="n"/>
      <c r="F243" s="22" t="n"/>
      <c r="G243" s="22" t="n"/>
      <c r="H243" s="22" t="n"/>
    </row>
    <row r="244">
      <c r="A244" s="22" t="n"/>
      <c r="B244" s="22" t="n"/>
      <c r="C244" s="22" t="n"/>
      <c r="D244" s="22" t="n"/>
      <c r="E244" s="22" t="n"/>
      <c r="F244" s="22" t="n"/>
      <c r="G244" s="22" t="n"/>
      <c r="H244" s="22" t="n"/>
    </row>
    <row r="245">
      <c r="A245" s="22" t="n"/>
      <c r="B245" s="22" t="n"/>
      <c r="C245" s="22" t="n"/>
      <c r="D245" s="22" t="n"/>
      <c r="E245" s="22" t="n"/>
      <c r="F245" s="22" t="n"/>
      <c r="G245" s="22" t="n"/>
      <c r="H245" s="22" t="n"/>
    </row>
    <row r="246">
      <c r="A246" s="22" t="n"/>
      <c r="B246" s="22" t="n"/>
      <c r="C246" s="22" t="n"/>
      <c r="D246" s="22" t="n"/>
      <c r="E246" s="22" t="n"/>
      <c r="F246" s="22" t="n"/>
      <c r="G246" s="22" t="n"/>
      <c r="H246" s="22" t="n"/>
    </row>
    <row r="247">
      <c r="A247" s="22" t="n"/>
      <c r="B247" s="22" t="n"/>
      <c r="C247" s="22" t="n"/>
      <c r="D247" s="22" t="n"/>
      <c r="E247" s="22" t="n"/>
      <c r="F247" s="22" t="n"/>
      <c r="G247" s="22" t="n"/>
      <c r="H247" s="22" t="n"/>
    </row>
    <row r="248">
      <c r="A248" s="22" t="n"/>
      <c r="B248" s="22" t="n"/>
      <c r="C248" s="22" t="n"/>
      <c r="D248" s="22" t="n"/>
      <c r="E248" s="22" t="n"/>
      <c r="F248" s="22" t="n"/>
      <c r="G248" s="22" t="n"/>
      <c r="H248" s="22" t="n"/>
    </row>
    <row r="249">
      <c r="A249" s="22" t="n"/>
      <c r="B249" s="22" t="n"/>
      <c r="C249" s="22" t="n"/>
      <c r="D249" s="22" t="n"/>
      <c r="E249" s="22" t="n"/>
      <c r="F249" s="22" t="n"/>
      <c r="G249" s="22" t="n"/>
      <c r="H249" s="22" t="n"/>
    </row>
    <row r="250">
      <c r="A250" s="22" t="n"/>
      <c r="B250" s="22" t="n"/>
      <c r="C250" s="22" t="n"/>
      <c r="D250" s="22" t="n"/>
      <c r="E250" s="22" t="n"/>
      <c r="F250" s="22" t="n"/>
      <c r="G250" s="22" t="n"/>
      <c r="H250" s="22" t="n"/>
    </row>
    <row r="251">
      <c r="A251" s="22" t="n"/>
      <c r="B251" s="22" t="n"/>
      <c r="C251" s="22" t="n"/>
      <c r="D251" s="22" t="n"/>
      <c r="E251" s="22" t="n"/>
      <c r="F251" s="22" t="n"/>
      <c r="G251" s="22" t="n"/>
      <c r="H251" s="22" t="n"/>
    </row>
    <row r="252">
      <c r="A252" s="22" t="n"/>
      <c r="B252" s="22" t="n"/>
      <c r="C252" s="22" t="n"/>
      <c r="D252" s="22" t="n"/>
      <c r="E252" s="22" t="n"/>
      <c r="F252" s="22" t="n"/>
      <c r="G252" s="22" t="n"/>
      <c r="H252" s="22" t="n"/>
    </row>
    <row r="253">
      <c r="A253" s="22" t="n"/>
      <c r="B253" s="22" t="n"/>
      <c r="C253" s="22" t="n"/>
      <c r="D253" s="22" t="n"/>
      <c r="E253" s="22" t="n"/>
      <c r="F253" s="22" t="n"/>
      <c r="G253" s="22" t="n"/>
      <c r="H253" s="22" t="n"/>
    </row>
    <row r="254">
      <c r="A254" s="22" t="n"/>
      <c r="B254" s="22" t="n"/>
      <c r="C254" s="22" t="n"/>
      <c r="D254" s="22" t="n"/>
      <c r="E254" s="22" t="n"/>
      <c r="F254" s="22" t="n"/>
      <c r="G254" s="22" t="n"/>
      <c r="H254" s="22" t="n"/>
    </row>
    <row r="255">
      <c r="A255" s="22" t="n"/>
      <c r="B255" s="22" t="n"/>
      <c r="C255" s="22" t="n"/>
      <c r="D255" s="22" t="n"/>
      <c r="E255" s="22" t="n"/>
      <c r="F255" s="22" t="n"/>
      <c r="G255" s="22" t="n"/>
      <c r="H255" s="22" t="n"/>
    </row>
    <row r="256">
      <c r="A256" s="22" t="n"/>
      <c r="B256" s="22" t="n"/>
      <c r="C256" s="22" t="n"/>
      <c r="D256" s="22" t="n"/>
      <c r="E256" s="22" t="n"/>
      <c r="F256" s="22" t="n"/>
      <c r="G256" s="22" t="n"/>
      <c r="H256" s="22" t="n"/>
    </row>
    <row r="257">
      <c r="A257" s="22" t="n"/>
      <c r="B257" s="22" t="n"/>
      <c r="C257" s="22" t="n"/>
      <c r="D257" s="22" t="n"/>
      <c r="E257" s="22" t="n"/>
      <c r="F257" s="22" t="n"/>
      <c r="G257" s="22" t="n"/>
      <c r="H257" s="22" t="n"/>
    </row>
    <row r="258">
      <c r="A258" s="22" t="n"/>
      <c r="B258" s="22" t="n"/>
      <c r="C258" s="22" t="n"/>
      <c r="D258" s="22" t="n"/>
      <c r="E258" s="22" t="n"/>
      <c r="F258" s="22" t="n"/>
      <c r="G258" s="22" t="n"/>
      <c r="H258" s="22" t="n"/>
    </row>
    <row r="259">
      <c r="A259" s="22" t="n"/>
      <c r="B259" s="22" t="n"/>
      <c r="C259" s="22" t="n"/>
      <c r="D259" s="22" t="n"/>
      <c r="E259" s="22" t="n"/>
      <c r="F259" s="22" t="n"/>
      <c r="G259" s="22" t="n"/>
      <c r="H259" s="22" t="n"/>
    </row>
    <row r="261">
      <c r="A261" s="23" t="inlineStr">
        <is>
          <t>One row per dancer, Team as a column — replaces last year's eight per-team tabs. Captain? replaces the asterisk on the first name.</t>
        </is>
      </c>
    </row>
  </sheetData>
  <dataValidations count="3">
    <dataValidation sqref="C2:C259" showDropDown="0" showInputMessage="0" showErrorMessage="0" allowBlank="1" type="list">
      <formula1>=Teams!$B$2:$B$9</formula1>
    </dataValidation>
    <dataValidation sqref="F2:F259" showDropDown="0" showInputMessage="0" showErrorMessage="0" allowBlank="1" type="list">
      <formula1>"Yes,No"</formula1>
    </dataValidation>
    <dataValidation sqref="H2:H259" showDropDown="0" showInputMessage="0" showErrorMessage="0" allowBlank="1" type="list">
      <formula1>"XS,S,M,L,XL,XXL"</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K13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s>
  <sheetData>
    <row r="1">
      <c r="A1" s="18" t="inlineStr">
        <is>
          <t>Group</t>
        </is>
      </c>
      <c r="B1" s="18" t="inlineStr">
        <is>
          <t>Name</t>
        </is>
      </c>
      <c r="C1" s="18" t="inlineStr">
        <is>
          <t>ID</t>
        </is>
      </c>
      <c r="D1" s="28">
        <f>Instructions!$C$14-1</f>
        <v/>
      </c>
      <c r="E1" s="29" t="n"/>
      <c r="F1" s="29" t="n"/>
      <c r="G1" s="29" t="n"/>
      <c r="H1" s="29" t="n"/>
      <c r="I1" s="29" t="n"/>
      <c r="J1" s="29" t="n"/>
      <c r="K1" s="29" t="n"/>
      <c r="L1" s="29" t="n"/>
      <c r="M1" s="29" t="n"/>
      <c r="N1" s="29" t="n"/>
      <c r="O1" s="29" t="n"/>
      <c r="P1" s="29" t="n"/>
      <c r="Q1" s="29" t="n"/>
      <c r="R1" s="29" t="n"/>
      <c r="S1" s="29" t="n"/>
      <c r="T1" s="29" t="n"/>
      <c r="U1" s="29" t="n"/>
      <c r="V1" s="29" t="n"/>
      <c r="W1" s="29" t="n"/>
      <c r="X1" s="29" t="n"/>
      <c r="Y1" s="29" t="n"/>
      <c r="Z1" s="29" t="n"/>
      <c r="AA1" s="29" t="n"/>
      <c r="AB1" s="29" t="n"/>
      <c r="AC1" s="29" t="n"/>
      <c r="AD1" s="29" t="n"/>
      <c r="AE1" s="29" t="n"/>
      <c r="AF1" s="29" t="n"/>
      <c r="AG1" s="29" t="n"/>
      <c r="AH1" s="29" t="n"/>
      <c r="AI1" s="29" t="n"/>
      <c r="AJ1" s="29" t="n"/>
      <c r="AK1" s="29" t="n"/>
      <c r="AL1" s="29" t="n"/>
      <c r="AM1" s="29" t="n"/>
      <c r="AN1" s="29" t="n"/>
      <c r="AO1" s="29" t="n"/>
      <c r="AP1" s="29" t="n"/>
      <c r="AQ1" s="29" t="n"/>
      <c r="AR1" s="29" t="n"/>
      <c r="AS1" s="29" t="n"/>
      <c r="AT1" s="29" t="n"/>
      <c r="AU1" s="29" t="n"/>
      <c r="AV1" s="29" t="n"/>
      <c r="AW1" s="29" t="n"/>
      <c r="AX1" s="29" t="n"/>
      <c r="AY1" s="29" t="n"/>
      <c r="AZ1" s="28">
        <f>Instructions!$C$14</f>
        <v/>
      </c>
      <c r="BA1" s="29" t="n"/>
      <c r="BB1" s="29" t="n"/>
      <c r="BC1" s="29" t="n"/>
      <c r="BD1" s="29" t="n"/>
      <c r="BE1" s="29" t="n"/>
      <c r="BF1" s="29" t="n"/>
      <c r="BG1" s="29" t="n"/>
      <c r="BH1" s="29" t="n"/>
      <c r="BI1" s="29" t="n"/>
      <c r="BJ1" s="29" t="n"/>
      <c r="BK1" s="29" t="n"/>
    </row>
    <row r="2" ht="58" customHeight="1">
      <c r="A2" s="30" t="n"/>
      <c r="B2" s="30" t="n"/>
      <c r="C2" s="30" t="n"/>
      <c r="D2" s="31" t="n">
        <v>0.5</v>
      </c>
      <c r="E2" s="31" t="n">
        <v>0.5104166666666666</v>
      </c>
      <c r="F2" s="31" t="n">
        <v>0.5208333333333334</v>
      </c>
      <c r="G2" s="31" t="n">
        <v>0.53125</v>
      </c>
      <c r="H2" s="31" t="n">
        <v>0.5416666666666666</v>
      </c>
      <c r="I2" s="31" t="n">
        <v>0.5520833333333334</v>
      </c>
      <c r="J2" s="31" t="n">
        <v>0.5625</v>
      </c>
      <c r="K2" s="31" t="n">
        <v>0.5729166666666666</v>
      </c>
      <c r="L2" s="31" t="n">
        <v>0.5833333333333334</v>
      </c>
      <c r="M2" s="31" t="n">
        <v>0.59375</v>
      </c>
      <c r="N2" s="31" t="n">
        <v>0.6041666666666666</v>
      </c>
      <c r="O2" s="31" t="n">
        <v>0.6145833333333334</v>
      </c>
      <c r="P2" s="31" t="n">
        <v>0.625</v>
      </c>
      <c r="Q2" s="31" t="n">
        <v>0.6354166666666666</v>
      </c>
      <c r="R2" s="31" t="n">
        <v>0.6458333333333334</v>
      </c>
      <c r="S2" s="31" t="n">
        <v>0.65625</v>
      </c>
      <c r="T2" s="31" t="n">
        <v>0.6666666666666666</v>
      </c>
      <c r="U2" s="31" t="n">
        <v>0.6770833333333334</v>
      </c>
      <c r="V2" s="31" t="n">
        <v>0.6875</v>
      </c>
      <c r="W2" s="31" t="n">
        <v>0.6979166666666666</v>
      </c>
      <c r="X2" s="31" t="n">
        <v>0.7083333333333334</v>
      </c>
      <c r="Y2" s="31" t="n">
        <v>0.71875</v>
      </c>
      <c r="Z2" s="31" t="n">
        <v>0.7291666666666666</v>
      </c>
      <c r="AA2" s="31" t="n">
        <v>0.7395833333333334</v>
      </c>
      <c r="AB2" s="31" t="n">
        <v>0.75</v>
      </c>
      <c r="AC2" s="31" t="n">
        <v>0.7604166666666666</v>
      </c>
      <c r="AD2" s="31" t="n">
        <v>0.7708333333333334</v>
      </c>
      <c r="AE2" s="31" t="n">
        <v>0.78125</v>
      </c>
      <c r="AF2" s="31" t="n">
        <v>0.7916666666666666</v>
      </c>
      <c r="AG2" s="31" t="n">
        <v>0.8020833333333334</v>
      </c>
      <c r="AH2" s="31" t="n">
        <v>0.8125</v>
      </c>
      <c r="AI2" s="31" t="n">
        <v>0.8229166666666666</v>
      </c>
      <c r="AJ2" s="31" t="n">
        <v>0.8333333333333334</v>
      </c>
      <c r="AK2" s="31" t="n">
        <v>0.84375</v>
      </c>
      <c r="AL2" s="31" t="n">
        <v>0.8541666666666666</v>
      </c>
      <c r="AM2" s="31" t="n">
        <v>0.8645833333333334</v>
      </c>
      <c r="AN2" s="31" t="n">
        <v>0.875</v>
      </c>
      <c r="AO2" s="31" t="n">
        <v>0.8854166666666666</v>
      </c>
      <c r="AP2" s="31" t="n">
        <v>0.8958333333333334</v>
      </c>
      <c r="AQ2" s="31" t="n">
        <v>0.90625</v>
      </c>
      <c r="AR2" s="31" t="n">
        <v>0.9166666666666666</v>
      </c>
      <c r="AS2" s="31" t="n">
        <v>0.9270833333333334</v>
      </c>
      <c r="AT2" s="31" t="n">
        <v>0.9375</v>
      </c>
      <c r="AU2" s="31" t="n">
        <v>0.9479166666666666</v>
      </c>
      <c r="AV2" s="31" t="n">
        <v>0.9583333333333334</v>
      </c>
      <c r="AW2" s="31" t="n">
        <v>0.96875</v>
      </c>
      <c r="AX2" s="31" t="n">
        <v>0.9791666666666666</v>
      </c>
      <c r="AY2" s="31" t="n">
        <v>0.9895833333333334</v>
      </c>
      <c r="AZ2" s="31" t="n">
        <v>0</v>
      </c>
      <c r="BA2" s="31" t="n">
        <v>0.01041666666666667</v>
      </c>
      <c r="BB2" s="31" t="n">
        <v>0.02083333333333333</v>
      </c>
      <c r="BC2" s="31" t="n">
        <v>0.03125</v>
      </c>
      <c r="BD2" s="31" t="n">
        <v>0.04166666666666666</v>
      </c>
      <c r="BE2" s="31" t="n">
        <v>0.05208333333333334</v>
      </c>
      <c r="BF2" s="31" t="n">
        <v>0.0625</v>
      </c>
      <c r="BG2" s="31" t="n">
        <v>0.07291666666666667</v>
      </c>
      <c r="BH2" s="31" t="n">
        <v>0.08333333333333333</v>
      </c>
      <c r="BI2" s="31" t="n">
        <v>0.09375</v>
      </c>
      <c r="BJ2" s="31" t="n">
        <v>0.1041666666666667</v>
      </c>
      <c r="BK2" s="31" t="n">
        <v>0.1145833333333333</v>
      </c>
    </row>
    <row r="3" ht="18" customHeight="1">
      <c r="A3" s="32" t="inlineStr">
        <is>
          <t>BOARD MEMBERS</t>
        </is>
      </c>
      <c r="B3" s="33" t="n"/>
      <c r="C3" s="33" t="n"/>
      <c r="D3" s="33" t="n"/>
      <c r="E3" s="33" t="n"/>
      <c r="F3" s="33" t="n"/>
      <c r="G3" s="33" t="n"/>
      <c r="H3" s="33" t="n"/>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3" t="n"/>
      <c r="AV3" s="33" t="n"/>
      <c r="AW3" s="33" t="n"/>
      <c r="AX3" s="33" t="n"/>
      <c r="AY3" s="33" t="n"/>
      <c r="AZ3" s="33" t="n"/>
      <c r="BA3" s="33" t="n"/>
      <c r="BB3" s="33" t="n"/>
      <c r="BC3" s="33" t="n"/>
      <c r="BD3" s="33" t="n"/>
      <c r="BE3" s="33" t="n"/>
      <c r="BF3" s="33" t="n"/>
      <c r="BG3" s="33" t="n"/>
      <c r="BH3" s="33" t="n"/>
      <c r="BI3" s="33" t="n"/>
      <c r="BJ3" s="33" t="n"/>
      <c r="BK3" s="34" t="n"/>
    </row>
    <row r="4" ht="34" customHeight="1">
      <c r="A4" s="16" t="inlineStr">
        <is>
          <t>Directors</t>
        </is>
      </c>
      <c r="B4" s="35" t="inlineStr"/>
      <c r="C4" s="26">
        <f>IF(TRIM($B4)="","",IFERROR(INDEX(People!$A$2:$A$199,MATCH(TRIM($B4),People!$B$2:$B$199,0)),IFERROR(INDEX(Teams!$A$2:$A$9,MATCH(TRIM($B4),Teams!$B$2:$B$9,0)),"?? CHECK NAME")))</f>
        <v/>
      </c>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6" t="n"/>
      <c r="AV4" s="36" t="n"/>
      <c r="AW4" s="36" t="n"/>
      <c r="AX4" s="36" t="n"/>
      <c r="AY4" s="36" t="n"/>
      <c r="AZ4" s="36" t="n"/>
      <c r="BA4" s="36" t="n"/>
      <c r="BB4" s="36" t="n"/>
      <c r="BC4" s="36" t="n"/>
      <c r="BD4" s="36" t="n"/>
      <c r="BE4" s="36" t="n"/>
      <c r="BF4" s="36" t="n"/>
      <c r="BG4" s="36" t="n"/>
      <c r="BH4" s="36" t="n"/>
      <c r="BI4" s="36" t="n"/>
      <c r="BJ4" s="36" t="n"/>
      <c r="BK4" s="36" t="n"/>
    </row>
    <row r="5" ht="34" customHeight="1">
      <c r="A5" s="37" t="n"/>
      <c r="B5" s="35" t="inlineStr"/>
      <c r="C5" s="26">
        <f>IF(TRIM($B5)="","",IFERROR(INDEX(People!$A$2:$A$199,MATCH(TRIM($B5),People!$B$2:$B$199,0)),IFERROR(INDEX(Teams!$A$2:$A$9,MATCH(TRIM($B5),Teams!$B$2:$B$9,0)),"?? CHECK NAME")))</f>
        <v/>
      </c>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c r="AA5" s="36" t="n"/>
      <c r="AB5" s="36" t="n"/>
      <c r="AC5" s="36" t="n"/>
      <c r="AD5" s="36" t="n"/>
      <c r="AE5" s="36" t="n"/>
      <c r="AF5" s="36" t="n"/>
      <c r="AG5" s="36" t="n"/>
      <c r="AH5" s="36" t="n"/>
      <c r="AI5" s="36" t="n"/>
      <c r="AJ5" s="36" t="n"/>
      <c r="AK5" s="36" t="n"/>
      <c r="AL5" s="36" t="n"/>
      <c r="AM5" s="36" t="n"/>
      <c r="AN5" s="36" t="n"/>
      <c r="AO5" s="36" t="n"/>
      <c r="AP5" s="36" t="n"/>
      <c r="AQ5" s="36" t="n"/>
      <c r="AR5" s="36" t="n"/>
      <c r="AS5" s="36" t="n"/>
      <c r="AT5" s="36" t="n"/>
      <c r="AU5" s="36" t="n"/>
      <c r="AV5" s="36" t="n"/>
      <c r="AW5" s="36" t="n"/>
      <c r="AX5" s="36" t="n"/>
      <c r="AY5" s="36" t="n"/>
      <c r="AZ5" s="36" t="n"/>
      <c r="BA5" s="36" t="n"/>
      <c r="BB5" s="36" t="n"/>
      <c r="BC5" s="36" t="n"/>
      <c r="BD5" s="36" t="n"/>
      <c r="BE5" s="36" t="n"/>
      <c r="BF5" s="36" t="n"/>
      <c r="BG5" s="36" t="n"/>
      <c r="BH5" s="36" t="n"/>
      <c r="BI5" s="36" t="n"/>
      <c r="BJ5" s="36" t="n"/>
      <c r="BK5" s="36" t="n"/>
    </row>
    <row r="6" ht="34" customHeight="1">
      <c r="A6" s="37" t="n"/>
      <c r="B6" s="35" t="inlineStr"/>
      <c r="C6" s="26">
        <f>IF(TRIM($B6)="","",IFERROR(INDEX(People!$A$2:$A$199,MATCH(TRIM($B6),People!$B$2:$B$199,0)),IFERROR(INDEX(Teams!$A$2:$A$9,MATCH(TRIM($B6),Teams!$B$2:$B$9,0)),"?? CHECK NAME")))</f>
        <v/>
      </c>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6" t="n"/>
      <c r="AO6" s="36" t="n"/>
      <c r="AP6" s="36" t="n"/>
      <c r="AQ6" s="36" t="n"/>
      <c r="AR6" s="36" t="n"/>
      <c r="AS6" s="36" t="n"/>
      <c r="AT6" s="36" t="n"/>
      <c r="AU6" s="36" t="n"/>
      <c r="AV6" s="36" t="n"/>
      <c r="AW6" s="36" t="n"/>
      <c r="AX6" s="36" t="n"/>
      <c r="AY6" s="36" t="n"/>
      <c r="AZ6" s="36" t="n"/>
      <c r="BA6" s="36" t="n"/>
      <c r="BB6" s="36" t="n"/>
      <c r="BC6" s="36" t="n"/>
      <c r="BD6" s="36" t="n"/>
      <c r="BE6" s="36" t="n"/>
      <c r="BF6" s="36" t="n"/>
      <c r="BG6" s="36" t="n"/>
      <c r="BH6" s="36" t="n"/>
      <c r="BI6" s="36" t="n"/>
      <c r="BJ6" s="36" t="n"/>
      <c r="BK6" s="36" t="n"/>
    </row>
    <row r="7" ht="34" customHeight="1">
      <c r="A7" s="37" t="n"/>
      <c r="B7" s="35" t="inlineStr"/>
      <c r="C7" s="26">
        <f>IF(TRIM($B7)="","",IFERROR(INDEX(People!$A$2:$A$199,MATCH(TRIM($B7),People!$B$2:$B$199,0)),IFERROR(INDEX(Teams!$A$2:$A$9,MATCH(TRIM($B7),Teams!$B$2:$B$9,0)),"?? CHECK NAME")))</f>
        <v/>
      </c>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6" t="n"/>
      <c r="AM7" s="36" t="n"/>
      <c r="AN7" s="36" t="n"/>
      <c r="AO7" s="36" t="n"/>
      <c r="AP7" s="36" t="n"/>
      <c r="AQ7" s="36" t="n"/>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row>
    <row r="8" ht="34" customHeight="1">
      <c r="A8" s="38" t="n"/>
      <c r="B8" s="35" t="inlineStr"/>
      <c r="C8" s="26">
        <f>IF(TRIM($B8)="","",IFERROR(INDEX(People!$A$2:$A$199,MATCH(TRIM($B8),People!$B$2:$B$199,0)),IFERROR(INDEX(Teams!$A$2:$A$9,MATCH(TRIM($B8),Teams!$B$2:$B$9,0)),"?? CHECK NAME")))</f>
        <v/>
      </c>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c r="AA8" s="36" t="n"/>
      <c r="AB8" s="36" t="n"/>
      <c r="AC8" s="36" t="n"/>
      <c r="AD8" s="36" t="n"/>
      <c r="AE8" s="36" t="n"/>
      <c r="AF8" s="36" t="n"/>
      <c r="AG8" s="36" t="n"/>
      <c r="AH8" s="36" t="n"/>
      <c r="AI8" s="36" t="n"/>
      <c r="AJ8" s="36" t="n"/>
      <c r="AK8" s="36" t="n"/>
      <c r="AL8" s="36" t="n"/>
      <c r="AM8" s="36" t="n"/>
      <c r="AN8" s="36" t="n"/>
      <c r="AO8" s="36" t="n"/>
      <c r="AP8" s="36" t="n"/>
      <c r="AQ8" s="36" t="n"/>
      <c r="AR8" s="36" t="n"/>
      <c r="AS8" s="36" t="n"/>
      <c r="AT8" s="36" t="n"/>
      <c r="AU8" s="36" t="n"/>
      <c r="AV8" s="36" t="n"/>
      <c r="AW8" s="36" t="n"/>
      <c r="AX8" s="36" t="n"/>
      <c r="AY8" s="36" t="n"/>
      <c r="AZ8" s="36" t="n"/>
      <c r="BA8" s="36" t="n"/>
      <c r="BB8" s="36" t="n"/>
      <c r="BC8" s="36" t="n"/>
      <c r="BD8" s="36" t="n"/>
      <c r="BE8" s="36" t="n"/>
      <c r="BF8" s="36" t="n"/>
      <c r="BG8" s="36" t="n"/>
      <c r="BH8" s="36" t="n"/>
      <c r="BI8" s="36" t="n"/>
      <c r="BJ8" s="36" t="n"/>
      <c r="BK8" s="36" t="n"/>
    </row>
    <row r="9" ht="34" customHeight="1">
      <c r="A9" s="16" t="inlineStr">
        <is>
          <t>Senior Advisors</t>
        </is>
      </c>
      <c r="B9" s="35" t="inlineStr"/>
      <c r="C9" s="26">
        <f>IF(TRIM($B9)="","",IFERROR(INDEX(People!$A$2:$A$199,MATCH(TRIM($B9),People!$B$2:$B$199,0)),IFERROR(INDEX(Teams!$A$2:$A$9,MATCH(TRIM($B9),Teams!$B$2:$B$9,0)),"?? CHECK NAME")))</f>
        <v/>
      </c>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36" t="n"/>
      <c r="AB9" s="36" t="n"/>
      <c r="AC9" s="36" t="n"/>
      <c r="AD9" s="36" t="n"/>
      <c r="AE9" s="36" t="n"/>
      <c r="AF9" s="36" t="n"/>
      <c r="AG9" s="36" t="n"/>
      <c r="AH9" s="36" t="n"/>
      <c r="AI9" s="36" t="n"/>
      <c r="AJ9" s="36" t="n"/>
      <c r="AK9" s="36" t="n"/>
      <c r="AL9" s="36" t="n"/>
      <c r="AM9" s="36" t="n"/>
      <c r="AN9" s="36" t="n"/>
      <c r="AO9" s="36" t="n"/>
      <c r="AP9" s="36" t="n"/>
      <c r="AQ9" s="36" t="n"/>
      <c r="AR9" s="36" t="n"/>
      <c r="AS9" s="36" t="n"/>
      <c r="AT9" s="36" t="n"/>
      <c r="AU9" s="36" t="n"/>
      <c r="AV9" s="36" t="n"/>
      <c r="AW9" s="36" t="n"/>
      <c r="AX9" s="36" t="n"/>
      <c r="AY9" s="36" t="n"/>
      <c r="AZ9" s="36" t="n"/>
      <c r="BA9" s="36" t="n"/>
      <c r="BB9" s="36" t="n"/>
      <c r="BC9" s="36" t="n"/>
      <c r="BD9" s="36" t="n"/>
      <c r="BE9" s="36" t="n"/>
      <c r="BF9" s="36" t="n"/>
      <c r="BG9" s="36" t="n"/>
      <c r="BH9" s="36" t="n"/>
      <c r="BI9" s="36" t="n"/>
      <c r="BJ9" s="36" t="n"/>
      <c r="BK9" s="36" t="n"/>
    </row>
    <row r="10" ht="34" customHeight="1">
      <c r="A10" s="37" t="n"/>
      <c r="B10" s="35" t="inlineStr"/>
      <c r="C10" s="26">
        <f>IF(TRIM($B10)="","",IFERROR(INDEX(People!$A$2:$A$199,MATCH(TRIM($B10),People!$B$2:$B$199,0)),IFERROR(INDEX(Teams!$A$2:$A$9,MATCH(TRIM($B10),Teams!$B$2:$B$9,0)),"?? CHECK NAME")))</f>
        <v/>
      </c>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6" t="n"/>
      <c r="BI10" s="36" t="n"/>
      <c r="BJ10" s="36" t="n"/>
      <c r="BK10" s="36" t="n"/>
    </row>
    <row r="11" ht="34" customHeight="1">
      <c r="A11" s="37" t="n"/>
      <c r="B11" s="35" t="inlineStr"/>
      <c r="C11" s="26">
        <f>IF(TRIM($B11)="","",IFERROR(INDEX(People!$A$2:$A$199,MATCH(TRIM($B11),People!$B$2:$B$199,0)),IFERROR(INDEX(Teams!$A$2:$A$9,MATCH(TRIM($B11),Teams!$B$2:$B$9,0)),"?? CHECK NAME")))</f>
        <v/>
      </c>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c r="AE11" s="36" t="n"/>
      <c r="AF11" s="36" t="n"/>
      <c r="AG11" s="36" t="n"/>
      <c r="AH11" s="36" t="n"/>
      <c r="AI11" s="36" t="n"/>
      <c r="AJ11" s="36" t="n"/>
      <c r="AK11" s="36" t="n"/>
      <c r="AL11" s="36" t="n"/>
      <c r="AM11" s="36" t="n"/>
      <c r="AN11" s="36" t="n"/>
      <c r="AO11" s="36" t="n"/>
      <c r="AP11" s="36" t="n"/>
      <c r="AQ11" s="36" t="n"/>
      <c r="AR11" s="36" t="n"/>
      <c r="AS11" s="36" t="n"/>
      <c r="AT11" s="36" t="n"/>
      <c r="AU11" s="36" t="n"/>
      <c r="AV11" s="36" t="n"/>
      <c r="AW11" s="36" t="n"/>
      <c r="AX11" s="36" t="n"/>
      <c r="AY11" s="36" t="n"/>
      <c r="AZ11" s="36" t="n"/>
      <c r="BA11" s="36" t="n"/>
      <c r="BB11" s="36" t="n"/>
      <c r="BC11" s="36" t="n"/>
      <c r="BD11" s="36" t="n"/>
      <c r="BE11" s="36" t="n"/>
      <c r="BF11" s="36" t="n"/>
      <c r="BG11" s="36" t="n"/>
      <c r="BH11" s="36" t="n"/>
      <c r="BI11" s="36" t="n"/>
      <c r="BJ11" s="36" t="n"/>
      <c r="BK11" s="36" t="n"/>
    </row>
    <row r="12" ht="34" customHeight="1">
      <c r="A12" s="37" t="n"/>
      <c r="B12" s="35" t="inlineStr"/>
      <c r="C12" s="26">
        <f>IF(TRIM($B12)="","",IFERROR(INDEX(People!$A$2:$A$199,MATCH(TRIM($B12),People!$B$2:$B$199,0)),IFERROR(INDEX(Teams!$A$2:$A$9,MATCH(TRIM($B12),Teams!$B$2:$B$9,0)),"?? CHECK NAME")))</f>
        <v/>
      </c>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c r="AO12" s="36" t="n"/>
      <c r="AP12" s="36" t="n"/>
      <c r="AQ12" s="36" t="n"/>
      <c r="AR12" s="36" t="n"/>
      <c r="AS12" s="36" t="n"/>
      <c r="AT12" s="36" t="n"/>
      <c r="AU12" s="36" t="n"/>
      <c r="AV12" s="36" t="n"/>
      <c r="AW12" s="36" t="n"/>
      <c r="AX12" s="36" t="n"/>
      <c r="AY12" s="36" t="n"/>
      <c r="AZ12" s="36" t="n"/>
      <c r="BA12" s="36" t="n"/>
      <c r="BB12" s="36" t="n"/>
      <c r="BC12" s="36" t="n"/>
      <c r="BD12" s="36" t="n"/>
      <c r="BE12" s="36" t="n"/>
      <c r="BF12" s="36" t="n"/>
      <c r="BG12" s="36" t="n"/>
      <c r="BH12" s="36" t="n"/>
      <c r="BI12" s="36" t="n"/>
      <c r="BJ12" s="36" t="n"/>
      <c r="BK12" s="36" t="n"/>
    </row>
    <row r="13" ht="34" customHeight="1">
      <c r="A13" s="38" t="n"/>
      <c r="B13" s="35" t="inlineStr"/>
      <c r="C13" s="26">
        <f>IF(TRIM($B13)="","",IFERROR(INDEX(People!$A$2:$A$199,MATCH(TRIM($B13),People!$B$2:$B$199,0)),IFERROR(INDEX(Teams!$A$2:$A$9,MATCH(TRIM($B13),Teams!$B$2:$B$9,0)),"?? CHECK NAME")))</f>
        <v/>
      </c>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c r="BK13" s="36" t="n"/>
    </row>
    <row r="14" ht="34" customHeight="1">
      <c r="A14" s="16" t="inlineStr">
        <is>
          <t>Logistics</t>
        </is>
      </c>
      <c r="B14" s="35" t="inlineStr"/>
      <c r="C14" s="26">
        <f>IF(TRIM($B14)="","",IFERROR(INDEX(People!$A$2:$A$199,MATCH(TRIM($B14),People!$B$2:$B$199,0)),IFERROR(INDEX(Teams!$A$2:$A$9,MATCH(TRIM($B14),Teams!$B$2:$B$9,0)),"?? CHECK NAME")))</f>
        <v/>
      </c>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c r="AC14" s="36" t="n"/>
      <c r="AD14" s="36" t="n"/>
      <c r="AE14" s="36" t="n"/>
      <c r="AF14" s="36" t="n"/>
      <c r="AG14" s="36" t="n"/>
      <c r="AH14" s="36" t="n"/>
      <c r="AI14" s="36" t="n"/>
      <c r="AJ14" s="36" t="n"/>
      <c r="AK14" s="36" t="n"/>
      <c r="AL14" s="36" t="n"/>
      <c r="AM14" s="36" t="n"/>
      <c r="AN14" s="36" t="n"/>
      <c r="AO14" s="36" t="n"/>
      <c r="AP14" s="36" t="n"/>
      <c r="AQ14" s="36" t="n"/>
      <c r="AR14" s="36" t="n"/>
      <c r="AS14" s="36" t="n"/>
      <c r="AT14" s="36" t="n"/>
      <c r="AU14" s="36" t="n"/>
      <c r="AV14" s="36" t="n"/>
      <c r="AW14" s="36" t="n"/>
      <c r="AX14" s="36" t="n"/>
      <c r="AY14" s="36" t="n"/>
      <c r="AZ14" s="36" t="n"/>
      <c r="BA14" s="36" t="n"/>
      <c r="BB14" s="36" t="n"/>
      <c r="BC14" s="36" t="n"/>
      <c r="BD14" s="36" t="n"/>
      <c r="BE14" s="36" t="n"/>
      <c r="BF14" s="36" t="n"/>
      <c r="BG14" s="36" t="n"/>
      <c r="BH14" s="36" t="n"/>
      <c r="BI14" s="36" t="n"/>
      <c r="BJ14" s="36" t="n"/>
      <c r="BK14" s="36" t="n"/>
    </row>
    <row r="15" ht="34" customHeight="1">
      <c r="A15" s="37" t="n"/>
      <c r="B15" s="35" t="inlineStr"/>
      <c r="C15" s="26">
        <f>IF(TRIM($B15)="","",IFERROR(INDEX(People!$A$2:$A$199,MATCH(TRIM($B15),People!$B$2:$B$199,0)),IFERROR(INDEX(Teams!$A$2:$A$9,MATCH(TRIM($B15),Teams!$B$2:$B$9,0)),"?? CHECK NAME")))</f>
        <v/>
      </c>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c r="AG15" s="36" t="n"/>
      <c r="AH15" s="36" t="n"/>
      <c r="AI15" s="36" t="n"/>
      <c r="AJ15" s="36" t="n"/>
      <c r="AK15" s="36" t="n"/>
      <c r="AL15" s="36" t="n"/>
      <c r="AM15" s="36" t="n"/>
      <c r="AN15" s="36" t="n"/>
      <c r="AO15" s="36" t="n"/>
      <c r="AP15" s="36" t="n"/>
      <c r="AQ15" s="36" t="n"/>
      <c r="AR15" s="36" t="n"/>
      <c r="AS15" s="36" t="n"/>
      <c r="AT15" s="36" t="n"/>
      <c r="AU15" s="36" t="n"/>
      <c r="AV15" s="36" t="n"/>
      <c r="AW15" s="36" t="n"/>
      <c r="AX15" s="36" t="n"/>
      <c r="AY15" s="36" t="n"/>
      <c r="AZ15" s="36" t="n"/>
      <c r="BA15" s="36" t="n"/>
      <c r="BB15" s="36" t="n"/>
      <c r="BC15" s="36" t="n"/>
      <c r="BD15" s="36" t="n"/>
      <c r="BE15" s="36" t="n"/>
      <c r="BF15" s="36" t="n"/>
      <c r="BG15" s="36" t="n"/>
      <c r="BH15" s="36" t="n"/>
      <c r="BI15" s="36" t="n"/>
      <c r="BJ15" s="36" t="n"/>
      <c r="BK15" s="36" t="n"/>
    </row>
    <row r="16" ht="34" customHeight="1">
      <c r="A16" s="37" t="n"/>
      <c r="B16" s="35" t="inlineStr"/>
      <c r="C16" s="26">
        <f>IF(TRIM($B16)="","",IFERROR(INDEX(People!$A$2:$A$199,MATCH(TRIM($B16),People!$B$2:$B$199,0)),IFERROR(INDEX(Teams!$A$2:$A$9,MATCH(TRIM($B16),Teams!$B$2:$B$9,0)),"?? CHECK NAME")))</f>
        <v/>
      </c>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c r="BK16" s="36" t="n"/>
    </row>
    <row r="17" ht="34" customHeight="1">
      <c r="A17" s="37" t="n"/>
      <c r="B17" s="35" t="inlineStr"/>
      <c r="C17" s="26">
        <f>IF(TRIM($B17)="","",IFERROR(INDEX(People!$A$2:$A$199,MATCH(TRIM($B17),People!$B$2:$B$199,0)),IFERROR(INDEX(Teams!$A$2:$A$9,MATCH(TRIM($B17),Teams!$B$2:$B$9,0)),"?? CHECK NAME")))</f>
        <v/>
      </c>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c r="AG17" s="36" t="n"/>
      <c r="AH17" s="36" t="n"/>
      <c r="AI17" s="36" t="n"/>
      <c r="AJ17" s="36" t="n"/>
      <c r="AK17" s="36" t="n"/>
      <c r="AL17" s="36" t="n"/>
      <c r="AM17" s="36" t="n"/>
      <c r="AN17" s="36" t="n"/>
      <c r="AO17" s="36" t="n"/>
      <c r="AP17" s="36" t="n"/>
      <c r="AQ17" s="36" t="n"/>
      <c r="AR17" s="36" t="n"/>
      <c r="AS17" s="36" t="n"/>
      <c r="AT17" s="36" t="n"/>
      <c r="AU17" s="36" t="n"/>
      <c r="AV17" s="36" t="n"/>
      <c r="AW17" s="36" t="n"/>
      <c r="AX17" s="36" t="n"/>
      <c r="AY17" s="36" t="n"/>
      <c r="AZ17" s="36" t="n"/>
      <c r="BA17" s="36" t="n"/>
      <c r="BB17" s="36" t="n"/>
      <c r="BC17" s="36" t="n"/>
      <c r="BD17" s="36" t="n"/>
      <c r="BE17" s="36" t="n"/>
      <c r="BF17" s="36" t="n"/>
      <c r="BG17" s="36" t="n"/>
      <c r="BH17" s="36" t="n"/>
      <c r="BI17" s="36" t="n"/>
      <c r="BJ17" s="36" t="n"/>
      <c r="BK17" s="36" t="n"/>
    </row>
    <row r="18" ht="34" customHeight="1">
      <c r="A18" s="38" t="n"/>
      <c r="B18" s="35" t="inlineStr"/>
      <c r="C18" s="26">
        <f>IF(TRIM($B18)="","",IFERROR(INDEX(People!$A$2:$A$199,MATCH(TRIM($B18),People!$B$2:$B$199,0)),IFERROR(INDEX(Teams!$A$2:$A$9,MATCH(TRIM($B18),Teams!$B$2:$B$9,0)),"?? CHECK NAME")))</f>
        <v/>
      </c>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c r="AC18" s="36" t="n"/>
      <c r="AD18" s="36" t="n"/>
      <c r="AE18" s="36" t="n"/>
      <c r="AF18" s="36" t="n"/>
      <c r="AG18" s="36" t="n"/>
      <c r="AH18" s="36" t="n"/>
      <c r="AI18" s="36" t="n"/>
      <c r="AJ18" s="36" t="n"/>
      <c r="AK18" s="36" t="n"/>
      <c r="AL18" s="36" t="n"/>
      <c r="AM18" s="36" t="n"/>
      <c r="AN18" s="36" t="n"/>
      <c r="AO18" s="36" t="n"/>
      <c r="AP18" s="36" t="n"/>
      <c r="AQ18" s="36" t="n"/>
      <c r="AR18" s="36" t="n"/>
      <c r="AS18" s="36" t="n"/>
      <c r="AT18" s="36" t="n"/>
      <c r="AU18" s="36" t="n"/>
      <c r="AV18" s="36" t="n"/>
      <c r="AW18" s="36" t="n"/>
      <c r="AX18" s="36" t="n"/>
      <c r="AY18" s="36" t="n"/>
      <c r="AZ18" s="36" t="n"/>
      <c r="BA18" s="36" t="n"/>
      <c r="BB18" s="36" t="n"/>
      <c r="BC18" s="36" t="n"/>
      <c r="BD18" s="36" t="n"/>
      <c r="BE18" s="36" t="n"/>
      <c r="BF18" s="36" t="n"/>
      <c r="BG18" s="36" t="n"/>
      <c r="BH18" s="36" t="n"/>
      <c r="BI18" s="36" t="n"/>
      <c r="BJ18" s="36" t="n"/>
      <c r="BK18" s="36" t="n"/>
    </row>
    <row r="19" ht="34" customHeight="1">
      <c r="A19" s="16" t="inlineStr">
        <is>
          <t>Hospitality</t>
        </is>
      </c>
      <c r="B19" s="35" t="inlineStr"/>
      <c r="C19" s="26">
        <f>IF(TRIM($B19)="","",IFERROR(INDEX(People!$A$2:$A$199,MATCH(TRIM($B19),People!$B$2:$B$199,0)),IFERROR(INDEX(Teams!$A$2:$A$9,MATCH(TRIM($B19),Teams!$B$2:$B$9,0)),"?? CHECK NAME")))</f>
        <v/>
      </c>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c r="BK19" s="36" t="n"/>
    </row>
    <row r="20" ht="34" customHeight="1">
      <c r="A20" s="37" t="n"/>
      <c r="B20" s="35" t="inlineStr"/>
      <c r="C20" s="26">
        <f>IF(TRIM($B20)="","",IFERROR(INDEX(People!$A$2:$A$199,MATCH(TRIM($B20),People!$B$2:$B$199,0)),IFERROR(INDEX(Teams!$A$2:$A$9,MATCH(TRIM($B20),Teams!$B$2:$B$9,0)),"?? CHECK NAME")))</f>
        <v/>
      </c>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c r="AA20" s="36" t="n"/>
      <c r="AB20" s="36" t="n"/>
      <c r="AC20" s="36" t="n"/>
      <c r="AD20" s="36" t="n"/>
      <c r="AE20" s="36" t="n"/>
      <c r="AF20" s="36" t="n"/>
      <c r="AG20" s="36" t="n"/>
      <c r="AH20" s="36" t="n"/>
      <c r="AI20" s="36" t="n"/>
      <c r="AJ20" s="36" t="n"/>
      <c r="AK20" s="36" t="n"/>
      <c r="AL20" s="36" t="n"/>
      <c r="AM20" s="36" t="n"/>
      <c r="AN20" s="36" t="n"/>
      <c r="AO20" s="36" t="n"/>
      <c r="AP20" s="36" t="n"/>
      <c r="AQ20" s="36" t="n"/>
      <c r="AR20" s="36" t="n"/>
      <c r="AS20" s="36" t="n"/>
      <c r="AT20" s="36" t="n"/>
      <c r="AU20" s="36" t="n"/>
      <c r="AV20" s="36" t="n"/>
      <c r="AW20" s="36" t="n"/>
      <c r="AX20" s="36" t="n"/>
      <c r="AY20" s="36" t="n"/>
      <c r="AZ20" s="36" t="n"/>
      <c r="BA20" s="36" t="n"/>
      <c r="BB20" s="36" t="n"/>
      <c r="BC20" s="36" t="n"/>
      <c r="BD20" s="36" t="n"/>
      <c r="BE20" s="36" t="n"/>
      <c r="BF20" s="36" t="n"/>
      <c r="BG20" s="36" t="n"/>
      <c r="BH20" s="36" t="n"/>
      <c r="BI20" s="36" t="n"/>
      <c r="BJ20" s="36" t="n"/>
      <c r="BK20" s="36" t="n"/>
    </row>
    <row r="21" ht="34" customHeight="1">
      <c r="A21" s="37" t="n"/>
      <c r="B21" s="35" t="inlineStr"/>
      <c r="C21" s="26">
        <f>IF(TRIM($B21)="","",IFERROR(INDEX(People!$A$2:$A$199,MATCH(TRIM($B21),People!$B$2:$B$199,0)),IFERROR(INDEX(Teams!$A$2:$A$9,MATCH(TRIM($B21),Teams!$B$2:$B$9,0)),"?? CHECK NAME")))</f>
        <v/>
      </c>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c r="AE21" s="36" t="n"/>
      <c r="AF21" s="36" t="n"/>
      <c r="AG21" s="36" t="n"/>
      <c r="AH21" s="36" t="n"/>
      <c r="AI21" s="36" t="n"/>
      <c r="AJ21" s="36" t="n"/>
      <c r="AK21" s="36" t="n"/>
      <c r="AL21" s="36" t="n"/>
      <c r="AM21" s="36" t="n"/>
      <c r="AN21" s="36" t="n"/>
      <c r="AO21" s="36" t="n"/>
      <c r="AP21" s="36" t="n"/>
      <c r="AQ21" s="36" t="n"/>
      <c r="AR21" s="36" t="n"/>
      <c r="AS21" s="36" t="n"/>
      <c r="AT21" s="36" t="n"/>
      <c r="AU21" s="36" t="n"/>
      <c r="AV21" s="36" t="n"/>
      <c r="AW21" s="36" t="n"/>
      <c r="AX21" s="36" t="n"/>
      <c r="AY21" s="36" t="n"/>
      <c r="AZ21" s="36" t="n"/>
      <c r="BA21" s="36" t="n"/>
      <c r="BB21" s="36" t="n"/>
      <c r="BC21" s="36" t="n"/>
      <c r="BD21" s="36" t="n"/>
      <c r="BE21" s="36" t="n"/>
      <c r="BF21" s="36" t="n"/>
      <c r="BG21" s="36" t="n"/>
      <c r="BH21" s="36" t="n"/>
      <c r="BI21" s="36" t="n"/>
      <c r="BJ21" s="36" t="n"/>
      <c r="BK21" s="36" t="n"/>
    </row>
    <row r="22" ht="34" customHeight="1">
      <c r="A22" s="37" t="n"/>
      <c r="B22" s="35" t="inlineStr"/>
      <c r="C22" s="26">
        <f>IF(TRIM($B22)="","",IFERROR(INDEX(People!$A$2:$A$199,MATCH(TRIM($B22),People!$B$2:$B$199,0)),IFERROR(INDEX(Teams!$A$2:$A$9,MATCH(TRIM($B22),Teams!$B$2:$B$9,0)),"?? CHECK NAME")))</f>
        <v/>
      </c>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c r="BK22" s="36" t="n"/>
    </row>
    <row r="23" ht="34" customHeight="1">
      <c r="A23" s="38" t="n"/>
      <c r="B23" s="35" t="inlineStr"/>
      <c r="C23" s="26">
        <f>IF(TRIM($B23)="","",IFERROR(INDEX(People!$A$2:$A$199,MATCH(TRIM($B23),People!$B$2:$B$199,0)),IFERROR(INDEX(Teams!$A$2:$A$9,MATCH(TRIM($B23),Teams!$B$2:$B$9,0)),"?? CHECK NAME")))</f>
        <v/>
      </c>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c r="AC23" s="36" t="n"/>
      <c r="AD23" s="36" t="n"/>
      <c r="AE23" s="36" t="n"/>
      <c r="AF23" s="36" t="n"/>
      <c r="AG23" s="36" t="n"/>
      <c r="AH23" s="36" t="n"/>
      <c r="AI23" s="36" t="n"/>
      <c r="AJ23" s="36" t="n"/>
      <c r="AK23" s="36" t="n"/>
      <c r="AL23" s="36" t="n"/>
      <c r="AM23" s="36" t="n"/>
      <c r="AN23" s="36" t="n"/>
      <c r="AO23" s="36" t="n"/>
      <c r="AP23" s="36" t="n"/>
      <c r="AQ23" s="36" t="n"/>
      <c r="AR23" s="36" t="n"/>
      <c r="AS23" s="36" t="n"/>
      <c r="AT23" s="36" t="n"/>
      <c r="AU23" s="36" t="n"/>
      <c r="AV23" s="36" t="n"/>
      <c r="AW23" s="36" t="n"/>
      <c r="AX23" s="36" t="n"/>
      <c r="AY23" s="36" t="n"/>
      <c r="AZ23" s="36" t="n"/>
      <c r="BA23" s="36" t="n"/>
      <c r="BB23" s="36" t="n"/>
      <c r="BC23" s="36" t="n"/>
      <c r="BD23" s="36" t="n"/>
      <c r="BE23" s="36" t="n"/>
      <c r="BF23" s="36" t="n"/>
      <c r="BG23" s="36" t="n"/>
      <c r="BH23" s="36" t="n"/>
      <c r="BI23" s="36" t="n"/>
      <c r="BJ23" s="36" t="n"/>
      <c r="BK23" s="36" t="n"/>
    </row>
    <row r="24" ht="34" customHeight="1">
      <c r="A24" s="16" t="inlineStr">
        <is>
          <t>Creative</t>
        </is>
      </c>
      <c r="B24" s="35" t="inlineStr"/>
      <c r="C24" s="26">
        <f>IF(TRIM($B24)="","",IFERROR(INDEX(People!$A$2:$A$199,MATCH(TRIM($B24),People!$B$2:$B$199,0)),IFERROR(INDEX(Teams!$A$2:$A$9,MATCH(TRIM($B24),Teams!$B$2:$B$9,0)),"?? CHECK NAME")))</f>
        <v/>
      </c>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c r="AA24" s="36" t="n"/>
      <c r="AB24" s="36" t="n"/>
      <c r="AC24" s="36" t="n"/>
      <c r="AD24" s="36" t="n"/>
      <c r="AE24" s="36" t="n"/>
      <c r="AF24" s="36" t="n"/>
      <c r="AG24" s="36" t="n"/>
      <c r="AH24" s="36" t="n"/>
      <c r="AI24" s="36" t="n"/>
      <c r="AJ24" s="36" t="n"/>
      <c r="AK24" s="36" t="n"/>
      <c r="AL24" s="36" t="n"/>
      <c r="AM24" s="36" t="n"/>
      <c r="AN24" s="36" t="n"/>
      <c r="AO24" s="36" t="n"/>
      <c r="AP24" s="36" t="n"/>
      <c r="AQ24" s="36" t="n"/>
      <c r="AR24" s="36" t="n"/>
      <c r="AS24" s="36" t="n"/>
      <c r="AT24" s="36" t="n"/>
      <c r="AU24" s="36" t="n"/>
      <c r="AV24" s="36" t="n"/>
      <c r="AW24" s="36" t="n"/>
      <c r="AX24" s="36" t="n"/>
      <c r="AY24" s="36" t="n"/>
      <c r="AZ24" s="36" t="n"/>
      <c r="BA24" s="36" t="n"/>
      <c r="BB24" s="36" t="n"/>
      <c r="BC24" s="36" t="n"/>
      <c r="BD24" s="36" t="n"/>
      <c r="BE24" s="36" t="n"/>
      <c r="BF24" s="36" t="n"/>
      <c r="BG24" s="36" t="n"/>
      <c r="BH24" s="36" t="n"/>
      <c r="BI24" s="36" t="n"/>
      <c r="BJ24" s="36" t="n"/>
      <c r="BK24" s="36" t="n"/>
    </row>
    <row r="25" ht="34" customHeight="1">
      <c r="A25" s="37" t="n"/>
      <c r="B25" s="35" t="inlineStr"/>
      <c r="C25" s="26">
        <f>IF(TRIM($B25)="","",IFERROR(INDEX(People!$A$2:$A$199,MATCH(TRIM($B25),People!$B$2:$B$199,0)),IFERROR(INDEX(Teams!$A$2:$A$9,MATCH(TRIM($B25),Teams!$B$2:$B$9,0)),"?? CHECK NAME")))</f>
        <v/>
      </c>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row>
    <row r="26" ht="34" customHeight="1">
      <c r="A26" s="37" t="n"/>
      <c r="B26" s="35" t="inlineStr"/>
      <c r="C26" s="26">
        <f>IF(TRIM($B26)="","",IFERROR(INDEX(People!$A$2:$A$199,MATCH(TRIM($B26),People!$B$2:$B$199,0)),IFERROR(INDEX(Teams!$A$2:$A$9,MATCH(TRIM($B26),Teams!$B$2:$B$9,0)),"?? CHECK NAME")))</f>
        <v/>
      </c>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c r="AA26" s="36" t="n"/>
      <c r="AB26" s="36" t="n"/>
      <c r="AC26" s="36" t="n"/>
      <c r="AD26" s="36" t="n"/>
      <c r="AE26" s="36" t="n"/>
      <c r="AF26" s="36" t="n"/>
      <c r="AG26" s="36" t="n"/>
      <c r="AH26" s="36" t="n"/>
      <c r="AI26" s="36" t="n"/>
      <c r="AJ26" s="36" t="n"/>
      <c r="AK26" s="36" t="n"/>
      <c r="AL26" s="36" t="n"/>
      <c r="AM26" s="36" t="n"/>
      <c r="AN26" s="36" t="n"/>
      <c r="AO26" s="36" t="n"/>
      <c r="AP26" s="36" t="n"/>
      <c r="AQ26" s="36" t="n"/>
      <c r="AR26" s="36" t="n"/>
      <c r="AS26" s="36" t="n"/>
      <c r="AT26" s="36" t="n"/>
      <c r="AU26" s="36" t="n"/>
      <c r="AV26" s="36" t="n"/>
      <c r="AW26" s="36" t="n"/>
      <c r="AX26" s="36" t="n"/>
      <c r="AY26" s="36" t="n"/>
      <c r="AZ26" s="36" t="n"/>
      <c r="BA26" s="36" t="n"/>
      <c r="BB26" s="36" t="n"/>
      <c r="BC26" s="36" t="n"/>
      <c r="BD26" s="36" t="n"/>
      <c r="BE26" s="36" t="n"/>
      <c r="BF26" s="36" t="n"/>
      <c r="BG26" s="36" t="n"/>
      <c r="BH26" s="36" t="n"/>
      <c r="BI26" s="36" t="n"/>
      <c r="BJ26" s="36" t="n"/>
      <c r="BK26" s="36" t="n"/>
    </row>
    <row r="27" ht="34" customHeight="1">
      <c r="A27" s="37" t="n"/>
      <c r="B27" s="35" t="inlineStr"/>
      <c r="C27" s="26">
        <f>IF(TRIM($B27)="","",IFERROR(INDEX(People!$A$2:$A$199,MATCH(TRIM($B27),People!$B$2:$B$199,0)),IFERROR(INDEX(Teams!$A$2:$A$9,MATCH(TRIM($B27),Teams!$B$2:$B$9,0)),"?? CHECK NAME")))</f>
        <v/>
      </c>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c r="AC27" s="36" t="n"/>
      <c r="AD27" s="36" t="n"/>
      <c r="AE27" s="36" t="n"/>
      <c r="AF27" s="36" t="n"/>
      <c r="AG27" s="36" t="n"/>
      <c r="AH27" s="36" t="n"/>
      <c r="AI27" s="36" t="n"/>
      <c r="AJ27" s="36" t="n"/>
      <c r="AK27" s="36" t="n"/>
      <c r="AL27" s="36" t="n"/>
      <c r="AM27" s="36" t="n"/>
      <c r="AN27" s="36" t="n"/>
      <c r="AO27" s="36" t="n"/>
      <c r="AP27" s="36" t="n"/>
      <c r="AQ27" s="36" t="n"/>
      <c r="AR27" s="36" t="n"/>
      <c r="AS27" s="36" t="n"/>
      <c r="AT27" s="36" t="n"/>
      <c r="AU27" s="36" t="n"/>
      <c r="AV27" s="36" t="n"/>
      <c r="AW27" s="36" t="n"/>
      <c r="AX27" s="36" t="n"/>
      <c r="AY27" s="36" t="n"/>
      <c r="AZ27" s="36" t="n"/>
      <c r="BA27" s="36" t="n"/>
      <c r="BB27" s="36" t="n"/>
      <c r="BC27" s="36" t="n"/>
      <c r="BD27" s="36" t="n"/>
      <c r="BE27" s="36" t="n"/>
      <c r="BF27" s="36" t="n"/>
      <c r="BG27" s="36" t="n"/>
      <c r="BH27" s="36" t="n"/>
      <c r="BI27" s="36" t="n"/>
      <c r="BJ27" s="36" t="n"/>
      <c r="BK27" s="36" t="n"/>
    </row>
    <row r="28" ht="34" customHeight="1">
      <c r="A28" s="38" t="n"/>
      <c r="B28" s="35" t="inlineStr"/>
      <c r="C28" s="26">
        <f>IF(TRIM($B28)="","",IFERROR(INDEX(People!$A$2:$A$199,MATCH(TRIM($B28),People!$B$2:$B$199,0)),IFERROR(INDEX(Teams!$A$2:$A$9,MATCH(TRIM($B28),Teams!$B$2:$B$9,0)),"?? CHECK NAME")))</f>
        <v/>
      </c>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36" t="n"/>
      <c r="AN28" s="36" t="n"/>
      <c r="AO28" s="36" t="n"/>
      <c r="AP28" s="36" t="n"/>
      <c r="AQ28" s="36" t="n"/>
      <c r="AR28" s="36" t="n"/>
      <c r="AS28" s="36" t="n"/>
      <c r="AT28" s="36" t="n"/>
      <c r="AU28" s="36" t="n"/>
      <c r="AV28" s="36" t="n"/>
      <c r="AW28" s="36" t="n"/>
      <c r="AX28" s="36" t="n"/>
      <c r="AY28" s="36" t="n"/>
      <c r="AZ28" s="36" t="n"/>
      <c r="BA28" s="36" t="n"/>
      <c r="BB28" s="36" t="n"/>
      <c r="BC28" s="36" t="n"/>
      <c r="BD28" s="36" t="n"/>
      <c r="BE28" s="36" t="n"/>
      <c r="BF28" s="36" t="n"/>
      <c r="BG28" s="36" t="n"/>
      <c r="BH28" s="36" t="n"/>
      <c r="BI28" s="36" t="n"/>
      <c r="BJ28" s="36" t="n"/>
      <c r="BK28" s="36" t="n"/>
    </row>
    <row r="29" ht="34" customHeight="1">
      <c r="A29" s="16" t="inlineStr">
        <is>
          <t>Registration</t>
        </is>
      </c>
      <c r="B29" s="35" t="inlineStr"/>
      <c r="C29" s="26">
        <f>IF(TRIM($B29)="","",IFERROR(INDEX(People!$A$2:$A$199,MATCH(TRIM($B29),People!$B$2:$B$199,0)),IFERROR(INDEX(Teams!$A$2:$A$9,MATCH(TRIM($B29),Teams!$B$2:$B$9,0)),"?? CHECK NAME")))</f>
        <v/>
      </c>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c r="AC29" s="36" t="n"/>
      <c r="AD29" s="36" t="n"/>
      <c r="AE29" s="36" t="n"/>
      <c r="AF29" s="36" t="n"/>
      <c r="AG29" s="36" t="n"/>
      <c r="AH29" s="36" t="n"/>
      <c r="AI29" s="36" t="n"/>
      <c r="AJ29" s="36" t="n"/>
      <c r="AK29" s="36" t="n"/>
      <c r="AL29" s="36" t="n"/>
      <c r="AM29" s="36" t="n"/>
      <c r="AN29" s="36" t="n"/>
      <c r="AO29" s="36" t="n"/>
      <c r="AP29" s="36" t="n"/>
      <c r="AQ29" s="36" t="n"/>
      <c r="AR29" s="36" t="n"/>
      <c r="AS29" s="36" t="n"/>
      <c r="AT29" s="36" t="n"/>
      <c r="AU29" s="36" t="n"/>
      <c r="AV29" s="36" t="n"/>
      <c r="AW29" s="36" t="n"/>
      <c r="AX29" s="36" t="n"/>
      <c r="AY29" s="36" t="n"/>
      <c r="AZ29" s="36" t="n"/>
      <c r="BA29" s="36" t="n"/>
      <c r="BB29" s="36" t="n"/>
      <c r="BC29" s="36" t="n"/>
      <c r="BD29" s="36" t="n"/>
      <c r="BE29" s="36" t="n"/>
      <c r="BF29" s="36" t="n"/>
      <c r="BG29" s="36" t="n"/>
      <c r="BH29" s="36" t="n"/>
      <c r="BI29" s="36" t="n"/>
      <c r="BJ29" s="36" t="n"/>
      <c r="BK29" s="36" t="n"/>
    </row>
    <row r="30" ht="34" customHeight="1">
      <c r="A30" s="37" t="n"/>
      <c r="B30" s="35" t="inlineStr"/>
      <c r="C30" s="26">
        <f>IF(TRIM($B30)="","",IFERROR(INDEX(People!$A$2:$A$199,MATCH(TRIM($B30),People!$B$2:$B$199,0)),IFERROR(INDEX(Teams!$A$2:$A$9,MATCH(TRIM($B30),Teams!$B$2:$B$9,0)),"?? CHECK NAME")))</f>
        <v/>
      </c>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c r="AC30" s="36" t="n"/>
      <c r="AD30" s="36" t="n"/>
      <c r="AE30" s="36" t="n"/>
      <c r="AF30" s="36" t="n"/>
      <c r="AG30" s="36" t="n"/>
      <c r="AH30" s="36" t="n"/>
      <c r="AI30" s="36" t="n"/>
      <c r="AJ30" s="36" t="n"/>
      <c r="AK30" s="36" t="n"/>
      <c r="AL30" s="36" t="n"/>
      <c r="AM30" s="36" t="n"/>
      <c r="AN30" s="36" t="n"/>
      <c r="AO30" s="36" t="n"/>
      <c r="AP30" s="36" t="n"/>
      <c r="AQ30" s="36" t="n"/>
      <c r="AR30" s="36" t="n"/>
      <c r="AS30" s="36" t="n"/>
      <c r="AT30" s="36" t="n"/>
      <c r="AU30" s="36" t="n"/>
      <c r="AV30" s="36" t="n"/>
      <c r="AW30" s="36" t="n"/>
      <c r="AX30" s="36" t="n"/>
      <c r="AY30" s="36" t="n"/>
      <c r="AZ30" s="36" t="n"/>
      <c r="BA30" s="36" t="n"/>
      <c r="BB30" s="36" t="n"/>
      <c r="BC30" s="36" t="n"/>
      <c r="BD30" s="36" t="n"/>
      <c r="BE30" s="36" t="n"/>
      <c r="BF30" s="36" t="n"/>
      <c r="BG30" s="36" t="n"/>
      <c r="BH30" s="36" t="n"/>
      <c r="BI30" s="36" t="n"/>
      <c r="BJ30" s="36" t="n"/>
      <c r="BK30" s="36" t="n"/>
    </row>
    <row r="31" ht="34" customHeight="1">
      <c r="A31" s="37" t="n"/>
      <c r="B31" s="35" t="inlineStr"/>
      <c r="C31" s="26">
        <f>IF(TRIM($B31)="","",IFERROR(INDEX(People!$A$2:$A$199,MATCH(TRIM($B31),People!$B$2:$B$199,0)),IFERROR(INDEX(Teams!$A$2:$A$9,MATCH(TRIM($B31),Teams!$B$2:$B$9,0)),"?? CHECK NAME")))</f>
        <v/>
      </c>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c r="AE31" s="36" t="n"/>
      <c r="AF31" s="36" t="n"/>
      <c r="AG31" s="36" t="n"/>
      <c r="AH31" s="36" t="n"/>
      <c r="AI31" s="36" t="n"/>
      <c r="AJ31" s="36" t="n"/>
      <c r="AK31" s="36" t="n"/>
      <c r="AL31" s="36" t="n"/>
      <c r="AM31" s="36" t="n"/>
      <c r="AN31" s="36" t="n"/>
      <c r="AO31" s="36" t="n"/>
      <c r="AP31" s="36" t="n"/>
      <c r="AQ31" s="36" t="n"/>
      <c r="AR31" s="36" t="n"/>
      <c r="AS31" s="36" t="n"/>
      <c r="AT31" s="36" t="n"/>
      <c r="AU31" s="36" t="n"/>
      <c r="AV31" s="36" t="n"/>
      <c r="AW31" s="36" t="n"/>
      <c r="AX31" s="36" t="n"/>
      <c r="AY31" s="36" t="n"/>
      <c r="AZ31" s="36" t="n"/>
      <c r="BA31" s="36" t="n"/>
      <c r="BB31" s="36" t="n"/>
      <c r="BC31" s="36" t="n"/>
      <c r="BD31" s="36" t="n"/>
      <c r="BE31" s="36" t="n"/>
      <c r="BF31" s="36" t="n"/>
      <c r="BG31" s="36" t="n"/>
      <c r="BH31" s="36" t="n"/>
      <c r="BI31" s="36" t="n"/>
      <c r="BJ31" s="36" t="n"/>
      <c r="BK31" s="36" t="n"/>
    </row>
    <row r="32" ht="34" customHeight="1">
      <c r="A32" s="37" t="n"/>
      <c r="B32" s="35" t="inlineStr"/>
      <c r="C32" s="26">
        <f>IF(TRIM($B32)="","",IFERROR(INDEX(People!$A$2:$A$199,MATCH(TRIM($B32),People!$B$2:$B$199,0)),IFERROR(INDEX(Teams!$A$2:$A$9,MATCH(TRIM($B32),Teams!$B$2:$B$9,0)),"?? CHECK NAME")))</f>
        <v/>
      </c>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c r="AA32" s="36" t="n"/>
      <c r="AB32" s="36" t="n"/>
      <c r="AC32" s="36" t="n"/>
      <c r="AD32" s="36" t="n"/>
      <c r="AE32" s="36" t="n"/>
      <c r="AF32" s="36" t="n"/>
      <c r="AG32" s="36" t="n"/>
      <c r="AH32" s="36" t="n"/>
      <c r="AI32" s="36" t="n"/>
      <c r="AJ32" s="36" t="n"/>
      <c r="AK32" s="36" t="n"/>
      <c r="AL32" s="36" t="n"/>
      <c r="AM32" s="36" t="n"/>
      <c r="AN32" s="36" t="n"/>
      <c r="AO32" s="36" t="n"/>
      <c r="AP32" s="36" t="n"/>
      <c r="AQ32" s="36" t="n"/>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row>
    <row r="33" ht="34" customHeight="1">
      <c r="A33" s="38" t="n"/>
      <c r="B33" s="35" t="inlineStr"/>
      <c r="C33" s="26">
        <f>IF(TRIM($B33)="","",IFERROR(INDEX(People!$A$2:$A$199,MATCH(TRIM($B33),People!$B$2:$B$199,0)),IFERROR(INDEX(Teams!$A$2:$A$9,MATCH(TRIM($B33),Teams!$B$2:$B$9,0)),"?? CHECK NAME")))</f>
        <v/>
      </c>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c r="AC33" s="36" t="n"/>
      <c r="AD33" s="36" t="n"/>
      <c r="AE33" s="36" t="n"/>
      <c r="AF33" s="36" t="n"/>
      <c r="AG33" s="36" t="n"/>
      <c r="AH33" s="36" t="n"/>
      <c r="AI33" s="36" t="n"/>
      <c r="AJ33" s="36" t="n"/>
      <c r="AK33" s="36" t="n"/>
      <c r="AL33" s="36" t="n"/>
      <c r="AM33" s="36" t="n"/>
      <c r="AN33" s="36" t="n"/>
      <c r="AO33" s="36" t="n"/>
      <c r="AP33" s="36" t="n"/>
      <c r="AQ33" s="36" t="n"/>
      <c r="AR33" s="36" t="n"/>
      <c r="AS33" s="36" t="n"/>
      <c r="AT33" s="36" t="n"/>
      <c r="AU33" s="36" t="n"/>
      <c r="AV33" s="36" t="n"/>
      <c r="AW33" s="36" t="n"/>
      <c r="AX33" s="36" t="n"/>
      <c r="AY33" s="36" t="n"/>
      <c r="AZ33" s="36" t="n"/>
      <c r="BA33" s="36" t="n"/>
      <c r="BB33" s="36" t="n"/>
      <c r="BC33" s="36" t="n"/>
      <c r="BD33" s="36" t="n"/>
      <c r="BE33" s="36" t="n"/>
      <c r="BF33" s="36" t="n"/>
      <c r="BG33" s="36" t="n"/>
      <c r="BH33" s="36" t="n"/>
      <c r="BI33" s="36" t="n"/>
      <c r="BJ33" s="36" t="n"/>
      <c r="BK33" s="36" t="n"/>
    </row>
    <row r="34" ht="34" customHeight="1">
      <c r="A34" s="16" t="inlineStr">
        <is>
          <t>Head Liaisons</t>
        </is>
      </c>
      <c r="B34" s="35" t="inlineStr"/>
      <c r="C34" s="26">
        <f>IF(TRIM($B34)="","",IFERROR(INDEX(People!$A$2:$A$199,MATCH(TRIM($B34),People!$B$2:$B$199,0)),IFERROR(INDEX(Teams!$A$2:$A$9,MATCH(TRIM($B34),Teams!$B$2:$B$9,0)),"?? CHECK NAME")))</f>
        <v/>
      </c>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c r="AA34" s="36" t="n"/>
      <c r="AB34" s="36" t="n"/>
      <c r="AC34" s="36" t="n"/>
      <c r="AD34" s="36" t="n"/>
      <c r="AE34" s="36" t="n"/>
      <c r="AF34" s="36" t="n"/>
      <c r="AG34" s="36" t="n"/>
      <c r="AH34" s="36" t="n"/>
      <c r="AI34" s="36" t="n"/>
      <c r="AJ34" s="36" t="n"/>
      <c r="AK34" s="36" t="n"/>
      <c r="AL34" s="36" t="n"/>
      <c r="AM34" s="36" t="n"/>
      <c r="AN34" s="36" t="n"/>
      <c r="AO34" s="36" t="n"/>
      <c r="AP34" s="36" t="n"/>
      <c r="AQ34" s="36" t="n"/>
      <c r="AR34" s="36" t="n"/>
      <c r="AS34" s="36" t="n"/>
      <c r="AT34" s="36" t="n"/>
      <c r="AU34" s="36" t="n"/>
      <c r="AV34" s="36" t="n"/>
      <c r="AW34" s="36" t="n"/>
      <c r="AX34" s="36" t="n"/>
      <c r="AY34" s="36" t="n"/>
      <c r="AZ34" s="36" t="n"/>
      <c r="BA34" s="36" t="n"/>
      <c r="BB34" s="36" t="n"/>
      <c r="BC34" s="36" t="n"/>
      <c r="BD34" s="36" t="n"/>
      <c r="BE34" s="36" t="n"/>
      <c r="BF34" s="36" t="n"/>
      <c r="BG34" s="36" t="n"/>
      <c r="BH34" s="36" t="n"/>
      <c r="BI34" s="36" t="n"/>
      <c r="BJ34" s="36" t="n"/>
      <c r="BK34" s="36" t="n"/>
    </row>
    <row r="35" ht="34" customHeight="1">
      <c r="A35" s="37" t="n"/>
      <c r="B35" s="35" t="inlineStr"/>
      <c r="C35" s="26">
        <f>IF(TRIM($B35)="","",IFERROR(INDEX(People!$A$2:$A$199,MATCH(TRIM($B35),People!$B$2:$B$199,0)),IFERROR(INDEX(Teams!$A$2:$A$9,MATCH(TRIM($B35),Teams!$B$2:$B$9,0)),"?? CHECK NAME")))</f>
        <v/>
      </c>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c r="AA35" s="36" t="n"/>
      <c r="AB35" s="36" t="n"/>
      <c r="AC35" s="36" t="n"/>
      <c r="AD35" s="36" t="n"/>
      <c r="AE35" s="36" t="n"/>
      <c r="AF35" s="36" t="n"/>
      <c r="AG35" s="36" t="n"/>
      <c r="AH35" s="36" t="n"/>
      <c r="AI35" s="36" t="n"/>
      <c r="AJ35" s="36" t="n"/>
      <c r="AK35" s="36" t="n"/>
      <c r="AL35" s="36" t="n"/>
      <c r="AM35" s="36" t="n"/>
      <c r="AN35" s="36" t="n"/>
      <c r="AO35" s="36" t="n"/>
      <c r="AP35" s="36" t="n"/>
      <c r="AQ35" s="36" t="n"/>
      <c r="AR35" s="36" t="n"/>
      <c r="AS35" s="36" t="n"/>
      <c r="AT35" s="36" t="n"/>
      <c r="AU35" s="36" t="n"/>
      <c r="AV35" s="36" t="n"/>
      <c r="AW35" s="36" t="n"/>
      <c r="AX35" s="36" t="n"/>
      <c r="AY35" s="36" t="n"/>
      <c r="AZ35" s="36" t="n"/>
      <c r="BA35" s="36" t="n"/>
      <c r="BB35" s="36" t="n"/>
      <c r="BC35" s="36" t="n"/>
      <c r="BD35" s="36" t="n"/>
      <c r="BE35" s="36" t="n"/>
      <c r="BF35" s="36" t="n"/>
      <c r="BG35" s="36" t="n"/>
      <c r="BH35" s="36" t="n"/>
      <c r="BI35" s="36" t="n"/>
      <c r="BJ35" s="36" t="n"/>
      <c r="BK35" s="36" t="n"/>
    </row>
    <row r="36" ht="34" customHeight="1">
      <c r="A36" s="37" t="n"/>
      <c r="B36" s="35" t="inlineStr"/>
      <c r="C36" s="26">
        <f>IF(TRIM($B36)="","",IFERROR(INDEX(People!$A$2:$A$199,MATCH(TRIM($B36),People!$B$2:$B$199,0)),IFERROR(INDEX(Teams!$A$2:$A$9,MATCH(TRIM($B36),Teams!$B$2:$B$9,0)),"?? CHECK NAME")))</f>
        <v/>
      </c>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c r="AA36" s="36" t="n"/>
      <c r="AB36" s="36" t="n"/>
      <c r="AC36" s="36" t="n"/>
      <c r="AD36" s="36" t="n"/>
      <c r="AE36" s="36" t="n"/>
      <c r="AF36" s="36" t="n"/>
      <c r="AG36" s="36" t="n"/>
      <c r="AH36" s="36" t="n"/>
      <c r="AI36" s="36" t="n"/>
      <c r="AJ36" s="36" t="n"/>
      <c r="AK36" s="36" t="n"/>
      <c r="AL36" s="36" t="n"/>
      <c r="AM36" s="36" t="n"/>
      <c r="AN36" s="36" t="n"/>
      <c r="AO36" s="36" t="n"/>
      <c r="AP36" s="36" t="n"/>
      <c r="AQ36" s="36" t="n"/>
      <c r="AR36" s="36" t="n"/>
      <c r="AS36" s="36" t="n"/>
      <c r="AT36" s="36" t="n"/>
      <c r="AU36" s="36" t="n"/>
      <c r="AV36" s="36" t="n"/>
      <c r="AW36" s="36" t="n"/>
      <c r="AX36" s="36" t="n"/>
      <c r="AY36" s="36" t="n"/>
      <c r="AZ36" s="36" t="n"/>
      <c r="BA36" s="36" t="n"/>
      <c r="BB36" s="36" t="n"/>
      <c r="BC36" s="36" t="n"/>
      <c r="BD36" s="36" t="n"/>
      <c r="BE36" s="36" t="n"/>
      <c r="BF36" s="36" t="n"/>
      <c r="BG36" s="36" t="n"/>
      <c r="BH36" s="36" t="n"/>
      <c r="BI36" s="36" t="n"/>
      <c r="BJ36" s="36" t="n"/>
      <c r="BK36" s="36" t="n"/>
    </row>
    <row r="37" ht="34" customHeight="1">
      <c r="A37" s="37" t="n"/>
      <c r="B37" s="35" t="inlineStr"/>
      <c r="C37" s="26">
        <f>IF(TRIM($B37)="","",IFERROR(INDEX(People!$A$2:$A$199,MATCH(TRIM($B37),People!$B$2:$B$199,0)),IFERROR(INDEX(Teams!$A$2:$A$9,MATCH(TRIM($B37),Teams!$B$2:$B$9,0)),"?? CHECK NAME")))</f>
        <v/>
      </c>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c r="AE37" s="36" t="n"/>
      <c r="AF37" s="36" t="n"/>
      <c r="AG37" s="36" t="n"/>
      <c r="AH37" s="36" t="n"/>
      <c r="AI37" s="36" t="n"/>
      <c r="AJ37" s="36" t="n"/>
      <c r="AK37" s="36" t="n"/>
      <c r="AL37" s="36" t="n"/>
      <c r="AM37" s="36" t="n"/>
      <c r="AN37" s="36" t="n"/>
      <c r="AO37" s="36" t="n"/>
      <c r="AP37" s="36" t="n"/>
      <c r="AQ37" s="36" t="n"/>
      <c r="AR37" s="36" t="n"/>
      <c r="AS37" s="36" t="n"/>
      <c r="AT37" s="36" t="n"/>
      <c r="AU37" s="36" t="n"/>
      <c r="AV37" s="36" t="n"/>
      <c r="AW37" s="36" t="n"/>
      <c r="AX37" s="36" t="n"/>
      <c r="AY37" s="36" t="n"/>
      <c r="AZ37" s="36" t="n"/>
      <c r="BA37" s="36" t="n"/>
      <c r="BB37" s="36" t="n"/>
      <c r="BC37" s="36" t="n"/>
      <c r="BD37" s="36" t="n"/>
      <c r="BE37" s="36" t="n"/>
      <c r="BF37" s="36" t="n"/>
      <c r="BG37" s="36" t="n"/>
      <c r="BH37" s="36" t="n"/>
      <c r="BI37" s="36" t="n"/>
      <c r="BJ37" s="36" t="n"/>
      <c r="BK37" s="36" t="n"/>
    </row>
    <row r="38" ht="34" customHeight="1">
      <c r="A38" s="38" t="n"/>
      <c r="B38" s="35" t="inlineStr"/>
      <c r="C38" s="26">
        <f>IF(TRIM($B38)="","",IFERROR(INDEX(People!$A$2:$A$199,MATCH(TRIM($B38),People!$B$2:$B$199,0)),IFERROR(INDEX(Teams!$A$2:$A$9,MATCH(TRIM($B38),Teams!$B$2:$B$9,0)),"?? CHECK NAME")))</f>
        <v/>
      </c>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c r="AA38" s="36" t="n"/>
      <c r="AB38" s="36" t="n"/>
      <c r="AC38" s="36" t="n"/>
      <c r="AD38" s="36" t="n"/>
      <c r="AE38" s="36" t="n"/>
      <c r="AF38" s="36" t="n"/>
      <c r="AG38" s="36" t="n"/>
      <c r="AH38" s="36" t="n"/>
      <c r="AI38" s="36" t="n"/>
      <c r="AJ38" s="36" t="n"/>
      <c r="AK38" s="36" t="n"/>
      <c r="AL38" s="36" t="n"/>
      <c r="AM38" s="36" t="n"/>
      <c r="AN38" s="36" t="n"/>
      <c r="AO38" s="36" t="n"/>
      <c r="AP38" s="36" t="n"/>
      <c r="AQ38" s="36" t="n"/>
      <c r="AR38" s="36" t="n"/>
      <c r="AS38" s="36" t="n"/>
      <c r="AT38" s="36" t="n"/>
      <c r="AU38" s="36" t="n"/>
      <c r="AV38" s="36" t="n"/>
      <c r="AW38" s="36" t="n"/>
      <c r="AX38" s="36" t="n"/>
      <c r="AY38" s="36" t="n"/>
      <c r="AZ38" s="36" t="n"/>
      <c r="BA38" s="36" t="n"/>
      <c r="BB38" s="36" t="n"/>
      <c r="BC38" s="36" t="n"/>
      <c r="BD38" s="36" t="n"/>
      <c r="BE38" s="36" t="n"/>
      <c r="BF38" s="36" t="n"/>
      <c r="BG38" s="36" t="n"/>
      <c r="BH38" s="36" t="n"/>
      <c r="BI38" s="36" t="n"/>
      <c r="BJ38" s="36" t="n"/>
      <c r="BK38" s="36" t="n"/>
    </row>
    <row r="39" ht="34" customHeight="1">
      <c r="A39" s="16" t="inlineStr">
        <is>
          <t>PR</t>
        </is>
      </c>
      <c r="B39" s="35" t="inlineStr"/>
      <c r="C39" s="26">
        <f>IF(TRIM($B39)="","",IFERROR(INDEX(People!$A$2:$A$199,MATCH(TRIM($B39),People!$B$2:$B$199,0)),IFERROR(INDEX(Teams!$A$2:$A$9,MATCH(TRIM($B39),Teams!$B$2:$B$9,0)),"?? CHECK NAME")))</f>
        <v/>
      </c>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c r="AE39" s="36" t="n"/>
      <c r="AF39" s="36" t="n"/>
      <c r="AG39" s="36" t="n"/>
      <c r="AH39" s="36" t="n"/>
      <c r="AI39" s="36" t="n"/>
      <c r="AJ39" s="36" t="n"/>
      <c r="AK39" s="36" t="n"/>
      <c r="AL39" s="36" t="n"/>
      <c r="AM39" s="36" t="n"/>
      <c r="AN39" s="36" t="n"/>
      <c r="AO39" s="36" t="n"/>
      <c r="AP39" s="36" t="n"/>
      <c r="AQ39" s="36" t="n"/>
      <c r="AR39" s="36" t="n"/>
      <c r="AS39" s="36" t="n"/>
      <c r="AT39" s="36" t="n"/>
      <c r="AU39" s="36" t="n"/>
      <c r="AV39" s="36" t="n"/>
      <c r="AW39" s="36" t="n"/>
      <c r="AX39" s="36" t="n"/>
      <c r="AY39" s="36" t="n"/>
      <c r="AZ39" s="36" t="n"/>
      <c r="BA39" s="36" t="n"/>
      <c r="BB39" s="36" t="n"/>
      <c r="BC39" s="36" t="n"/>
      <c r="BD39" s="36" t="n"/>
      <c r="BE39" s="36" t="n"/>
      <c r="BF39" s="36" t="n"/>
      <c r="BG39" s="36" t="n"/>
      <c r="BH39" s="36" t="n"/>
      <c r="BI39" s="36" t="n"/>
      <c r="BJ39" s="36" t="n"/>
      <c r="BK39" s="36" t="n"/>
    </row>
    <row r="40" ht="34" customHeight="1">
      <c r="A40" s="37" t="n"/>
      <c r="B40" s="35" t="inlineStr"/>
      <c r="C40" s="26">
        <f>IF(TRIM($B40)="","",IFERROR(INDEX(People!$A$2:$A$199,MATCH(TRIM($B40),People!$B$2:$B$199,0)),IFERROR(INDEX(Teams!$A$2:$A$9,MATCH(TRIM($B40),Teams!$B$2:$B$9,0)),"?? CHECK NAME")))</f>
        <v/>
      </c>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c r="AC40" s="36" t="n"/>
      <c r="AD40" s="36" t="n"/>
      <c r="AE40" s="36" t="n"/>
      <c r="AF40" s="36" t="n"/>
      <c r="AG40" s="36" t="n"/>
      <c r="AH40" s="36" t="n"/>
      <c r="AI40" s="36" t="n"/>
      <c r="AJ40" s="36" t="n"/>
      <c r="AK40" s="36" t="n"/>
      <c r="AL40" s="36" t="n"/>
      <c r="AM40" s="36" t="n"/>
      <c r="AN40" s="36" t="n"/>
      <c r="AO40" s="36" t="n"/>
      <c r="AP40" s="36" t="n"/>
      <c r="AQ40" s="36" t="n"/>
      <c r="AR40" s="36" t="n"/>
      <c r="AS40" s="36" t="n"/>
      <c r="AT40" s="36" t="n"/>
      <c r="AU40" s="36" t="n"/>
      <c r="AV40" s="36" t="n"/>
      <c r="AW40" s="36" t="n"/>
      <c r="AX40" s="36" t="n"/>
      <c r="AY40" s="36" t="n"/>
      <c r="AZ40" s="36" t="n"/>
      <c r="BA40" s="36" t="n"/>
      <c r="BB40" s="36" t="n"/>
      <c r="BC40" s="36" t="n"/>
      <c r="BD40" s="36" t="n"/>
      <c r="BE40" s="36" t="n"/>
      <c r="BF40" s="36" t="n"/>
      <c r="BG40" s="36" t="n"/>
      <c r="BH40" s="36" t="n"/>
      <c r="BI40" s="36" t="n"/>
      <c r="BJ40" s="36" t="n"/>
      <c r="BK40" s="36" t="n"/>
    </row>
    <row r="41" ht="34" customHeight="1">
      <c r="A41" s="37" t="n"/>
      <c r="B41" s="35" t="inlineStr"/>
      <c r="C41" s="26">
        <f>IF(TRIM($B41)="","",IFERROR(INDEX(People!$A$2:$A$199,MATCH(TRIM($B41),People!$B$2:$B$199,0)),IFERROR(INDEX(Teams!$A$2:$A$9,MATCH(TRIM($B41),Teams!$B$2:$B$9,0)),"?? CHECK NAME")))</f>
        <v/>
      </c>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c r="AA41" s="36" t="n"/>
      <c r="AB41" s="36" t="n"/>
      <c r="AC41" s="36" t="n"/>
      <c r="AD41" s="36" t="n"/>
      <c r="AE41" s="36" t="n"/>
      <c r="AF41" s="36" t="n"/>
      <c r="AG41" s="36" t="n"/>
      <c r="AH41" s="36" t="n"/>
      <c r="AI41" s="36" t="n"/>
      <c r="AJ41" s="36" t="n"/>
      <c r="AK41" s="36" t="n"/>
      <c r="AL41" s="36" t="n"/>
      <c r="AM41" s="36" t="n"/>
      <c r="AN41" s="36" t="n"/>
      <c r="AO41" s="36" t="n"/>
      <c r="AP41" s="36" t="n"/>
      <c r="AQ41" s="36" t="n"/>
      <c r="AR41" s="36" t="n"/>
      <c r="AS41" s="36" t="n"/>
      <c r="AT41" s="36" t="n"/>
      <c r="AU41" s="36" t="n"/>
      <c r="AV41" s="36" t="n"/>
      <c r="AW41" s="36" t="n"/>
      <c r="AX41" s="36" t="n"/>
      <c r="AY41" s="36" t="n"/>
      <c r="AZ41" s="36" t="n"/>
      <c r="BA41" s="36" t="n"/>
      <c r="BB41" s="36" t="n"/>
      <c r="BC41" s="36" t="n"/>
      <c r="BD41" s="36" t="n"/>
      <c r="BE41" s="36" t="n"/>
      <c r="BF41" s="36" t="n"/>
      <c r="BG41" s="36" t="n"/>
      <c r="BH41" s="36" t="n"/>
      <c r="BI41" s="36" t="n"/>
      <c r="BJ41" s="36" t="n"/>
      <c r="BK41" s="36" t="n"/>
    </row>
    <row r="42" ht="34" customHeight="1">
      <c r="A42" s="37" t="n"/>
      <c r="B42" s="35" t="inlineStr"/>
      <c r="C42" s="26">
        <f>IF(TRIM($B42)="","",IFERROR(INDEX(People!$A$2:$A$199,MATCH(TRIM($B42),People!$B$2:$B$199,0)),IFERROR(INDEX(Teams!$A$2:$A$9,MATCH(TRIM($B42),Teams!$B$2:$B$9,0)),"?? CHECK NAME")))</f>
        <v/>
      </c>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c r="AA42" s="36" t="n"/>
      <c r="AB42" s="36" t="n"/>
      <c r="AC42" s="36" t="n"/>
      <c r="AD42" s="36" t="n"/>
      <c r="AE42" s="36" t="n"/>
      <c r="AF42" s="36" t="n"/>
      <c r="AG42" s="36" t="n"/>
      <c r="AH42" s="36" t="n"/>
      <c r="AI42" s="36" t="n"/>
      <c r="AJ42" s="36" t="n"/>
      <c r="AK42" s="36" t="n"/>
      <c r="AL42" s="36" t="n"/>
      <c r="AM42" s="36" t="n"/>
      <c r="AN42" s="36" t="n"/>
      <c r="AO42" s="36" t="n"/>
      <c r="AP42" s="36" t="n"/>
      <c r="AQ42" s="36" t="n"/>
      <c r="AR42" s="36" t="n"/>
      <c r="AS42" s="36" t="n"/>
      <c r="AT42" s="36" t="n"/>
      <c r="AU42" s="36" t="n"/>
      <c r="AV42" s="36" t="n"/>
      <c r="AW42" s="36" t="n"/>
      <c r="AX42" s="36" t="n"/>
      <c r="AY42" s="36" t="n"/>
      <c r="AZ42" s="36" t="n"/>
      <c r="BA42" s="36" t="n"/>
      <c r="BB42" s="36" t="n"/>
      <c r="BC42" s="36" t="n"/>
      <c r="BD42" s="36" t="n"/>
      <c r="BE42" s="36" t="n"/>
      <c r="BF42" s="36" t="n"/>
      <c r="BG42" s="36" t="n"/>
      <c r="BH42" s="36" t="n"/>
      <c r="BI42" s="36" t="n"/>
      <c r="BJ42" s="36" t="n"/>
      <c r="BK42" s="36" t="n"/>
    </row>
    <row r="43" ht="34" customHeight="1">
      <c r="A43" s="38" t="n"/>
      <c r="B43" s="35" t="inlineStr"/>
      <c r="C43" s="26">
        <f>IF(TRIM($B43)="","",IFERROR(INDEX(People!$A$2:$A$199,MATCH(TRIM($B43),People!$B$2:$B$199,0)),IFERROR(INDEX(Teams!$A$2:$A$9,MATCH(TRIM($B43),Teams!$B$2:$B$9,0)),"?? CHECK NAME")))</f>
        <v/>
      </c>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c r="AC43" s="36" t="n"/>
      <c r="AD43" s="36" t="n"/>
      <c r="AE43" s="36" t="n"/>
      <c r="AF43" s="36" t="n"/>
      <c r="AG43" s="36" t="n"/>
      <c r="AH43" s="36" t="n"/>
      <c r="AI43" s="36" t="n"/>
      <c r="AJ43" s="36" t="n"/>
      <c r="AK43" s="36" t="n"/>
      <c r="AL43" s="36" t="n"/>
      <c r="AM43" s="36" t="n"/>
      <c r="AN43" s="36" t="n"/>
      <c r="AO43" s="36" t="n"/>
      <c r="AP43" s="36" t="n"/>
      <c r="AQ43" s="36" t="n"/>
      <c r="AR43" s="36" t="n"/>
      <c r="AS43" s="36" t="n"/>
      <c r="AT43" s="36" t="n"/>
      <c r="AU43" s="36" t="n"/>
      <c r="AV43" s="36" t="n"/>
      <c r="AW43" s="36" t="n"/>
      <c r="AX43" s="36" t="n"/>
      <c r="AY43" s="36" t="n"/>
      <c r="AZ43" s="36" t="n"/>
      <c r="BA43" s="36" t="n"/>
      <c r="BB43" s="36" t="n"/>
      <c r="BC43" s="36" t="n"/>
      <c r="BD43" s="36" t="n"/>
      <c r="BE43" s="36" t="n"/>
      <c r="BF43" s="36" t="n"/>
      <c r="BG43" s="36" t="n"/>
      <c r="BH43" s="36" t="n"/>
      <c r="BI43" s="36" t="n"/>
      <c r="BJ43" s="36" t="n"/>
      <c r="BK43" s="36" t="n"/>
    </row>
    <row r="44" ht="34" customHeight="1">
      <c r="A44" s="16" t="inlineStr">
        <is>
          <t>External</t>
        </is>
      </c>
      <c r="B44" s="35" t="inlineStr"/>
      <c r="C44" s="26">
        <f>IF(TRIM($B44)="","",IFERROR(INDEX(People!$A$2:$A$199,MATCH(TRIM($B44),People!$B$2:$B$199,0)),IFERROR(INDEX(Teams!$A$2:$A$9,MATCH(TRIM($B44),Teams!$B$2:$B$9,0)),"?? CHECK NAME")))</f>
        <v/>
      </c>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c r="AA44" s="36" t="n"/>
      <c r="AB44" s="36" t="n"/>
      <c r="AC44" s="36" t="n"/>
      <c r="AD44" s="36" t="n"/>
      <c r="AE44" s="36" t="n"/>
      <c r="AF44" s="36" t="n"/>
      <c r="AG44" s="36" t="n"/>
      <c r="AH44" s="36" t="n"/>
      <c r="AI44" s="36" t="n"/>
      <c r="AJ44" s="36" t="n"/>
      <c r="AK44" s="36" t="n"/>
      <c r="AL44" s="36" t="n"/>
      <c r="AM44" s="36" t="n"/>
      <c r="AN44" s="36" t="n"/>
      <c r="AO44" s="36" t="n"/>
      <c r="AP44" s="36" t="n"/>
      <c r="AQ44" s="36" t="n"/>
      <c r="AR44" s="36" t="n"/>
      <c r="AS44" s="36" t="n"/>
      <c r="AT44" s="36" t="n"/>
      <c r="AU44" s="36" t="n"/>
      <c r="AV44" s="36" t="n"/>
      <c r="AW44" s="36" t="n"/>
      <c r="AX44" s="36" t="n"/>
      <c r="AY44" s="36" t="n"/>
      <c r="AZ44" s="36" t="n"/>
      <c r="BA44" s="36" t="n"/>
      <c r="BB44" s="36" t="n"/>
      <c r="BC44" s="36" t="n"/>
      <c r="BD44" s="36" t="n"/>
      <c r="BE44" s="36" t="n"/>
      <c r="BF44" s="36" t="n"/>
      <c r="BG44" s="36" t="n"/>
      <c r="BH44" s="36" t="n"/>
      <c r="BI44" s="36" t="n"/>
      <c r="BJ44" s="36" t="n"/>
      <c r="BK44" s="36" t="n"/>
    </row>
    <row r="45" ht="34" customHeight="1">
      <c r="A45" s="37" t="n"/>
      <c r="B45" s="35" t="inlineStr"/>
      <c r="C45" s="26">
        <f>IF(TRIM($B45)="","",IFERROR(INDEX(People!$A$2:$A$199,MATCH(TRIM($B45),People!$B$2:$B$199,0)),IFERROR(INDEX(Teams!$A$2:$A$9,MATCH(TRIM($B45),Teams!$B$2:$B$9,0)),"?? CHECK NAME")))</f>
        <v/>
      </c>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c r="AC45" s="36" t="n"/>
      <c r="AD45" s="36" t="n"/>
      <c r="AE45" s="36" t="n"/>
      <c r="AF45" s="36" t="n"/>
      <c r="AG45" s="36" t="n"/>
      <c r="AH45" s="36" t="n"/>
      <c r="AI45" s="36" t="n"/>
      <c r="AJ45" s="36" t="n"/>
      <c r="AK45" s="36" t="n"/>
      <c r="AL45" s="36" t="n"/>
      <c r="AM45" s="36" t="n"/>
      <c r="AN45" s="36" t="n"/>
      <c r="AO45" s="36" t="n"/>
      <c r="AP45" s="36" t="n"/>
      <c r="AQ45" s="36" t="n"/>
      <c r="AR45" s="36" t="n"/>
      <c r="AS45" s="36" t="n"/>
      <c r="AT45" s="36" t="n"/>
      <c r="AU45" s="36" t="n"/>
      <c r="AV45" s="36" t="n"/>
      <c r="AW45" s="36" t="n"/>
      <c r="AX45" s="36" t="n"/>
      <c r="AY45" s="36" t="n"/>
      <c r="AZ45" s="36" t="n"/>
      <c r="BA45" s="36" t="n"/>
      <c r="BB45" s="36" t="n"/>
      <c r="BC45" s="36" t="n"/>
      <c r="BD45" s="36" t="n"/>
      <c r="BE45" s="36" t="n"/>
      <c r="BF45" s="36" t="n"/>
      <c r="BG45" s="36" t="n"/>
      <c r="BH45" s="36" t="n"/>
      <c r="BI45" s="36" t="n"/>
      <c r="BJ45" s="36" t="n"/>
      <c r="BK45" s="36" t="n"/>
    </row>
    <row r="46" ht="34" customHeight="1">
      <c r="A46" s="37" t="n"/>
      <c r="B46" s="35" t="inlineStr"/>
      <c r="C46" s="26">
        <f>IF(TRIM($B46)="","",IFERROR(INDEX(People!$A$2:$A$199,MATCH(TRIM($B46),People!$B$2:$B$199,0)),IFERROR(INDEX(Teams!$A$2:$A$9,MATCH(TRIM($B46),Teams!$B$2:$B$9,0)),"?? CHECK NAME")))</f>
        <v/>
      </c>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c r="AA46" s="36" t="n"/>
      <c r="AB46" s="36" t="n"/>
      <c r="AC46" s="36" t="n"/>
      <c r="AD46" s="36" t="n"/>
      <c r="AE46" s="36" t="n"/>
      <c r="AF46" s="36" t="n"/>
      <c r="AG46" s="36" t="n"/>
      <c r="AH46" s="36" t="n"/>
      <c r="AI46" s="36" t="n"/>
      <c r="AJ46" s="36" t="n"/>
      <c r="AK46" s="36" t="n"/>
      <c r="AL46" s="36" t="n"/>
      <c r="AM46" s="36" t="n"/>
      <c r="AN46" s="36" t="n"/>
      <c r="AO46" s="36" t="n"/>
      <c r="AP46" s="36" t="n"/>
      <c r="AQ46" s="36" t="n"/>
      <c r="AR46" s="36" t="n"/>
      <c r="AS46" s="36" t="n"/>
      <c r="AT46" s="36" t="n"/>
      <c r="AU46" s="36" t="n"/>
      <c r="AV46" s="36" t="n"/>
      <c r="AW46" s="36" t="n"/>
      <c r="AX46" s="36" t="n"/>
      <c r="AY46" s="36" t="n"/>
      <c r="AZ46" s="36" t="n"/>
      <c r="BA46" s="36" t="n"/>
      <c r="BB46" s="36" t="n"/>
      <c r="BC46" s="36" t="n"/>
      <c r="BD46" s="36" t="n"/>
      <c r="BE46" s="36" t="n"/>
      <c r="BF46" s="36" t="n"/>
      <c r="BG46" s="36" t="n"/>
      <c r="BH46" s="36" t="n"/>
      <c r="BI46" s="36" t="n"/>
      <c r="BJ46" s="36" t="n"/>
      <c r="BK46" s="36" t="n"/>
    </row>
    <row r="47" ht="34" customHeight="1">
      <c r="A47" s="37" t="n"/>
      <c r="B47" s="35" t="inlineStr"/>
      <c r="C47" s="26">
        <f>IF(TRIM($B47)="","",IFERROR(INDEX(People!$A$2:$A$199,MATCH(TRIM($B47),People!$B$2:$B$199,0)),IFERROR(INDEX(Teams!$A$2:$A$9,MATCH(TRIM($B47),Teams!$B$2:$B$9,0)),"?? CHECK NAME")))</f>
        <v/>
      </c>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c r="AF47" s="36" t="n"/>
      <c r="AG47" s="36" t="n"/>
      <c r="AH47" s="36" t="n"/>
      <c r="AI47" s="36" t="n"/>
      <c r="AJ47" s="36" t="n"/>
      <c r="AK47" s="36" t="n"/>
      <c r="AL47" s="36" t="n"/>
      <c r="AM47" s="36" t="n"/>
      <c r="AN47" s="36" t="n"/>
      <c r="AO47" s="36" t="n"/>
      <c r="AP47" s="36" t="n"/>
      <c r="AQ47" s="36" t="n"/>
      <c r="AR47" s="36" t="n"/>
      <c r="AS47" s="36" t="n"/>
      <c r="AT47" s="36" t="n"/>
      <c r="AU47" s="36" t="n"/>
      <c r="AV47" s="36" t="n"/>
      <c r="AW47" s="36" t="n"/>
      <c r="AX47" s="36" t="n"/>
      <c r="AY47" s="36" t="n"/>
      <c r="AZ47" s="36" t="n"/>
      <c r="BA47" s="36" t="n"/>
      <c r="BB47" s="36" t="n"/>
      <c r="BC47" s="36" t="n"/>
      <c r="BD47" s="36" t="n"/>
      <c r="BE47" s="36" t="n"/>
      <c r="BF47" s="36" t="n"/>
      <c r="BG47" s="36" t="n"/>
      <c r="BH47" s="36" t="n"/>
      <c r="BI47" s="36" t="n"/>
      <c r="BJ47" s="36" t="n"/>
      <c r="BK47" s="36" t="n"/>
    </row>
    <row r="48" ht="34" customHeight="1">
      <c r="A48" s="38" t="n"/>
      <c r="B48" s="35" t="inlineStr"/>
      <c r="C48" s="26">
        <f>IF(TRIM($B48)="","",IFERROR(INDEX(People!$A$2:$A$199,MATCH(TRIM($B48),People!$B$2:$B$199,0)),IFERROR(INDEX(Teams!$A$2:$A$9,MATCH(TRIM($B48),Teams!$B$2:$B$9,0)),"?? CHECK NAME")))</f>
        <v/>
      </c>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c r="AF48" s="36" t="n"/>
      <c r="AG48" s="36" t="n"/>
      <c r="AH48" s="36" t="n"/>
      <c r="AI48" s="36" t="n"/>
      <c r="AJ48" s="36" t="n"/>
      <c r="AK48" s="36" t="n"/>
      <c r="AL48" s="36" t="n"/>
      <c r="AM48" s="36" t="n"/>
      <c r="AN48" s="36" t="n"/>
      <c r="AO48" s="36" t="n"/>
      <c r="AP48" s="36" t="n"/>
      <c r="AQ48" s="36" t="n"/>
      <c r="AR48" s="36" t="n"/>
      <c r="AS48" s="36" t="n"/>
      <c r="AT48" s="36" t="n"/>
      <c r="AU48" s="36" t="n"/>
      <c r="AV48" s="36" t="n"/>
      <c r="AW48" s="36" t="n"/>
      <c r="AX48" s="36" t="n"/>
      <c r="AY48" s="36" t="n"/>
      <c r="AZ48" s="36" t="n"/>
      <c r="BA48" s="36" t="n"/>
      <c r="BB48" s="36" t="n"/>
      <c r="BC48" s="36" t="n"/>
      <c r="BD48" s="36" t="n"/>
      <c r="BE48" s="36" t="n"/>
      <c r="BF48" s="36" t="n"/>
      <c r="BG48" s="36" t="n"/>
      <c r="BH48" s="36" t="n"/>
      <c r="BI48" s="36" t="n"/>
      <c r="BJ48" s="36" t="n"/>
      <c r="BK48" s="36" t="n"/>
    </row>
    <row r="49" ht="34" customHeight="1">
      <c r="A49" s="16" t="inlineStr">
        <is>
          <t>Judging</t>
        </is>
      </c>
      <c r="B49" s="35" t="inlineStr"/>
      <c r="C49" s="26">
        <f>IF(TRIM($B49)="","",IFERROR(INDEX(People!$A$2:$A$199,MATCH(TRIM($B49),People!$B$2:$B$199,0)),IFERROR(INDEX(Teams!$A$2:$A$9,MATCH(TRIM($B49),Teams!$B$2:$B$9,0)),"?? CHECK NAME")))</f>
        <v/>
      </c>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row>
    <row r="50" ht="34" customHeight="1">
      <c r="A50" s="37" t="n"/>
      <c r="B50" s="35" t="inlineStr"/>
      <c r="C50" s="26">
        <f>IF(TRIM($B50)="","",IFERROR(INDEX(People!$A$2:$A$199,MATCH(TRIM($B50),People!$B$2:$B$199,0)),IFERROR(INDEX(Teams!$A$2:$A$9,MATCH(TRIM($B50),Teams!$B$2:$B$9,0)),"?? CHECK NAME")))</f>
        <v/>
      </c>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c r="AF50" s="36" t="n"/>
      <c r="AG50" s="36" t="n"/>
      <c r="AH50" s="36" t="n"/>
      <c r="AI50" s="36" t="n"/>
      <c r="AJ50" s="36" t="n"/>
      <c r="AK50" s="36" t="n"/>
      <c r="AL50" s="36" t="n"/>
      <c r="AM50" s="36" t="n"/>
      <c r="AN50" s="36" t="n"/>
      <c r="AO50" s="36" t="n"/>
      <c r="AP50" s="36" t="n"/>
      <c r="AQ50" s="36" t="n"/>
      <c r="AR50" s="36" t="n"/>
      <c r="AS50" s="36" t="n"/>
      <c r="AT50" s="36" t="n"/>
      <c r="AU50" s="36" t="n"/>
      <c r="AV50" s="36" t="n"/>
      <c r="AW50" s="36" t="n"/>
      <c r="AX50" s="36" t="n"/>
      <c r="AY50" s="36" t="n"/>
      <c r="AZ50" s="36" t="n"/>
      <c r="BA50" s="36" t="n"/>
      <c r="BB50" s="36" t="n"/>
      <c r="BC50" s="36" t="n"/>
      <c r="BD50" s="36" t="n"/>
      <c r="BE50" s="36" t="n"/>
      <c r="BF50" s="36" t="n"/>
      <c r="BG50" s="36" t="n"/>
      <c r="BH50" s="36" t="n"/>
      <c r="BI50" s="36" t="n"/>
      <c r="BJ50" s="36" t="n"/>
      <c r="BK50" s="36" t="n"/>
    </row>
    <row r="51" ht="34" customHeight="1">
      <c r="A51" s="37" t="n"/>
      <c r="B51" s="35" t="inlineStr"/>
      <c r="C51" s="26">
        <f>IF(TRIM($B51)="","",IFERROR(INDEX(People!$A$2:$A$199,MATCH(TRIM($B51),People!$B$2:$B$199,0)),IFERROR(INDEX(Teams!$A$2:$A$9,MATCH(TRIM($B51),Teams!$B$2:$B$9,0)),"?? CHECK NAME")))</f>
        <v/>
      </c>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6" t="n"/>
      <c r="AL51" s="36" t="n"/>
      <c r="AM51" s="36" t="n"/>
      <c r="AN51" s="36" t="n"/>
      <c r="AO51" s="36" t="n"/>
      <c r="AP51" s="36" t="n"/>
      <c r="AQ51" s="36" t="n"/>
      <c r="AR51" s="36" t="n"/>
      <c r="AS51" s="36" t="n"/>
      <c r="AT51" s="36" t="n"/>
      <c r="AU51" s="36" t="n"/>
      <c r="AV51" s="36" t="n"/>
      <c r="AW51" s="36" t="n"/>
      <c r="AX51" s="36" t="n"/>
      <c r="AY51" s="36" t="n"/>
      <c r="AZ51" s="36" t="n"/>
      <c r="BA51" s="36" t="n"/>
      <c r="BB51" s="36" t="n"/>
      <c r="BC51" s="36" t="n"/>
      <c r="BD51" s="36" t="n"/>
      <c r="BE51" s="36" t="n"/>
      <c r="BF51" s="36" t="n"/>
      <c r="BG51" s="36" t="n"/>
      <c r="BH51" s="36" t="n"/>
      <c r="BI51" s="36" t="n"/>
      <c r="BJ51" s="36" t="n"/>
      <c r="BK51" s="36" t="n"/>
    </row>
    <row r="52" ht="34" customHeight="1">
      <c r="A52" s="37" t="n"/>
      <c r="B52" s="35" t="inlineStr"/>
      <c r="C52" s="26">
        <f>IF(TRIM($B52)="","",IFERROR(INDEX(People!$A$2:$A$199,MATCH(TRIM($B52),People!$B$2:$B$199,0)),IFERROR(INDEX(Teams!$A$2:$A$9,MATCH(TRIM($B52),Teams!$B$2:$B$9,0)),"?? CHECK NAME")))</f>
        <v/>
      </c>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c r="AF52" s="36" t="n"/>
      <c r="AG52" s="36" t="n"/>
      <c r="AH52" s="36" t="n"/>
      <c r="AI52" s="36" t="n"/>
      <c r="AJ52" s="36" t="n"/>
      <c r="AK52" s="36" t="n"/>
      <c r="AL52" s="36" t="n"/>
      <c r="AM52" s="36" t="n"/>
      <c r="AN52" s="36" t="n"/>
      <c r="AO52" s="36" t="n"/>
      <c r="AP52" s="36" t="n"/>
      <c r="AQ52" s="36" t="n"/>
      <c r="AR52" s="36" t="n"/>
      <c r="AS52" s="36" t="n"/>
      <c r="AT52" s="36" t="n"/>
      <c r="AU52" s="36" t="n"/>
      <c r="AV52" s="36" t="n"/>
      <c r="AW52" s="36" t="n"/>
      <c r="AX52" s="36" t="n"/>
      <c r="AY52" s="36" t="n"/>
      <c r="AZ52" s="36" t="n"/>
      <c r="BA52" s="36" t="n"/>
      <c r="BB52" s="36" t="n"/>
      <c r="BC52" s="36" t="n"/>
      <c r="BD52" s="36" t="n"/>
      <c r="BE52" s="36" t="n"/>
      <c r="BF52" s="36" t="n"/>
      <c r="BG52" s="36" t="n"/>
      <c r="BH52" s="36" t="n"/>
      <c r="BI52" s="36" t="n"/>
      <c r="BJ52" s="36" t="n"/>
      <c r="BK52" s="36" t="n"/>
    </row>
    <row r="53" ht="34" customHeight="1">
      <c r="A53" s="38" t="n"/>
      <c r="B53" s="35" t="inlineStr"/>
      <c r="C53" s="26">
        <f>IF(TRIM($B53)="","",IFERROR(INDEX(People!$A$2:$A$199,MATCH(TRIM($B53),People!$B$2:$B$199,0)),IFERROR(INDEX(Teams!$A$2:$A$9,MATCH(TRIM($B53),Teams!$B$2:$B$9,0)),"?? CHECK NAME")))</f>
        <v/>
      </c>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c r="AF53" s="36" t="n"/>
      <c r="AG53" s="36" t="n"/>
      <c r="AH53" s="36" t="n"/>
      <c r="AI53" s="36" t="n"/>
      <c r="AJ53" s="36" t="n"/>
      <c r="AK53" s="36" t="n"/>
      <c r="AL53" s="36" t="n"/>
      <c r="AM53" s="36" t="n"/>
      <c r="AN53" s="36" t="n"/>
      <c r="AO53" s="36" t="n"/>
      <c r="AP53" s="36" t="n"/>
      <c r="AQ53" s="36" t="n"/>
      <c r="AR53" s="36" t="n"/>
      <c r="AS53" s="36" t="n"/>
      <c r="AT53" s="36" t="n"/>
      <c r="AU53" s="36" t="n"/>
      <c r="AV53" s="36" t="n"/>
      <c r="AW53" s="36" t="n"/>
      <c r="AX53" s="36" t="n"/>
      <c r="AY53" s="36" t="n"/>
      <c r="AZ53" s="36" t="n"/>
      <c r="BA53" s="36" t="n"/>
      <c r="BB53" s="36" t="n"/>
      <c r="BC53" s="36" t="n"/>
      <c r="BD53" s="36" t="n"/>
      <c r="BE53" s="36" t="n"/>
      <c r="BF53" s="36" t="n"/>
      <c r="BG53" s="36" t="n"/>
      <c r="BH53" s="36" t="n"/>
      <c r="BI53" s="36" t="n"/>
      <c r="BJ53" s="36" t="n"/>
      <c r="BK53" s="36" t="n"/>
    </row>
    <row r="54" ht="34" customHeight="1">
      <c r="A54" s="16" t="inlineStr">
        <is>
          <t>Fundraising</t>
        </is>
      </c>
      <c r="B54" s="35" t="inlineStr"/>
      <c r="C54" s="26">
        <f>IF(TRIM($B54)="","",IFERROR(INDEX(People!$A$2:$A$199,MATCH(TRIM($B54),People!$B$2:$B$199,0)),IFERROR(INDEX(Teams!$A$2:$A$9,MATCH(TRIM($B54),Teams!$B$2:$B$9,0)),"?? CHECK NAME")))</f>
        <v/>
      </c>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c r="AF54" s="36" t="n"/>
      <c r="AG54" s="36" t="n"/>
      <c r="AH54" s="36" t="n"/>
      <c r="AI54" s="36" t="n"/>
      <c r="AJ54" s="36" t="n"/>
      <c r="AK54" s="36" t="n"/>
      <c r="AL54" s="36" t="n"/>
      <c r="AM54" s="36" t="n"/>
      <c r="AN54" s="36" t="n"/>
      <c r="AO54" s="36" t="n"/>
      <c r="AP54" s="36" t="n"/>
      <c r="AQ54" s="36" t="n"/>
      <c r="AR54" s="36" t="n"/>
      <c r="AS54" s="36" t="n"/>
      <c r="AT54" s="36" t="n"/>
      <c r="AU54" s="36" t="n"/>
      <c r="AV54" s="36" t="n"/>
      <c r="AW54" s="36" t="n"/>
      <c r="AX54" s="36" t="n"/>
      <c r="AY54" s="36" t="n"/>
      <c r="AZ54" s="36" t="n"/>
      <c r="BA54" s="36" t="n"/>
      <c r="BB54" s="36" t="n"/>
      <c r="BC54" s="36" t="n"/>
      <c r="BD54" s="36" t="n"/>
      <c r="BE54" s="36" t="n"/>
      <c r="BF54" s="36" t="n"/>
      <c r="BG54" s="36" t="n"/>
      <c r="BH54" s="36" t="n"/>
      <c r="BI54" s="36" t="n"/>
      <c r="BJ54" s="36" t="n"/>
      <c r="BK54" s="36" t="n"/>
    </row>
    <row r="55" ht="34" customHeight="1">
      <c r="A55" s="37" t="n"/>
      <c r="B55" s="35" t="inlineStr"/>
      <c r="C55" s="26">
        <f>IF(TRIM($B55)="","",IFERROR(INDEX(People!$A$2:$A$199,MATCH(TRIM($B55),People!$B$2:$B$199,0)),IFERROR(INDEX(Teams!$A$2:$A$9,MATCH(TRIM($B55),Teams!$B$2:$B$9,0)),"?? CHECK NAME")))</f>
        <v/>
      </c>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c r="AF55" s="36" t="n"/>
      <c r="AG55" s="36" t="n"/>
      <c r="AH55" s="36" t="n"/>
      <c r="AI55" s="36" t="n"/>
      <c r="AJ55" s="36" t="n"/>
      <c r="AK55" s="36" t="n"/>
      <c r="AL55" s="36" t="n"/>
      <c r="AM55" s="36" t="n"/>
      <c r="AN55" s="36" t="n"/>
      <c r="AO55" s="36" t="n"/>
      <c r="AP55" s="36" t="n"/>
      <c r="AQ55" s="36" t="n"/>
      <c r="AR55" s="36" t="n"/>
      <c r="AS55" s="36" t="n"/>
      <c r="AT55" s="36" t="n"/>
      <c r="AU55" s="36" t="n"/>
      <c r="AV55" s="36" t="n"/>
      <c r="AW55" s="36" t="n"/>
      <c r="AX55" s="36" t="n"/>
      <c r="AY55" s="36" t="n"/>
      <c r="AZ55" s="36" t="n"/>
      <c r="BA55" s="36" t="n"/>
      <c r="BB55" s="36" t="n"/>
      <c r="BC55" s="36" t="n"/>
      <c r="BD55" s="36" t="n"/>
      <c r="BE55" s="36" t="n"/>
      <c r="BF55" s="36" t="n"/>
      <c r="BG55" s="36" t="n"/>
      <c r="BH55" s="36" t="n"/>
      <c r="BI55" s="36" t="n"/>
      <c r="BJ55" s="36" t="n"/>
      <c r="BK55" s="36" t="n"/>
    </row>
    <row r="56" ht="34" customHeight="1">
      <c r="A56" s="37" t="n"/>
      <c r="B56" s="35" t="inlineStr"/>
      <c r="C56" s="26">
        <f>IF(TRIM($B56)="","",IFERROR(INDEX(People!$A$2:$A$199,MATCH(TRIM($B56),People!$B$2:$B$199,0)),IFERROR(INDEX(Teams!$A$2:$A$9,MATCH(TRIM($B56),Teams!$B$2:$B$9,0)),"?? CHECK NAME")))</f>
        <v/>
      </c>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c r="AF56" s="36" t="n"/>
      <c r="AG56" s="36" t="n"/>
      <c r="AH56" s="36" t="n"/>
      <c r="AI56" s="36" t="n"/>
      <c r="AJ56" s="36" t="n"/>
      <c r="AK56" s="36" t="n"/>
      <c r="AL56" s="36" t="n"/>
      <c r="AM56" s="36" t="n"/>
      <c r="AN56" s="36" t="n"/>
      <c r="AO56" s="36" t="n"/>
      <c r="AP56" s="36" t="n"/>
      <c r="AQ56" s="36" t="n"/>
      <c r="AR56" s="36" t="n"/>
      <c r="AS56" s="36" t="n"/>
      <c r="AT56" s="36" t="n"/>
      <c r="AU56" s="36" t="n"/>
      <c r="AV56" s="36" t="n"/>
      <c r="AW56" s="36" t="n"/>
      <c r="AX56" s="36" t="n"/>
      <c r="AY56" s="36" t="n"/>
      <c r="AZ56" s="36" t="n"/>
      <c r="BA56" s="36" t="n"/>
      <c r="BB56" s="36" t="n"/>
      <c r="BC56" s="36" t="n"/>
      <c r="BD56" s="36" t="n"/>
      <c r="BE56" s="36" t="n"/>
      <c r="BF56" s="36" t="n"/>
      <c r="BG56" s="36" t="n"/>
      <c r="BH56" s="36" t="n"/>
      <c r="BI56" s="36" t="n"/>
      <c r="BJ56" s="36" t="n"/>
      <c r="BK56" s="36" t="n"/>
    </row>
    <row r="57" ht="34" customHeight="1">
      <c r="A57" s="37" t="n"/>
      <c r="B57" s="35" t="inlineStr"/>
      <c r="C57" s="26">
        <f>IF(TRIM($B57)="","",IFERROR(INDEX(People!$A$2:$A$199,MATCH(TRIM($B57),People!$B$2:$B$199,0)),IFERROR(INDEX(Teams!$A$2:$A$9,MATCH(TRIM($B57),Teams!$B$2:$B$9,0)),"?? CHECK NAME")))</f>
        <v/>
      </c>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6" t="n"/>
      <c r="AL57" s="36" t="n"/>
      <c r="AM57" s="36" t="n"/>
      <c r="AN57" s="36" t="n"/>
      <c r="AO57" s="36" t="n"/>
      <c r="AP57" s="36" t="n"/>
      <c r="AQ57" s="36" t="n"/>
      <c r="AR57" s="36" t="n"/>
      <c r="AS57" s="36" t="n"/>
      <c r="AT57" s="36" t="n"/>
      <c r="AU57" s="36" t="n"/>
      <c r="AV57" s="36" t="n"/>
      <c r="AW57" s="36" t="n"/>
      <c r="AX57" s="36" t="n"/>
      <c r="AY57" s="36" t="n"/>
      <c r="AZ57" s="36" t="n"/>
      <c r="BA57" s="36" t="n"/>
      <c r="BB57" s="36" t="n"/>
      <c r="BC57" s="36" t="n"/>
      <c r="BD57" s="36" t="n"/>
      <c r="BE57" s="36" t="n"/>
      <c r="BF57" s="36" t="n"/>
      <c r="BG57" s="36" t="n"/>
      <c r="BH57" s="36" t="n"/>
      <c r="BI57" s="36" t="n"/>
      <c r="BJ57" s="36" t="n"/>
      <c r="BK57" s="36" t="n"/>
    </row>
    <row r="58" ht="34" customHeight="1">
      <c r="A58" s="38" t="n"/>
      <c r="B58" s="35" t="inlineStr"/>
      <c r="C58" s="26">
        <f>IF(TRIM($B58)="","",IFERROR(INDEX(People!$A$2:$A$199,MATCH(TRIM($B58),People!$B$2:$B$199,0)),IFERROR(INDEX(Teams!$A$2:$A$9,MATCH(TRIM($B58),Teams!$B$2:$B$9,0)),"?? CHECK NAME")))</f>
        <v/>
      </c>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c r="AF58" s="36" t="n"/>
      <c r="AG58" s="36" t="n"/>
      <c r="AH58" s="36" t="n"/>
      <c r="AI58" s="36" t="n"/>
      <c r="AJ58" s="36" t="n"/>
      <c r="AK58" s="36" t="n"/>
      <c r="AL58" s="36" t="n"/>
      <c r="AM58" s="36" t="n"/>
      <c r="AN58" s="36" t="n"/>
      <c r="AO58" s="36" t="n"/>
      <c r="AP58" s="36" t="n"/>
      <c r="AQ58" s="36" t="n"/>
      <c r="AR58" s="36" t="n"/>
      <c r="AS58" s="36" t="n"/>
      <c r="AT58" s="36" t="n"/>
      <c r="AU58" s="36" t="n"/>
      <c r="AV58" s="36" t="n"/>
      <c r="AW58" s="36" t="n"/>
      <c r="AX58" s="36" t="n"/>
      <c r="AY58" s="36" t="n"/>
      <c r="AZ58" s="36" t="n"/>
      <c r="BA58" s="36" t="n"/>
      <c r="BB58" s="36" t="n"/>
      <c r="BC58" s="36" t="n"/>
      <c r="BD58" s="36" t="n"/>
      <c r="BE58" s="36" t="n"/>
      <c r="BF58" s="36" t="n"/>
      <c r="BG58" s="36" t="n"/>
      <c r="BH58" s="36" t="n"/>
      <c r="BI58" s="36" t="n"/>
      <c r="BJ58" s="36" t="n"/>
      <c r="BK58" s="36" t="n"/>
    </row>
    <row r="59" ht="34" customHeight="1">
      <c r="A59" s="16" t="inlineStr">
        <is>
          <t>Campus Wellness</t>
        </is>
      </c>
      <c r="B59" s="35" t="inlineStr"/>
      <c r="C59" s="26">
        <f>IF(TRIM($B59)="","",IFERROR(INDEX(People!$A$2:$A$199,MATCH(TRIM($B59),People!$B$2:$B$199,0)),IFERROR(INDEX(Teams!$A$2:$A$9,MATCH(TRIM($B59),Teams!$B$2:$B$9,0)),"?? CHECK NAME")))</f>
        <v/>
      </c>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c r="AF59" s="36" t="n"/>
      <c r="AG59" s="36" t="n"/>
      <c r="AH59" s="36" t="n"/>
      <c r="AI59" s="36" t="n"/>
      <c r="AJ59" s="36" t="n"/>
      <c r="AK59" s="36" t="n"/>
      <c r="AL59" s="36" t="n"/>
      <c r="AM59" s="36" t="n"/>
      <c r="AN59" s="36" t="n"/>
      <c r="AO59" s="36" t="n"/>
      <c r="AP59" s="36" t="n"/>
      <c r="AQ59" s="36" t="n"/>
      <c r="AR59" s="36" t="n"/>
      <c r="AS59" s="36" t="n"/>
      <c r="AT59" s="36" t="n"/>
      <c r="AU59" s="36" t="n"/>
      <c r="AV59" s="36" t="n"/>
      <c r="AW59" s="36" t="n"/>
      <c r="AX59" s="36" t="n"/>
      <c r="AY59" s="36" t="n"/>
      <c r="AZ59" s="36" t="n"/>
      <c r="BA59" s="36" t="n"/>
      <c r="BB59" s="36" t="n"/>
      <c r="BC59" s="36" t="n"/>
      <c r="BD59" s="36" t="n"/>
      <c r="BE59" s="36" t="n"/>
      <c r="BF59" s="36" t="n"/>
      <c r="BG59" s="36" t="n"/>
      <c r="BH59" s="36" t="n"/>
      <c r="BI59" s="36" t="n"/>
      <c r="BJ59" s="36" t="n"/>
      <c r="BK59" s="36" t="n"/>
    </row>
    <row r="60" ht="34" customHeight="1">
      <c r="A60" s="37" t="n"/>
      <c r="B60" s="35" t="inlineStr"/>
      <c r="C60" s="26">
        <f>IF(TRIM($B60)="","",IFERROR(INDEX(People!$A$2:$A$199,MATCH(TRIM($B60),People!$B$2:$B$199,0)),IFERROR(INDEX(Teams!$A$2:$A$9,MATCH(TRIM($B60),Teams!$B$2:$B$9,0)),"?? CHECK NAME")))</f>
        <v/>
      </c>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c r="AF60" s="36" t="n"/>
      <c r="AG60" s="36" t="n"/>
      <c r="AH60" s="36" t="n"/>
      <c r="AI60" s="36" t="n"/>
      <c r="AJ60" s="36" t="n"/>
      <c r="AK60" s="36" t="n"/>
      <c r="AL60" s="36" t="n"/>
      <c r="AM60" s="36" t="n"/>
      <c r="AN60" s="36" t="n"/>
      <c r="AO60" s="36" t="n"/>
      <c r="AP60" s="36" t="n"/>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row>
    <row r="61" ht="34" customHeight="1">
      <c r="A61" s="37" t="n"/>
      <c r="B61" s="35" t="inlineStr"/>
      <c r="C61" s="26">
        <f>IF(TRIM($B61)="","",IFERROR(INDEX(People!$A$2:$A$199,MATCH(TRIM($B61),People!$B$2:$B$199,0)),IFERROR(INDEX(Teams!$A$2:$A$9,MATCH(TRIM($B61),Teams!$B$2:$B$9,0)),"?? CHECK NAME")))</f>
        <v/>
      </c>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c r="AF61" s="36" t="n"/>
      <c r="AG61" s="36" t="n"/>
      <c r="AH61" s="36" t="n"/>
      <c r="AI61" s="36" t="n"/>
      <c r="AJ61" s="36" t="n"/>
      <c r="AK61" s="36" t="n"/>
      <c r="AL61" s="36" t="n"/>
      <c r="AM61" s="36" t="n"/>
      <c r="AN61" s="36" t="n"/>
      <c r="AO61" s="36" t="n"/>
      <c r="AP61" s="36" t="n"/>
      <c r="AQ61" s="36" t="n"/>
      <c r="AR61" s="36" t="n"/>
      <c r="AS61" s="36" t="n"/>
      <c r="AT61" s="36" t="n"/>
      <c r="AU61" s="36" t="n"/>
      <c r="AV61" s="36" t="n"/>
      <c r="AW61" s="36" t="n"/>
      <c r="AX61" s="36" t="n"/>
      <c r="AY61" s="36" t="n"/>
      <c r="AZ61" s="36" t="n"/>
      <c r="BA61" s="36" t="n"/>
      <c r="BB61" s="36" t="n"/>
      <c r="BC61" s="36" t="n"/>
      <c r="BD61" s="36" t="n"/>
      <c r="BE61" s="36" t="n"/>
      <c r="BF61" s="36" t="n"/>
      <c r="BG61" s="36" t="n"/>
      <c r="BH61" s="36" t="n"/>
      <c r="BI61" s="36" t="n"/>
      <c r="BJ61" s="36" t="n"/>
      <c r="BK61" s="36" t="n"/>
    </row>
    <row r="62" ht="34" customHeight="1">
      <c r="A62" s="37" t="n"/>
      <c r="B62" s="35" t="inlineStr"/>
      <c r="C62" s="26">
        <f>IF(TRIM($B62)="","",IFERROR(INDEX(People!$A$2:$A$199,MATCH(TRIM($B62),People!$B$2:$B$199,0)),IFERROR(INDEX(Teams!$A$2:$A$9,MATCH(TRIM($B62),Teams!$B$2:$B$9,0)),"?? CHECK NAME")))</f>
        <v/>
      </c>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c r="AF62" s="36" t="n"/>
      <c r="AG62" s="36" t="n"/>
      <c r="AH62" s="36" t="n"/>
      <c r="AI62" s="36" t="n"/>
      <c r="AJ62" s="36" t="n"/>
      <c r="AK62" s="36" t="n"/>
      <c r="AL62" s="36" t="n"/>
      <c r="AM62" s="36" t="n"/>
      <c r="AN62" s="36" t="n"/>
      <c r="AO62" s="36" t="n"/>
      <c r="AP62" s="36" t="n"/>
      <c r="AQ62" s="36" t="n"/>
      <c r="AR62" s="36" t="n"/>
      <c r="AS62" s="36" t="n"/>
      <c r="AT62" s="36" t="n"/>
      <c r="AU62" s="36" t="n"/>
      <c r="AV62" s="36" t="n"/>
      <c r="AW62" s="36" t="n"/>
      <c r="AX62" s="36" t="n"/>
      <c r="AY62" s="36" t="n"/>
      <c r="AZ62" s="36" t="n"/>
      <c r="BA62" s="36" t="n"/>
      <c r="BB62" s="36" t="n"/>
      <c r="BC62" s="36" t="n"/>
      <c r="BD62" s="36" t="n"/>
      <c r="BE62" s="36" t="n"/>
      <c r="BF62" s="36" t="n"/>
      <c r="BG62" s="36" t="n"/>
      <c r="BH62" s="36" t="n"/>
      <c r="BI62" s="36" t="n"/>
      <c r="BJ62" s="36" t="n"/>
      <c r="BK62" s="36" t="n"/>
    </row>
    <row r="63" ht="34" customHeight="1">
      <c r="A63" s="38" t="n"/>
      <c r="B63" s="35" t="inlineStr"/>
      <c r="C63" s="26">
        <f>IF(TRIM($B63)="","",IFERROR(INDEX(People!$A$2:$A$199,MATCH(TRIM($B63),People!$B$2:$B$199,0)),IFERROR(INDEX(Teams!$A$2:$A$9,MATCH(TRIM($B63),Teams!$B$2:$B$9,0)),"?? CHECK NAME")))</f>
        <v/>
      </c>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c r="AF63" s="36" t="n"/>
      <c r="AG63" s="36" t="n"/>
      <c r="AH63" s="36" t="n"/>
      <c r="AI63" s="36" t="n"/>
      <c r="AJ63" s="36" t="n"/>
      <c r="AK63" s="36" t="n"/>
      <c r="AL63" s="36" t="n"/>
      <c r="AM63" s="36" t="n"/>
      <c r="AN63" s="36" t="n"/>
      <c r="AO63" s="36" t="n"/>
      <c r="AP63" s="36" t="n"/>
      <c r="AQ63" s="36" t="n"/>
      <c r="AR63" s="36" t="n"/>
      <c r="AS63" s="36" t="n"/>
      <c r="AT63" s="36" t="n"/>
      <c r="AU63" s="36" t="n"/>
      <c r="AV63" s="36" t="n"/>
      <c r="AW63" s="36" t="n"/>
      <c r="AX63" s="36" t="n"/>
      <c r="AY63" s="36" t="n"/>
      <c r="AZ63" s="36" t="n"/>
      <c r="BA63" s="36" t="n"/>
      <c r="BB63" s="36" t="n"/>
      <c r="BC63" s="36" t="n"/>
      <c r="BD63" s="36" t="n"/>
      <c r="BE63" s="36" t="n"/>
      <c r="BF63" s="36" t="n"/>
      <c r="BG63" s="36" t="n"/>
      <c r="BH63" s="36" t="n"/>
      <c r="BI63" s="36" t="n"/>
      <c r="BJ63" s="36" t="n"/>
      <c r="BK63" s="36" t="n"/>
    </row>
    <row r="64" ht="34" customHeight="1">
      <c r="A64" s="16" t="inlineStr">
        <is>
          <t>FreshReps</t>
        </is>
      </c>
      <c r="B64" s="35" t="inlineStr"/>
      <c r="C64" s="26">
        <f>IF(TRIM($B64)="","",IFERROR(INDEX(People!$A$2:$A$199,MATCH(TRIM($B64),People!$B$2:$B$199,0)),IFERROR(INDEX(Teams!$A$2:$A$9,MATCH(TRIM($B64),Teams!$B$2:$B$9,0)),"?? CHECK NAME")))</f>
        <v/>
      </c>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c r="AF64" s="36" t="n"/>
      <c r="AG64" s="36" t="n"/>
      <c r="AH64" s="36" t="n"/>
      <c r="AI64" s="36" t="n"/>
      <c r="AJ64" s="36" t="n"/>
      <c r="AK64" s="36" t="n"/>
      <c r="AL64" s="36" t="n"/>
      <c r="AM64" s="36" t="n"/>
      <c r="AN64" s="36" t="n"/>
      <c r="AO64" s="36" t="n"/>
      <c r="AP64" s="36" t="n"/>
      <c r="AQ64" s="36" t="n"/>
      <c r="AR64" s="36" t="n"/>
      <c r="AS64" s="36" t="n"/>
      <c r="AT64" s="36" t="n"/>
      <c r="AU64" s="36" t="n"/>
      <c r="AV64" s="36" t="n"/>
      <c r="AW64" s="36" t="n"/>
      <c r="AX64" s="36" t="n"/>
      <c r="AY64" s="36" t="n"/>
      <c r="AZ64" s="36" t="n"/>
      <c r="BA64" s="36" t="n"/>
      <c r="BB64" s="36" t="n"/>
      <c r="BC64" s="36" t="n"/>
      <c r="BD64" s="36" t="n"/>
      <c r="BE64" s="36" t="n"/>
      <c r="BF64" s="36" t="n"/>
      <c r="BG64" s="36" t="n"/>
      <c r="BH64" s="36" t="n"/>
      <c r="BI64" s="36" t="n"/>
      <c r="BJ64" s="36" t="n"/>
      <c r="BK64" s="36" t="n"/>
    </row>
    <row r="65" ht="34" customHeight="1">
      <c r="A65" s="37" t="n"/>
      <c r="B65" s="35" t="inlineStr"/>
      <c r="C65" s="26">
        <f>IF(TRIM($B65)="","",IFERROR(INDEX(People!$A$2:$A$199,MATCH(TRIM($B65),People!$B$2:$B$199,0)),IFERROR(INDEX(Teams!$A$2:$A$9,MATCH(TRIM($B65),Teams!$B$2:$B$9,0)),"?? CHECK NAME")))</f>
        <v/>
      </c>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c r="AF65" s="36" t="n"/>
      <c r="AG65" s="36" t="n"/>
      <c r="AH65" s="36" t="n"/>
      <c r="AI65" s="36" t="n"/>
      <c r="AJ65" s="36" t="n"/>
      <c r="AK65" s="36" t="n"/>
      <c r="AL65" s="36" t="n"/>
      <c r="AM65" s="36" t="n"/>
      <c r="AN65" s="36" t="n"/>
      <c r="AO65" s="36" t="n"/>
      <c r="AP65" s="36" t="n"/>
      <c r="AQ65" s="36" t="n"/>
      <c r="AR65" s="36" t="n"/>
      <c r="AS65" s="36" t="n"/>
      <c r="AT65" s="36" t="n"/>
      <c r="AU65" s="36" t="n"/>
      <c r="AV65" s="36" t="n"/>
      <c r="AW65" s="36" t="n"/>
      <c r="AX65" s="36" t="n"/>
      <c r="AY65" s="36" t="n"/>
      <c r="AZ65" s="36" t="n"/>
      <c r="BA65" s="36" t="n"/>
      <c r="BB65" s="36" t="n"/>
      <c r="BC65" s="36" t="n"/>
      <c r="BD65" s="36" t="n"/>
      <c r="BE65" s="36" t="n"/>
      <c r="BF65" s="36" t="n"/>
      <c r="BG65" s="36" t="n"/>
      <c r="BH65" s="36" t="n"/>
      <c r="BI65" s="36" t="n"/>
      <c r="BJ65" s="36" t="n"/>
      <c r="BK65" s="36" t="n"/>
    </row>
    <row r="66" ht="34" customHeight="1">
      <c r="A66" s="37" t="n"/>
      <c r="B66" s="35" t="inlineStr"/>
      <c r="C66" s="26">
        <f>IF(TRIM($B66)="","",IFERROR(INDEX(People!$A$2:$A$199,MATCH(TRIM($B66),People!$B$2:$B$199,0)),IFERROR(INDEX(Teams!$A$2:$A$9,MATCH(TRIM($B66),Teams!$B$2:$B$9,0)),"?? CHECK NAME")))</f>
        <v/>
      </c>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c r="AF66" s="36" t="n"/>
      <c r="AG66" s="36" t="n"/>
      <c r="AH66" s="36" t="n"/>
      <c r="AI66" s="36" t="n"/>
      <c r="AJ66" s="36" t="n"/>
      <c r="AK66" s="36" t="n"/>
      <c r="AL66" s="36" t="n"/>
      <c r="AM66" s="36" t="n"/>
      <c r="AN66" s="36" t="n"/>
      <c r="AO66" s="36" t="n"/>
      <c r="AP66" s="36" t="n"/>
      <c r="AQ66" s="36" t="n"/>
      <c r="AR66" s="36" t="n"/>
      <c r="AS66" s="36" t="n"/>
      <c r="AT66" s="36" t="n"/>
      <c r="AU66" s="36" t="n"/>
      <c r="AV66" s="36" t="n"/>
      <c r="AW66" s="36" t="n"/>
      <c r="AX66" s="36" t="n"/>
      <c r="AY66" s="36" t="n"/>
      <c r="AZ66" s="36" t="n"/>
      <c r="BA66" s="36" t="n"/>
      <c r="BB66" s="36" t="n"/>
      <c r="BC66" s="36" t="n"/>
      <c r="BD66" s="36" t="n"/>
      <c r="BE66" s="36" t="n"/>
      <c r="BF66" s="36" t="n"/>
      <c r="BG66" s="36" t="n"/>
      <c r="BH66" s="36" t="n"/>
      <c r="BI66" s="36" t="n"/>
      <c r="BJ66" s="36" t="n"/>
      <c r="BK66" s="36" t="n"/>
    </row>
    <row r="67" ht="34" customHeight="1">
      <c r="A67" s="37" t="n"/>
      <c r="B67" s="35" t="inlineStr"/>
      <c r="C67" s="26">
        <f>IF(TRIM($B67)="","",IFERROR(INDEX(People!$A$2:$A$199,MATCH(TRIM($B67),People!$B$2:$B$199,0)),IFERROR(INDEX(Teams!$A$2:$A$9,MATCH(TRIM($B67),Teams!$B$2:$B$9,0)),"?? CHECK NAME")))</f>
        <v/>
      </c>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c r="AF67" s="36" t="n"/>
      <c r="AG67" s="36" t="n"/>
      <c r="AH67" s="36" t="n"/>
      <c r="AI67" s="36" t="n"/>
      <c r="AJ67" s="36" t="n"/>
      <c r="AK67" s="36" t="n"/>
      <c r="AL67" s="36" t="n"/>
      <c r="AM67" s="36" t="n"/>
      <c r="AN67" s="36" t="n"/>
      <c r="AO67" s="36" t="n"/>
      <c r="AP67" s="36" t="n"/>
      <c r="AQ67" s="36" t="n"/>
      <c r="AR67" s="36" t="n"/>
      <c r="AS67" s="36" t="n"/>
      <c r="AT67" s="36" t="n"/>
      <c r="AU67" s="36" t="n"/>
      <c r="AV67" s="36" t="n"/>
      <c r="AW67" s="36" t="n"/>
      <c r="AX67" s="36" t="n"/>
      <c r="AY67" s="36" t="n"/>
      <c r="AZ67" s="36" t="n"/>
      <c r="BA67" s="36" t="n"/>
      <c r="BB67" s="36" t="n"/>
      <c r="BC67" s="36" t="n"/>
      <c r="BD67" s="36" t="n"/>
      <c r="BE67" s="36" t="n"/>
      <c r="BF67" s="36" t="n"/>
      <c r="BG67" s="36" t="n"/>
      <c r="BH67" s="36" t="n"/>
      <c r="BI67" s="36" t="n"/>
      <c r="BJ67" s="36" t="n"/>
      <c r="BK67" s="36" t="n"/>
    </row>
    <row r="68" ht="34" customHeight="1">
      <c r="A68" s="38" t="n"/>
      <c r="B68" s="35" t="inlineStr"/>
      <c r="C68" s="26">
        <f>IF(TRIM($B68)="","",IFERROR(INDEX(People!$A$2:$A$199,MATCH(TRIM($B68),People!$B$2:$B$199,0)),IFERROR(INDEX(Teams!$A$2:$A$9,MATCH(TRIM($B68),Teams!$B$2:$B$9,0)),"?? CHECK NAME")))</f>
        <v/>
      </c>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c r="AF68" s="36" t="n"/>
      <c r="AG68" s="36" t="n"/>
      <c r="AH68" s="36" t="n"/>
      <c r="AI68" s="36" t="n"/>
      <c r="AJ68" s="36" t="n"/>
      <c r="AK68" s="36" t="n"/>
      <c r="AL68" s="36" t="n"/>
      <c r="AM68" s="36" t="n"/>
      <c r="AN68" s="36" t="n"/>
      <c r="AO68" s="36" t="n"/>
      <c r="AP68" s="36" t="n"/>
      <c r="AQ68" s="36" t="n"/>
      <c r="AR68" s="36" t="n"/>
      <c r="AS68" s="36" t="n"/>
      <c r="AT68" s="36" t="n"/>
      <c r="AU68" s="36" t="n"/>
      <c r="AV68" s="36" t="n"/>
      <c r="AW68" s="36" t="n"/>
      <c r="AX68" s="36" t="n"/>
      <c r="AY68" s="36" t="n"/>
      <c r="AZ68" s="36" t="n"/>
      <c r="BA68" s="36" t="n"/>
      <c r="BB68" s="36" t="n"/>
      <c r="BC68" s="36" t="n"/>
      <c r="BD68" s="36" t="n"/>
      <c r="BE68" s="36" t="n"/>
      <c r="BF68" s="36" t="n"/>
      <c r="BG68" s="36" t="n"/>
      <c r="BH68" s="36" t="n"/>
      <c r="BI68" s="36" t="n"/>
      <c r="BJ68" s="36" t="n"/>
      <c r="BK68" s="36" t="n"/>
    </row>
    <row r="69" ht="18" customHeight="1">
      <c r="A69" s="32" t="inlineStr">
        <is>
          <t>TEAMS  —  anything the whole team does goes on its own row</t>
        </is>
      </c>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c r="AA69" s="33" t="n"/>
      <c r="AB69" s="33" t="n"/>
      <c r="AC69" s="33" t="n"/>
      <c r="AD69" s="33" t="n"/>
      <c r="AE69" s="33" t="n"/>
      <c r="AF69" s="33" t="n"/>
      <c r="AG69" s="33" t="n"/>
      <c r="AH69" s="33" t="n"/>
      <c r="AI69" s="33" t="n"/>
      <c r="AJ69" s="33" t="n"/>
      <c r="AK69" s="33" t="n"/>
      <c r="AL69" s="33" t="n"/>
      <c r="AM69" s="33" t="n"/>
      <c r="AN69" s="33" t="n"/>
      <c r="AO69" s="33" t="n"/>
      <c r="AP69" s="33" t="n"/>
      <c r="AQ69" s="33" t="n"/>
      <c r="AR69" s="33" t="n"/>
      <c r="AS69" s="33" t="n"/>
      <c r="AT69" s="33" t="n"/>
      <c r="AU69" s="33" t="n"/>
      <c r="AV69" s="33" t="n"/>
      <c r="AW69" s="33" t="n"/>
      <c r="AX69" s="33" t="n"/>
      <c r="AY69" s="33" t="n"/>
      <c r="AZ69" s="33" t="n"/>
      <c r="BA69" s="33" t="n"/>
      <c r="BB69" s="33" t="n"/>
      <c r="BC69" s="33" t="n"/>
      <c r="BD69" s="33" t="n"/>
      <c r="BE69" s="33" t="n"/>
      <c r="BF69" s="33" t="n"/>
      <c r="BG69" s="33" t="n"/>
      <c r="BH69" s="33" t="n"/>
      <c r="BI69" s="33" t="n"/>
      <c r="BJ69" s="33" t="n"/>
      <c r="BK69" s="34" t="n"/>
    </row>
    <row r="70" ht="34" customHeight="1">
      <c r="A70" s="16" t="inlineStr">
        <is>
          <t>Team</t>
        </is>
      </c>
      <c r="B70" s="39" t="inlineStr">
        <is>
          <t>UNC Taar Heel Raas</t>
        </is>
      </c>
      <c r="C70" s="26">
        <f>IF(TRIM($B70)="","",IFERROR(INDEX(People!$A$2:$A$199,MATCH(TRIM($B70),People!$B$2:$B$199,0)),IFERROR(INDEX(Teams!$A$2:$A$9,MATCH(TRIM($B70),Teams!$B$2:$B$9,0)),"?? CHECK NAME")))</f>
        <v/>
      </c>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c r="AP70" s="40" t="n"/>
      <c r="AQ70" s="40" t="n"/>
      <c r="AR70" s="40" t="n"/>
      <c r="AS70" s="40" t="n"/>
      <c r="AT70" s="40" t="n"/>
      <c r="AU70" s="40" t="n"/>
      <c r="AV70" s="40" t="n"/>
      <c r="AW70" s="40" t="n"/>
      <c r="AX70" s="40" t="n"/>
      <c r="AY70" s="40" t="n"/>
      <c r="AZ70" s="40" t="n"/>
      <c r="BA70" s="40" t="n"/>
      <c r="BB70" s="40" t="n"/>
      <c r="BC70" s="40" t="n"/>
      <c r="BD70" s="40" t="n"/>
      <c r="BE70" s="40" t="n"/>
      <c r="BF70" s="40" t="n"/>
      <c r="BG70" s="40" t="n"/>
      <c r="BH70" s="40" t="n"/>
      <c r="BI70" s="40" t="n"/>
      <c r="BJ70" s="40" t="n"/>
      <c r="BK70" s="40" t="n"/>
    </row>
    <row r="71" ht="34" customHeight="1">
      <c r="A71" s="16" t="inlineStr">
        <is>
          <t>Team</t>
        </is>
      </c>
      <c r="B71" s="39" t="inlineStr">
        <is>
          <t>Illini Raas</t>
        </is>
      </c>
      <c r="C71" s="26">
        <f>IF(TRIM($B71)="","",IFERROR(INDEX(People!$A$2:$A$199,MATCH(TRIM($B71),People!$B$2:$B$199,0)),IFERROR(INDEX(Teams!$A$2:$A$9,MATCH(TRIM($B71),Teams!$B$2:$B$9,0)),"?? CHECK NAME")))</f>
        <v/>
      </c>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c r="AP71" s="40" t="n"/>
      <c r="AQ71" s="40" t="n"/>
      <c r="AR71" s="40" t="n"/>
      <c r="AS71" s="40" t="n"/>
      <c r="AT71" s="40" t="n"/>
      <c r="AU71" s="40" t="n"/>
      <c r="AV71" s="40" t="n"/>
      <c r="AW71" s="40" t="n"/>
      <c r="AX71" s="40" t="n"/>
      <c r="AY71" s="40" t="n"/>
      <c r="AZ71" s="40" t="n"/>
      <c r="BA71" s="40" t="n"/>
      <c r="BB71" s="40" t="n"/>
      <c r="BC71" s="40" t="n"/>
      <c r="BD71" s="40" t="n"/>
      <c r="BE71" s="40" t="n"/>
      <c r="BF71" s="40" t="n"/>
      <c r="BG71" s="40" t="n"/>
      <c r="BH71" s="40" t="n"/>
      <c r="BI71" s="40" t="n"/>
      <c r="BJ71" s="40" t="n"/>
      <c r="BK71" s="40" t="n"/>
    </row>
    <row r="72" ht="34" customHeight="1">
      <c r="A72" s="16" t="inlineStr">
        <is>
          <t>Team</t>
        </is>
      </c>
      <c r="B72" s="39" t="inlineStr">
        <is>
          <t>UTD Taraas</t>
        </is>
      </c>
      <c r="C72" s="26">
        <f>IF(TRIM($B72)="","",IFERROR(INDEX(People!$A$2:$A$199,MATCH(TRIM($B72),People!$B$2:$B$199,0)),IFERROR(INDEX(Teams!$A$2:$A$9,MATCH(TRIM($B72),Teams!$B$2:$B$9,0)),"?? CHECK NAME")))</f>
        <v/>
      </c>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c r="AP72" s="40" t="n"/>
      <c r="AQ72" s="40" t="n"/>
      <c r="AR72" s="40" t="n"/>
      <c r="AS72" s="40" t="n"/>
      <c r="AT72" s="40" t="n"/>
      <c r="AU72" s="40" t="n"/>
      <c r="AV72" s="40" t="n"/>
      <c r="AW72" s="40" t="n"/>
      <c r="AX72" s="40" t="n"/>
      <c r="AY72" s="40" t="n"/>
      <c r="AZ72" s="40" t="n"/>
      <c r="BA72" s="40" t="n"/>
      <c r="BB72" s="40" t="n"/>
      <c r="BC72" s="40" t="n"/>
      <c r="BD72" s="40" t="n"/>
      <c r="BE72" s="40" t="n"/>
      <c r="BF72" s="40" t="n"/>
      <c r="BG72" s="40" t="n"/>
      <c r="BH72" s="40" t="n"/>
      <c r="BI72" s="40" t="n"/>
      <c r="BJ72" s="40" t="n"/>
      <c r="BK72" s="40" t="n"/>
    </row>
    <row r="73" ht="34" customHeight="1">
      <c r="A73" s="16" t="inlineStr">
        <is>
          <t>Team</t>
        </is>
      </c>
      <c r="B73" s="39" t="inlineStr">
        <is>
          <t>UVA Hooraas</t>
        </is>
      </c>
      <c r="C73" s="26">
        <f>IF(TRIM($B73)="","",IFERROR(INDEX(People!$A$2:$A$199,MATCH(TRIM($B73),People!$B$2:$B$199,0)),IFERROR(INDEX(Teams!$A$2:$A$9,MATCH(TRIM($B73),Teams!$B$2:$B$9,0)),"?? CHECK NAME")))</f>
        <v/>
      </c>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c r="AP73" s="40" t="n"/>
      <c r="AQ73" s="40" t="n"/>
      <c r="AR73" s="40" t="n"/>
      <c r="AS73" s="40" t="n"/>
      <c r="AT73" s="40" t="n"/>
      <c r="AU73" s="40" t="n"/>
      <c r="AV73" s="40" t="n"/>
      <c r="AW73" s="40" t="n"/>
      <c r="AX73" s="40" t="n"/>
      <c r="AY73" s="40" t="n"/>
      <c r="AZ73" s="40" t="n"/>
      <c r="BA73" s="40" t="n"/>
      <c r="BB73" s="40" t="n"/>
      <c r="BC73" s="40" t="n"/>
      <c r="BD73" s="40" t="n"/>
      <c r="BE73" s="40" t="n"/>
      <c r="BF73" s="40" t="n"/>
      <c r="BG73" s="40" t="n"/>
      <c r="BH73" s="40" t="n"/>
      <c r="BI73" s="40" t="n"/>
      <c r="BJ73" s="40" t="n"/>
      <c r="BK73" s="40" t="n"/>
    </row>
    <row r="74" ht="34" customHeight="1">
      <c r="A74" s="16" t="inlineStr">
        <is>
          <t>Team</t>
        </is>
      </c>
      <c r="B74" s="39" t="inlineStr">
        <is>
          <t>UMD Entouraas</t>
        </is>
      </c>
      <c r="C74" s="26">
        <f>IF(TRIM($B74)="","",IFERROR(INDEX(People!$A$2:$A$199,MATCH(TRIM($B74),People!$B$2:$B$199,0)),IFERROR(INDEX(Teams!$A$2:$A$9,MATCH(TRIM($B74),Teams!$B$2:$B$9,0)),"?? CHECK NAME")))</f>
        <v/>
      </c>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c r="AP74" s="40" t="n"/>
      <c r="AQ74" s="40" t="n"/>
      <c r="AR74" s="40" t="n"/>
      <c r="AS74" s="40" t="n"/>
      <c r="AT74" s="40" t="n"/>
      <c r="AU74" s="40" t="n"/>
      <c r="AV74" s="40" t="n"/>
      <c r="AW74" s="40" t="n"/>
      <c r="AX74" s="40" t="n"/>
      <c r="AY74" s="40" t="n"/>
      <c r="AZ74" s="40" t="n"/>
      <c r="BA74" s="40" t="n"/>
      <c r="BB74" s="40" t="n"/>
      <c r="BC74" s="40" t="n"/>
      <c r="BD74" s="40" t="n"/>
      <c r="BE74" s="40" t="n"/>
      <c r="BF74" s="40" t="n"/>
      <c r="BG74" s="40" t="n"/>
      <c r="BH74" s="40" t="n"/>
      <c r="BI74" s="40" t="n"/>
      <c r="BJ74" s="40" t="n"/>
      <c r="BK74" s="40" t="n"/>
    </row>
    <row r="75" ht="34" customHeight="1">
      <c r="A75" s="16" t="inlineStr">
        <is>
          <t>Team</t>
        </is>
      </c>
      <c r="B75" s="39" t="inlineStr">
        <is>
          <t>Michigan Wolveraas</t>
        </is>
      </c>
      <c r="C75" s="26">
        <f>IF(TRIM($B75)="","",IFERROR(INDEX(People!$A$2:$A$199,MATCH(TRIM($B75),People!$B$2:$B$199,0)),IFERROR(INDEX(Teams!$A$2:$A$9,MATCH(TRIM($B75),Teams!$B$2:$B$9,0)),"?? CHECK NAME")))</f>
        <v/>
      </c>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c r="AP75" s="40" t="n"/>
      <c r="AQ75" s="40" t="n"/>
      <c r="AR75" s="40" t="n"/>
      <c r="AS75" s="40" t="n"/>
      <c r="AT75" s="40" t="n"/>
      <c r="AU75" s="40" t="n"/>
      <c r="AV75" s="40" t="n"/>
      <c r="AW75" s="40" t="n"/>
      <c r="AX75" s="40" t="n"/>
      <c r="AY75" s="40" t="n"/>
      <c r="AZ75" s="40" t="n"/>
      <c r="BA75" s="40" t="n"/>
      <c r="BB75" s="40" t="n"/>
      <c r="BC75" s="40" t="n"/>
      <c r="BD75" s="40" t="n"/>
      <c r="BE75" s="40" t="n"/>
      <c r="BF75" s="40" t="n"/>
      <c r="BG75" s="40" t="n"/>
      <c r="BH75" s="40" t="n"/>
      <c r="BI75" s="40" t="n"/>
      <c r="BJ75" s="40" t="n"/>
      <c r="BK75" s="40" t="n"/>
    </row>
    <row r="76" ht="34" customHeight="1">
      <c r="A76" s="16" t="inlineStr">
        <is>
          <t>Team</t>
        </is>
      </c>
      <c r="B76" s="39" t="inlineStr">
        <is>
          <t>MSU Raasparty</t>
        </is>
      </c>
      <c r="C76" s="26">
        <f>IF(TRIM($B76)="","",IFERROR(INDEX(People!$A$2:$A$199,MATCH(TRIM($B76),People!$B$2:$B$199,0)),IFERROR(INDEX(Teams!$A$2:$A$9,MATCH(TRIM($B76),Teams!$B$2:$B$9,0)),"?? CHECK NAME")))</f>
        <v/>
      </c>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c r="AP76" s="40" t="n"/>
      <c r="AQ76" s="40" t="n"/>
      <c r="AR76" s="40" t="n"/>
      <c r="AS76" s="40" t="n"/>
      <c r="AT76" s="40" t="n"/>
      <c r="AU76" s="40" t="n"/>
      <c r="AV76" s="40" t="n"/>
      <c r="AW76" s="40" t="n"/>
      <c r="AX76" s="40" t="n"/>
      <c r="AY76" s="40" t="n"/>
      <c r="AZ76" s="40" t="n"/>
      <c r="BA76" s="40" t="n"/>
      <c r="BB76" s="40" t="n"/>
      <c r="BC76" s="40" t="n"/>
      <c r="BD76" s="40" t="n"/>
      <c r="BE76" s="40" t="n"/>
      <c r="BF76" s="40" t="n"/>
      <c r="BG76" s="40" t="n"/>
      <c r="BH76" s="40" t="n"/>
      <c r="BI76" s="40" t="n"/>
      <c r="BJ76" s="40" t="n"/>
      <c r="BK76" s="40" t="n"/>
    </row>
    <row r="77" ht="34" customHeight="1">
      <c r="A77" s="16" t="inlineStr">
        <is>
          <t>Team</t>
        </is>
      </c>
      <c r="B77" s="39" t="inlineStr">
        <is>
          <t>GT Ramblin Raas</t>
        </is>
      </c>
      <c r="C77" s="26">
        <f>IF(TRIM($B77)="","",IFERROR(INDEX(People!$A$2:$A$199,MATCH(TRIM($B77),People!$B$2:$B$199,0)),IFERROR(INDEX(Teams!$A$2:$A$9,MATCH(TRIM($B77),Teams!$B$2:$B$9,0)),"?? CHECK NAME")))</f>
        <v/>
      </c>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c r="AP77" s="40" t="n"/>
      <c r="AQ77" s="40" t="n"/>
      <c r="AR77" s="40" t="n"/>
      <c r="AS77" s="40" t="n"/>
      <c r="AT77" s="40" t="n"/>
      <c r="AU77" s="40" t="n"/>
      <c r="AV77" s="40" t="n"/>
      <c r="AW77" s="40" t="n"/>
      <c r="AX77" s="40" t="n"/>
      <c r="AY77" s="40" t="n"/>
      <c r="AZ77" s="40" t="n"/>
      <c r="BA77" s="40" t="n"/>
      <c r="BB77" s="40" t="n"/>
      <c r="BC77" s="40" t="n"/>
      <c r="BD77" s="40" t="n"/>
      <c r="BE77" s="40" t="n"/>
      <c r="BF77" s="40" t="n"/>
      <c r="BG77" s="40" t="n"/>
      <c r="BH77" s="40" t="n"/>
      <c r="BI77" s="40" t="n"/>
      <c r="BJ77" s="40" t="n"/>
      <c r="BK77" s="40" t="n"/>
    </row>
    <row r="78" ht="18" customHeight="1">
      <c r="A78" s="32" t="inlineStr">
        <is>
          <t>JUDGES, VIDEOGRAPHERS &amp; RAS REPS</t>
        </is>
      </c>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c r="AA78" s="33" t="n"/>
      <c r="AB78" s="33" t="n"/>
      <c r="AC78" s="33" t="n"/>
      <c r="AD78" s="33" t="n"/>
      <c r="AE78" s="33" t="n"/>
      <c r="AF78" s="33" t="n"/>
      <c r="AG78" s="33" t="n"/>
      <c r="AH78" s="33" t="n"/>
      <c r="AI78" s="33" t="n"/>
      <c r="AJ78" s="33" t="n"/>
      <c r="AK78" s="33" t="n"/>
      <c r="AL78" s="33" t="n"/>
      <c r="AM78" s="33" t="n"/>
      <c r="AN78" s="33" t="n"/>
      <c r="AO78" s="33" t="n"/>
      <c r="AP78" s="33" t="n"/>
      <c r="AQ78" s="33" t="n"/>
      <c r="AR78" s="33" t="n"/>
      <c r="AS78" s="33" t="n"/>
      <c r="AT78" s="33" t="n"/>
      <c r="AU78" s="33" t="n"/>
      <c r="AV78" s="33" t="n"/>
      <c r="AW78" s="33" t="n"/>
      <c r="AX78" s="33" t="n"/>
      <c r="AY78" s="33" t="n"/>
      <c r="AZ78" s="33" t="n"/>
      <c r="BA78" s="33" t="n"/>
      <c r="BB78" s="33" t="n"/>
      <c r="BC78" s="33" t="n"/>
      <c r="BD78" s="33" t="n"/>
      <c r="BE78" s="33" t="n"/>
      <c r="BF78" s="33" t="n"/>
      <c r="BG78" s="33" t="n"/>
      <c r="BH78" s="33" t="n"/>
      <c r="BI78" s="33" t="n"/>
      <c r="BJ78" s="33" t="n"/>
      <c r="BK78" s="34" t="n"/>
    </row>
    <row r="79" ht="34" customHeight="1">
      <c r="A79" s="16" t="inlineStr">
        <is>
          <t>Judges</t>
        </is>
      </c>
      <c r="B79" s="17" t="inlineStr">
        <is>
          <t>All Judges</t>
        </is>
      </c>
      <c r="C79" s="26" t="inlineStr">
        <is>
          <t>ROLE-JUDGES</t>
        </is>
      </c>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c r="AP79" s="40" t="n"/>
      <c r="AQ79" s="40" t="n"/>
      <c r="AR79" s="40" t="n"/>
      <c r="AS79" s="40" t="n"/>
      <c r="AT79" s="40" t="n"/>
      <c r="AU79" s="40" t="n"/>
      <c r="AV79" s="40" t="n"/>
      <c r="AW79" s="40" t="n"/>
      <c r="AX79" s="40" t="n"/>
      <c r="AY79" s="40" t="n"/>
      <c r="AZ79" s="40" t="n"/>
      <c r="BA79" s="40" t="n"/>
      <c r="BB79" s="40" t="n"/>
      <c r="BC79" s="40" t="n"/>
      <c r="BD79" s="40" t="n"/>
      <c r="BE79" s="40" t="n"/>
      <c r="BF79" s="40" t="n"/>
      <c r="BG79" s="40" t="n"/>
      <c r="BH79" s="40" t="n"/>
      <c r="BI79" s="40" t="n"/>
      <c r="BJ79" s="40" t="n"/>
      <c r="BK79" s="40" t="n"/>
    </row>
    <row r="80" ht="34" customHeight="1">
      <c r="A80" s="16" t="inlineStr">
        <is>
          <t>Videographers</t>
        </is>
      </c>
      <c r="B80" s="17" t="inlineStr">
        <is>
          <t>All Videographers</t>
        </is>
      </c>
      <c r="C80" s="26" t="inlineStr">
        <is>
          <t>ROLE-VIDEO</t>
        </is>
      </c>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c r="AP80" s="40" t="n"/>
      <c r="AQ80" s="40" t="n"/>
      <c r="AR80" s="40" t="n"/>
      <c r="AS80" s="40" t="n"/>
      <c r="AT80" s="40" t="n"/>
      <c r="AU80" s="40" t="n"/>
      <c r="AV80" s="40" t="n"/>
      <c r="AW80" s="40" t="n"/>
      <c r="AX80" s="40" t="n"/>
      <c r="AY80" s="40" t="n"/>
      <c r="AZ80" s="40" t="n"/>
      <c r="BA80" s="40" t="n"/>
      <c r="BB80" s="40" t="n"/>
      <c r="BC80" s="40" t="n"/>
      <c r="BD80" s="40" t="n"/>
      <c r="BE80" s="40" t="n"/>
      <c r="BF80" s="40" t="n"/>
      <c r="BG80" s="40" t="n"/>
      <c r="BH80" s="40" t="n"/>
      <c r="BI80" s="40" t="n"/>
      <c r="BJ80" s="40" t="n"/>
      <c r="BK80" s="40" t="n"/>
    </row>
    <row r="81" ht="34" customHeight="1">
      <c r="A81" s="16" t="inlineStr">
        <is>
          <t>RAS Reps</t>
        </is>
      </c>
      <c r="B81" s="35" t="inlineStr"/>
      <c r="C81" s="26">
        <f>IF(TRIM($B81)="","",IFERROR(INDEX(People!$A$2:$A$199,MATCH(TRIM($B81),People!$B$2:$B$199,0)),IFERROR(INDEX(Teams!$A$2:$A$9,MATCH(TRIM($B81),Teams!$B$2:$B$9,0)),"?? CHECK NAME")))</f>
        <v/>
      </c>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c r="AF81" s="36" t="n"/>
      <c r="AG81" s="36" t="n"/>
      <c r="AH81" s="36" t="n"/>
      <c r="AI81" s="36" t="n"/>
      <c r="AJ81" s="36" t="n"/>
      <c r="AK81" s="36" t="n"/>
      <c r="AL81" s="36" t="n"/>
      <c r="AM81" s="36" t="n"/>
      <c r="AN81" s="36" t="n"/>
      <c r="AO81" s="36" t="n"/>
      <c r="AP81" s="36" t="n"/>
      <c r="AQ81" s="36" t="n"/>
      <c r="AR81" s="36" t="n"/>
      <c r="AS81" s="36" t="n"/>
      <c r="AT81" s="36" t="n"/>
      <c r="AU81" s="36" t="n"/>
      <c r="AV81" s="36" t="n"/>
      <c r="AW81" s="36" t="n"/>
      <c r="AX81" s="36" t="n"/>
      <c r="AY81" s="36" t="n"/>
      <c r="AZ81" s="36" t="n"/>
      <c r="BA81" s="36" t="n"/>
      <c r="BB81" s="36" t="n"/>
      <c r="BC81" s="36" t="n"/>
      <c r="BD81" s="36" t="n"/>
      <c r="BE81" s="36" t="n"/>
      <c r="BF81" s="36" t="n"/>
      <c r="BG81" s="36" t="n"/>
      <c r="BH81" s="36" t="n"/>
      <c r="BI81" s="36" t="n"/>
      <c r="BJ81" s="36" t="n"/>
      <c r="BK81" s="36" t="n"/>
    </row>
    <row r="82" ht="34" customHeight="1">
      <c r="A82" s="37" t="n"/>
      <c r="B82" s="35" t="inlineStr"/>
      <c r="C82" s="26">
        <f>IF(TRIM($B82)="","",IFERROR(INDEX(People!$A$2:$A$199,MATCH(TRIM($B82),People!$B$2:$B$199,0)),IFERROR(INDEX(Teams!$A$2:$A$9,MATCH(TRIM($B82),Teams!$B$2:$B$9,0)),"?? CHECK NAME")))</f>
        <v/>
      </c>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c r="AF82" s="36" t="n"/>
      <c r="AG82" s="36" t="n"/>
      <c r="AH82" s="36" t="n"/>
      <c r="AI82" s="36" t="n"/>
      <c r="AJ82" s="36" t="n"/>
      <c r="AK82" s="36" t="n"/>
      <c r="AL82" s="36" t="n"/>
      <c r="AM82" s="36" t="n"/>
      <c r="AN82" s="36" t="n"/>
      <c r="AO82" s="36" t="n"/>
      <c r="AP82" s="36" t="n"/>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row>
    <row r="83" ht="34" customHeight="1">
      <c r="A83" s="37" t="n"/>
      <c r="B83" s="35" t="inlineStr"/>
      <c r="C83" s="26">
        <f>IF(TRIM($B83)="","",IFERROR(INDEX(People!$A$2:$A$199,MATCH(TRIM($B83),People!$B$2:$B$199,0)),IFERROR(INDEX(Teams!$A$2:$A$9,MATCH(TRIM($B83),Teams!$B$2:$B$9,0)),"?? CHECK NAME")))</f>
        <v/>
      </c>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c r="AF83" s="36" t="n"/>
      <c r="AG83" s="36" t="n"/>
      <c r="AH83" s="36" t="n"/>
      <c r="AI83" s="36" t="n"/>
      <c r="AJ83" s="36" t="n"/>
      <c r="AK83" s="36" t="n"/>
      <c r="AL83" s="36" t="n"/>
      <c r="AM83" s="36" t="n"/>
      <c r="AN83" s="36" t="n"/>
      <c r="AO83" s="36" t="n"/>
      <c r="AP83" s="36" t="n"/>
      <c r="AQ83" s="36" t="n"/>
      <c r="AR83" s="36" t="n"/>
      <c r="AS83" s="36" t="n"/>
      <c r="AT83" s="36" t="n"/>
      <c r="AU83" s="36" t="n"/>
      <c r="AV83" s="36" t="n"/>
      <c r="AW83" s="36" t="n"/>
      <c r="AX83" s="36" t="n"/>
      <c r="AY83" s="36" t="n"/>
      <c r="AZ83" s="36" t="n"/>
      <c r="BA83" s="36" t="n"/>
      <c r="BB83" s="36" t="n"/>
      <c r="BC83" s="36" t="n"/>
      <c r="BD83" s="36" t="n"/>
      <c r="BE83" s="36" t="n"/>
      <c r="BF83" s="36" t="n"/>
      <c r="BG83" s="36" t="n"/>
      <c r="BH83" s="36" t="n"/>
      <c r="BI83" s="36" t="n"/>
      <c r="BJ83" s="36" t="n"/>
      <c r="BK83" s="36" t="n"/>
    </row>
    <row r="84" ht="34" customHeight="1">
      <c r="A84" s="37" t="n"/>
      <c r="B84" s="35" t="inlineStr"/>
      <c r="C84" s="26">
        <f>IF(TRIM($B84)="","",IFERROR(INDEX(People!$A$2:$A$199,MATCH(TRIM($B84),People!$B$2:$B$199,0)),IFERROR(INDEX(Teams!$A$2:$A$9,MATCH(TRIM($B84),Teams!$B$2:$B$9,0)),"?? CHECK NAME")))</f>
        <v/>
      </c>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c r="AF84" s="36" t="n"/>
      <c r="AG84" s="36" t="n"/>
      <c r="AH84" s="36" t="n"/>
      <c r="AI84" s="36" t="n"/>
      <c r="AJ84" s="36" t="n"/>
      <c r="AK84" s="36" t="n"/>
      <c r="AL84" s="36" t="n"/>
      <c r="AM84" s="36" t="n"/>
      <c r="AN84" s="36" t="n"/>
      <c r="AO84" s="36" t="n"/>
      <c r="AP84" s="36" t="n"/>
      <c r="AQ84" s="36" t="n"/>
      <c r="AR84" s="36" t="n"/>
      <c r="AS84" s="36" t="n"/>
      <c r="AT84" s="36" t="n"/>
      <c r="AU84" s="36" t="n"/>
      <c r="AV84" s="36" t="n"/>
      <c r="AW84" s="36" t="n"/>
      <c r="AX84" s="36" t="n"/>
      <c r="AY84" s="36" t="n"/>
      <c r="AZ84" s="36" t="n"/>
      <c r="BA84" s="36" t="n"/>
      <c r="BB84" s="36" t="n"/>
      <c r="BC84" s="36" t="n"/>
      <c r="BD84" s="36" t="n"/>
      <c r="BE84" s="36" t="n"/>
      <c r="BF84" s="36" t="n"/>
      <c r="BG84" s="36" t="n"/>
      <c r="BH84" s="36" t="n"/>
      <c r="BI84" s="36" t="n"/>
      <c r="BJ84" s="36" t="n"/>
      <c r="BK84" s="36" t="n"/>
    </row>
    <row r="85" ht="34" customHeight="1">
      <c r="A85" s="38" t="n"/>
      <c r="B85" s="35" t="inlineStr"/>
      <c r="C85" s="26">
        <f>IF(TRIM($B85)="","",IFERROR(INDEX(People!$A$2:$A$199,MATCH(TRIM($B85),People!$B$2:$B$199,0)),IFERROR(INDEX(Teams!$A$2:$A$9,MATCH(TRIM($B85),Teams!$B$2:$B$9,0)),"?? CHECK NAME")))</f>
        <v/>
      </c>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c r="AF85" s="36" t="n"/>
      <c r="AG85" s="36" t="n"/>
      <c r="AH85" s="36" t="n"/>
      <c r="AI85" s="36" t="n"/>
      <c r="AJ85" s="36" t="n"/>
      <c r="AK85" s="36" t="n"/>
      <c r="AL85" s="36" t="n"/>
      <c r="AM85" s="36" t="n"/>
      <c r="AN85" s="36" t="n"/>
      <c r="AO85" s="36" t="n"/>
      <c r="AP85" s="36" t="n"/>
      <c r="AQ85" s="36" t="n"/>
      <c r="AR85" s="36" t="n"/>
      <c r="AS85" s="36" t="n"/>
      <c r="AT85" s="36" t="n"/>
      <c r="AU85" s="36" t="n"/>
      <c r="AV85" s="36" t="n"/>
      <c r="AW85" s="36" t="n"/>
      <c r="AX85" s="36" t="n"/>
      <c r="AY85" s="36" t="n"/>
      <c r="AZ85" s="36" t="n"/>
      <c r="BA85" s="36" t="n"/>
      <c r="BB85" s="36" t="n"/>
      <c r="BC85" s="36" t="n"/>
      <c r="BD85" s="36" t="n"/>
      <c r="BE85" s="36" t="n"/>
      <c r="BF85" s="36" t="n"/>
      <c r="BG85" s="36" t="n"/>
      <c r="BH85" s="36" t="n"/>
      <c r="BI85" s="36" t="n"/>
      <c r="BJ85" s="36" t="n"/>
      <c r="BK85" s="36" t="n"/>
    </row>
    <row r="86" ht="18" customHeight="1">
      <c r="A86" s="32" t="inlineStr">
        <is>
          <t>LIAISONS  —  names come from the People tab, not typed here</t>
        </is>
      </c>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c r="AA86" s="33" t="n"/>
      <c r="AB86" s="33" t="n"/>
      <c r="AC86" s="33" t="n"/>
      <c r="AD86" s="33" t="n"/>
      <c r="AE86" s="33" t="n"/>
      <c r="AF86" s="33" t="n"/>
      <c r="AG86" s="33" t="n"/>
      <c r="AH86" s="33" t="n"/>
      <c r="AI86" s="33" t="n"/>
      <c r="AJ86" s="33" t="n"/>
      <c r="AK86" s="33" t="n"/>
      <c r="AL86" s="33" t="n"/>
      <c r="AM86" s="33" t="n"/>
      <c r="AN86" s="33" t="n"/>
      <c r="AO86" s="33" t="n"/>
      <c r="AP86" s="33" t="n"/>
      <c r="AQ86" s="33" t="n"/>
      <c r="AR86" s="33" t="n"/>
      <c r="AS86" s="33" t="n"/>
      <c r="AT86" s="33" t="n"/>
      <c r="AU86" s="33" t="n"/>
      <c r="AV86" s="33" t="n"/>
      <c r="AW86" s="33" t="n"/>
      <c r="AX86" s="33" t="n"/>
      <c r="AY86" s="33" t="n"/>
      <c r="AZ86" s="33" t="n"/>
      <c r="BA86" s="33" t="n"/>
      <c r="BB86" s="33" t="n"/>
      <c r="BC86" s="33" t="n"/>
      <c r="BD86" s="33" t="n"/>
      <c r="BE86" s="33" t="n"/>
      <c r="BF86" s="33" t="n"/>
      <c r="BG86" s="33" t="n"/>
      <c r="BH86" s="33" t="n"/>
      <c r="BI86" s="33" t="n"/>
      <c r="BJ86" s="33" t="n"/>
      <c r="BK86" s="34" t="n"/>
    </row>
    <row r="87" ht="34" customHeight="1">
      <c r="A87" s="41" t="inlineStr">
        <is>
          <t>UNC Taar Heel Raas</t>
        </is>
      </c>
      <c r="B87" s="42">
        <f>IFERROR(INDEX(People!$B$2:$B$199,MATCH($A$87&amp;"#"&amp;1,People!$H$2:$H$199,0)),"")</f>
        <v/>
      </c>
      <c r="C87" s="26">
        <f>IF(TRIM($B87)="","",IFERROR(INDEX(People!$A$2:$A$199,MATCH(TRIM($B87),People!$B$2:$B$199,0)),"?? CHECK NAME"))</f>
        <v/>
      </c>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c r="AF87" s="36" t="n"/>
      <c r="AG87" s="36" t="n"/>
      <c r="AH87" s="36" t="n"/>
      <c r="AI87" s="36" t="n"/>
      <c r="AJ87" s="36" t="n"/>
      <c r="AK87" s="36" t="n"/>
      <c r="AL87" s="36" t="n"/>
      <c r="AM87" s="36" t="n"/>
      <c r="AN87" s="36" t="n"/>
      <c r="AO87" s="36" t="n"/>
      <c r="AP87" s="36" t="n"/>
      <c r="AQ87" s="36" t="n"/>
      <c r="AR87" s="36" t="n"/>
      <c r="AS87" s="36" t="n"/>
      <c r="AT87" s="36" t="n"/>
      <c r="AU87" s="36" t="n"/>
      <c r="AV87" s="36" t="n"/>
      <c r="AW87" s="36" t="n"/>
      <c r="AX87" s="36" t="n"/>
      <c r="AY87" s="36" t="n"/>
      <c r="AZ87" s="36" t="n"/>
      <c r="BA87" s="36" t="n"/>
      <c r="BB87" s="36" t="n"/>
      <c r="BC87" s="36" t="n"/>
      <c r="BD87" s="36" t="n"/>
      <c r="BE87" s="36" t="n"/>
      <c r="BF87" s="36" t="n"/>
      <c r="BG87" s="36" t="n"/>
      <c r="BH87" s="36" t="n"/>
      <c r="BI87" s="36" t="n"/>
      <c r="BJ87" s="36" t="n"/>
      <c r="BK87" s="36" t="n"/>
    </row>
    <row r="88" ht="34" customHeight="1">
      <c r="A88" s="37" t="n"/>
      <c r="B88" s="42">
        <f>IFERROR(INDEX(People!$B$2:$B$199,MATCH($A$87&amp;"#"&amp;2,People!$H$2:$H$199,0)),"")</f>
        <v/>
      </c>
      <c r="C88" s="26">
        <f>IF(TRIM($B88)="","",IFERROR(INDEX(People!$A$2:$A$199,MATCH(TRIM($B88),People!$B$2:$B$199,0)),"?? CHECK NAME"))</f>
        <v/>
      </c>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c r="AF88" s="36" t="n"/>
      <c r="AG88" s="36" t="n"/>
      <c r="AH88" s="36" t="n"/>
      <c r="AI88" s="36" t="n"/>
      <c r="AJ88" s="36" t="n"/>
      <c r="AK88" s="36" t="n"/>
      <c r="AL88" s="36" t="n"/>
      <c r="AM88" s="36" t="n"/>
      <c r="AN88" s="36" t="n"/>
      <c r="AO88" s="36" t="n"/>
      <c r="AP88" s="36" t="n"/>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row>
    <row r="89" ht="34" customHeight="1">
      <c r="A89" s="37" t="n"/>
      <c r="B89" s="42">
        <f>IFERROR(INDEX(People!$B$2:$B$199,MATCH($A$87&amp;"#"&amp;3,People!$H$2:$H$199,0)),"")</f>
        <v/>
      </c>
      <c r="C89" s="26">
        <f>IF(TRIM($B89)="","",IFERROR(INDEX(People!$A$2:$A$199,MATCH(TRIM($B89),People!$B$2:$B$199,0)),"?? CHECK NAME"))</f>
        <v/>
      </c>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row>
    <row r="90" ht="34" customHeight="1">
      <c r="A90" s="37" t="n"/>
      <c r="B90" s="42">
        <f>IFERROR(INDEX(People!$B$2:$B$199,MATCH($A$87&amp;"#"&amp;4,People!$H$2:$H$199,0)),"")</f>
        <v/>
      </c>
      <c r="C90" s="26">
        <f>IF(TRIM($B90)="","",IFERROR(INDEX(People!$A$2:$A$199,MATCH(TRIM($B90),People!$B$2:$B$199,0)),"?? CHECK NAME"))</f>
        <v/>
      </c>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c r="AF90" s="36" t="n"/>
      <c r="AG90" s="36" t="n"/>
      <c r="AH90" s="36" t="n"/>
      <c r="AI90" s="36" t="n"/>
      <c r="AJ90" s="36" t="n"/>
      <c r="AK90" s="36" t="n"/>
      <c r="AL90" s="36" t="n"/>
      <c r="AM90" s="36" t="n"/>
      <c r="AN90" s="36" t="n"/>
      <c r="AO90" s="36" t="n"/>
      <c r="AP90" s="36" t="n"/>
      <c r="AQ90" s="36" t="n"/>
      <c r="AR90" s="36" t="n"/>
      <c r="AS90" s="36" t="n"/>
      <c r="AT90" s="36" t="n"/>
      <c r="AU90" s="36" t="n"/>
      <c r="AV90" s="36" t="n"/>
      <c r="AW90" s="36" t="n"/>
      <c r="AX90" s="36" t="n"/>
      <c r="AY90" s="36" t="n"/>
      <c r="AZ90" s="36" t="n"/>
      <c r="BA90" s="36" t="n"/>
      <c r="BB90" s="36" t="n"/>
      <c r="BC90" s="36" t="n"/>
      <c r="BD90" s="36" t="n"/>
      <c r="BE90" s="36" t="n"/>
      <c r="BF90" s="36" t="n"/>
      <c r="BG90" s="36" t="n"/>
      <c r="BH90" s="36" t="n"/>
      <c r="BI90" s="36" t="n"/>
      <c r="BJ90" s="36" t="n"/>
      <c r="BK90" s="36" t="n"/>
    </row>
    <row r="91" ht="34" customHeight="1">
      <c r="A91" s="38" t="n"/>
      <c r="B91" s="42">
        <f>IFERROR(INDEX(People!$B$2:$B$199,MATCH($A$87&amp;"#"&amp;5,People!$H$2:$H$199,0)),"")</f>
        <v/>
      </c>
      <c r="C91" s="26">
        <f>IF(TRIM($B91)="","",IFERROR(INDEX(People!$A$2:$A$199,MATCH(TRIM($B91),People!$B$2:$B$199,0)),"?? CHECK NAME"))</f>
        <v/>
      </c>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row>
    <row r="92" ht="34" customHeight="1">
      <c r="A92" s="41" t="inlineStr">
        <is>
          <t>Illini Raas</t>
        </is>
      </c>
      <c r="B92" s="42">
        <f>IFERROR(INDEX(People!$B$2:$B$199,MATCH($A$92&amp;"#"&amp;1,People!$H$2:$H$199,0)),"")</f>
        <v/>
      </c>
      <c r="C92" s="26">
        <f>IF(TRIM($B92)="","",IFERROR(INDEX(People!$A$2:$A$199,MATCH(TRIM($B92),People!$B$2:$B$199,0)),"?? CHECK NAME"))</f>
        <v/>
      </c>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c r="AF92" s="36" t="n"/>
      <c r="AG92" s="36" t="n"/>
      <c r="AH92" s="36" t="n"/>
      <c r="AI92" s="36" t="n"/>
      <c r="AJ92" s="36" t="n"/>
      <c r="AK92" s="36" t="n"/>
      <c r="AL92" s="36" t="n"/>
      <c r="AM92" s="36" t="n"/>
      <c r="AN92" s="36" t="n"/>
      <c r="AO92" s="36" t="n"/>
      <c r="AP92" s="36" t="n"/>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row>
    <row r="93" ht="34" customHeight="1">
      <c r="A93" s="37" t="n"/>
      <c r="B93" s="42">
        <f>IFERROR(INDEX(People!$B$2:$B$199,MATCH($A$92&amp;"#"&amp;2,People!$H$2:$H$199,0)),"")</f>
        <v/>
      </c>
      <c r="C93" s="26">
        <f>IF(TRIM($B93)="","",IFERROR(INDEX(People!$A$2:$A$199,MATCH(TRIM($B93),People!$B$2:$B$199,0)),"?? CHECK NAME"))</f>
        <v/>
      </c>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c r="AF93" s="36" t="n"/>
      <c r="AG93" s="36" t="n"/>
      <c r="AH93" s="36" t="n"/>
      <c r="AI93" s="36" t="n"/>
      <c r="AJ93" s="36" t="n"/>
      <c r="AK93" s="36" t="n"/>
      <c r="AL93" s="36" t="n"/>
      <c r="AM93" s="36" t="n"/>
      <c r="AN93" s="36" t="n"/>
      <c r="AO93" s="36" t="n"/>
      <c r="AP93" s="36" t="n"/>
      <c r="AQ93" s="36" t="n"/>
      <c r="AR93" s="36" t="n"/>
      <c r="AS93" s="36" t="n"/>
      <c r="AT93" s="36" t="n"/>
      <c r="AU93" s="36" t="n"/>
      <c r="AV93" s="36" t="n"/>
      <c r="AW93" s="36" t="n"/>
      <c r="AX93" s="36" t="n"/>
      <c r="AY93" s="36" t="n"/>
      <c r="AZ93" s="36" t="n"/>
      <c r="BA93" s="36" t="n"/>
      <c r="BB93" s="36" t="n"/>
      <c r="BC93" s="36" t="n"/>
      <c r="BD93" s="36" t="n"/>
      <c r="BE93" s="36" t="n"/>
      <c r="BF93" s="36" t="n"/>
      <c r="BG93" s="36" t="n"/>
      <c r="BH93" s="36" t="n"/>
      <c r="BI93" s="36" t="n"/>
      <c r="BJ93" s="36" t="n"/>
      <c r="BK93" s="36" t="n"/>
    </row>
    <row r="94" ht="34" customHeight="1">
      <c r="A94" s="37" t="n"/>
      <c r="B94" s="42">
        <f>IFERROR(INDEX(People!$B$2:$B$199,MATCH($A$92&amp;"#"&amp;3,People!$H$2:$H$199,0)),"")</f>
        <v/>
      </c>
      <c r="C94" s="26">
        <f>IF(TRIM($B94)="","",IFERROR(INDEX(People!$A$2:$A$199,MATCH(TRIM($B94),People!$B$2:$B$199,0)),"?? CHECK NAME"))</f>
        <v/>
      </c>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c r="AF94" s="36" t="n"/>
      <c r="AG94" s="36" t="n"/>
      <c r="AH94" s="36" t="n"/>
      <c r="AI94" s="36" t="n"/>
      <c r="AJ94" s="36" t="n"/>
      <c r="AK94" s="36" t="n"/>
      <c r="AL94" s="36" t="n"/>
      <c r="AM94" s="36" t="n"/>
      <c r="AN94" s="36" t="n"/>
      <c r="AO94" s="36" t="n"/>
      <c r="AP94" s="36" t="n"/>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row>
    <row r="95" ht="34" customHeight="1">
      <c r="A95" s="37" t="n"/>
      <c r="B95" s="42">
        <f>IFERROR(INDEX(People!$B$2:$B$199,MATCH($A$92&amp;"#"&amp;4,People!$H$2:$H$199,0)),"")</f>
        <v/>
      </c>
      <c r="C95" s="26">
        <f>IF(TRIM($B95)="","",IFERROR(INDEX(People!$A$2:$A$199,MATCH(TRIM($B95),People!$B$2:$B$199,0)),"?? CHECK NAME"))</f>
        <v/>
      </c>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c r="AF95" s="36" t="n"/>
      <c r="AG95" s="36" t="n"/>
      <c r="AH95" s="36" t="n"/>
      <c r="AI95" s="36" t="n"/>
      <c r="AJ95" s="36" t="n"/>
      <c r="AK95" s="36" t="n"/>
      <c r="AL95" s="36" t="n"/>
      <c r="AM95" s="36" t="n"/>
      <c r="AN95" s="36" t="n"/>
      <c r="AO95" s="36" t="n"/>
      <c r="AP95" s="36" t="n"/>
      <c r="AQ95" s="36" t="n"/>
      <c r="AR95" s="36" t="n"/>
      <c r="AS95" s="36" t="n"/>
      <c r="AT95" s="36" t="n"/>
      <c r="AU95" s="36" t="n"/>
      <c r="AV95" s="36" t="n"/>
      <c r="AW95" s="36" t="n"/>
      <c r="AX95" s="36" t="n"/>
      <c r="AY95" s="36" t="n"/>
      <c r="AZ95" s="36" t="n"/>
      <c r="BA95" s="36" t="n"/>
      <c r="BB95" s="36" t="n"/>
      <c r="BC95" s="36" t="n"/>
      <c r="BD95" s="36" t="n"/>
      <c r="BE95" s="36" t="n"/>
      <c r="BF95" s="36" t="n"/>
      <c r="BG95" s="36" t="n"/>
      <c r="BH95" s="36" t="n"/>
      <c r="BI95" s="36" t="n"/>
      <c r="BJ95" s="36" t="n"/>
      <c r="BK95" s="36" t="n"/>
    </row>
    <row r="96" ht="34" customHeight="1">
      <c r="A96" s="38" t="n"/>
      <c r="B96" s="42">
        <f>IFERROR(INDEX(People!$B$2:$B$199,MATCH($A$92&amp;"#"&amp;5,People!$H$2:$H$199,0)),"")</f>
        <v/>
      </c>
      <c r="C96" s="26">
        <f>IF(TRIM($B96)="","",IFERROR(INDEX(People!$A$2:$A$199,MATCH(TRIM($B96),People!$B$2:$B$199,0)),"?? CHECK NAME"))</f>
        <v/>
      </c>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c r="AF96" s="36" t="n"/>
      <c r="AG96" s="36" t="n"/>
      <c r="AH96" s="36" t="n"/>
      <c r="AI96" s="36" t="n"/>
      <c r="AJ96" s="36" t="n"/>
      <c r="AK96" s="36" t="n"/>
      <c r="AL96" s="36" t="n"/>
      <c r="AM96" s="36" t="n"/>
      <c r="AN96" s="36" t="n"/>
      <c r="AO96" s="36" t="n"/>
      <c r="AP96" s="36" t="n"/>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row>
    <row r="97" ht="34" customHeight="1">
      <c r="A97" s="41" t="inlineStr">
        <is>
          <t>UTD Taraas</t>
        </is>
      </c>
      <c r="B97" s="42">
        <f>IFERROR(INDEX(People!$B$2:$B$199,MATCH($A$97&amp;"#"&amp;1,People!$H$2:$H$199,0)),"")</f>
        <v/>
      </c>
      <c r="C97" s="26">
        <f>IF(TRIM($B97)="","",IFERROR(INDEX(People!$A$2:$A$199,MATCH(TRIM($B97),People!$B$2:$B$199,0)),"?? CHECK NAME"))</f>
        <v/>
      </c>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c r="AF97" s="36" t="n"/>
      <c r="AG97" s="36" t="n"/>
      <c r="AH97" s="36" t="n"/>
      <c r="AI97" s="36" t="n"/>
      <c r="AJ97" s="36" t="n"/>
      <c r="AK97" s="36" t="n"/>
      <c r="AL97" s="36" t="n"/>
      <c r="AM97" s="36" t="n"/>
      <c r="AN97" s="36" t="n"/>
      <c r="AO97" s="36" t="n"/>
      <c r="AP97" s="36" t="n"/>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row>
    <row r="98" ht="34" customHeight="1">
      <c r="A98" s="37" t="n"/>
      <c r="B98" s="42">
        <f>IFERROR(INDEX(People!$B$2:$B$199,MATCH($A$97&amp;"#"&amp;2,People!$H$2:$H$199,0)),"")</f>
        <v/>
      </c>
      <c r="C98" s="26">
        <f>IF(TRIM($B98)="","",IFERROR(INDEX(People!$A$2:$A$199,MATCH(TRIM($B98),People!$B$2:$B$199,0)),"?? CHECK NAME"))</f>
        <v/>
      </c>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row>
    <row r="99" ht="34" customHeight="1">
      <c r="A99" s="37" t="n"/>
      <c r="B99" s="42">
        <f>IFERROR(INDEX(People!$B$2:$B$199,MATCH($A$97&amp;"#"&amp;3,People!$H$2:$H$199,0)),"")</f>
        <v/>
      </c>
      <c r="C99" s="26">
        <f>IF(TRIM($B99)="","",IFERROR(INDEX(People!$A$2:$A$199,MATCH(TRIM($B99),People!$B$2:$B$199,0)),"?? CHECK NAME"))</f>
        <v/>
      </c>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c r="AF99" s="36" t="n"/>
      <c r="AG99" s="36" t="n"/>
      <c r="AH99" s="36" t="n"/>
      <c r="AI99" s="36" t="n"/>
      <c r="AJ99" s="36" t="n"/>
      <c r="AK99" s="36" t="n"/>
      <c r="AL99" s="36" t="n"/>
      <c r="AM99" s="36" t="n"/>
      <c r="AN99" s="36" t="n"/>
      <c r="AO99" s="36" t="n"/>
      <c r="AP99" s="36" t="n"/>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row>
    <row r="100" ht="34" customHeight="1">
      <c r="A100" s="37" t="n"/>
      <c r="B100" s="42">
        <f>IFERROR(INDEX(People!$B$2:$B$199,MATCH($A$97&amp;"#"&amp;4,People!$H$2:$H$199,0)),"")</f>
        <v/>
      </c>
      <c r="C100" s="26">
        <f>IF(TRIM($B100)="","",IFERROR(INDEX(People!$A$2:$A$199,MATCH(TRIM($B100),People!$B$2:$B$199,0)),"?? CHECK NAME"))</f>
        <v/>
      </c>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c r="AF100" s="36" t="n"/>
      <c r="AG100" s="36" t="n"/>
      <c r="AH100" s="36" t="n"/>
      <c r="AI100" s="36" t="n"/>
      <c r="AJ100" s="36" t="n"/>
      <c r="AK100" s="36" t="n"/>
      <c r="AL100" s="36" t="n"/>
      <c r="AM100" s="36" t="n"/>
      <c r="AN100" s="36" t="n"/>
      <c r="AO100" s="36" t="n"/>
      <c r="AP100" s="36" t="n"/>
      <c r="AQ100" s="36" t="n"/>
      <c r="AR100" s="36" t="n"/>
      <c r="AS100" s="36" t="n"/>
      <c r="AT100" s="36" t="n"/>
      <c r="AU100" s="36" t="n"/>
      <c r="AV100" s="36" t="n"/>
      <c r="AW100" s="36" t="n"/>
      <c r="AX100" s="36" t="n"/>
      <c r="AY100" s="36" t="n"/>
      <c r="AZ100" s="36" t="n"/>
      <c r="BA100" s="36" t="n"/>
      <c r="BB100" s="36" t="n"/>
      <c r="BC100" s="36" t="n"/>
      <c r="BD100" s="36" t="n"/>
      <c r="BE100" s="36" t="n"/>
      <c r="BF100" s="36" t="n"/>
      <c r="BG100" s="36" t="n"/>
      <c r="BH100" s="36" t="n"/>
      <c r="BI100" s="36" t="n"/>
      <c r="BJ100" s="36" t="n"/>
      <c r="BK100" s="36" t="n"/>
    </row>
    <row r="101" ht="34" customHeight="1">
      <c r="A101" s="38" t="n"/>
      <c r="B101" s="42">
        <f>IFERROR(INDEX(People!$B$2:$B$199,MATCH($A$97&amp;"#"&amp;5,People!$H$2:$H$199,0)),"")</f>
        <v/>
      </c>
      <c r="C101" s="26">
        <f>IF(TRIM($B101)="","",IFERROR(INDEX(People!$A$2:$A$199,MATCH(TRIM($B101),People!$B$2:$B$199,0)),"?? CHECK NAME"))</f>
        <v/>
      </c>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c r="AF101" s="36" t="n"/>
      <c r="AG101" s="36" t="n"/>
      <c r="AH101" s="36" t="n"/>
      <c r="AI101" s="36" t="n"/>
      <c r="AJ101" s="36" t="n"/>
      <c r="AK101" s="36" t="n"/>
      <c r="AL101" s="36" t="n"/>
      <c r="AM101" s="36" t="n"/>
      <c r="AN101" s="36" t="n"/>
      <c r="AO101" s="36" t="n"/>
      <c r="AP101" s="36" t="n"/>
      <c r="AQ101" s="36" t="n"/>
      <c r="AR101" s="36" t="n"/>
      <c r="AS101" s="36" t="n"/>
      <c r="AT101" s="36" t="n"/>
      <c r="AU101" s="36" t="n"/>
      <c r="AV101" s="36" t="n"/>
      <c r="AW101" s="36" t="n"/>
      <c r="AX101" s="36" t="n"/>
      <c r="AY101" s="36" t="n"/>
      <c r="AZ101" s="36" t="n"/>
      <c r="BA101" s="36" t="n"/>
      <c r="BB101" s="36" t="n"/>
      <c r="BC101" s="36" t="n"/>
      <c r="BD101" s="36" t="n"/>
      <c r="BE101" s="36" t="n"/>
      <c r="BF101" s="36" t="n"/>
      <c r="BG101" s="36" t="n"/>
      <c r="BH101" s="36" t="n"/>
      <c r="BI101" s="36" t="n"/>
      <c r="BJ101" s="36" t="n"/>
      <c r="BK101" s="36" t="n"/>
    </row>
    <row r="102" ht="34" customHeight="1">
      <c r="A102" s="41" t="inlineStr">
        <is>
          <t>UVA Hooraas</t>
        </is>
      </c>
      <c r="B102" s="42">
        <f>IFERROR(INDEX(People!$B$2:$B$199,MATCH($A$102&amp;"#"&amp;1,People!$H$2:$H$199,0)),"")</f>
        <v/>
      </c>
      <c r="C102" s="26">
        <f>IF(TRIM($B102)="","",IFERROR(INDEX(People!$A$2:$A$199,MATCH(TRIM($B102),People!$B$2:$B$199,0)),"?? CHECK NAME"))</f>
        <v/>
      </c>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c r="AF102" s="36" t="n"/>
      <c r="AG102" s="36" t="n"/>
      <c r="AH102" s="36" t="n"/>
      <c r="AI102" s="36" t="n"/>
      <c r="AJ102" s="36" t="n"/>
      <c r="AK102" s="36" t="n"/>
      <c r="AL102" s="36" t="n"/>
      <c r="AM102" s="36" t="n"/>
      <c r="AN102" s="36" t="n"/>
      <c r="AO102" s="36" t="n"/>
      <c r="AP102" s="36" t="n"/>
      <c r="AQ102" s="36" t="n"/>
      <c r="AR102" s="36" t="n"/>
      <c r="AS102" s="36" t="n"/>
      <c r="AT102" s="36" t="n"/>
      <c r="AU102" s="36" t="n"/>
      <c r="AV102" s="36" t="n"/>
      <c r="AW102" s="36" t="n"/>
      <c r="AX102" s="36" t="n"/>
      <c r="AY102" s="36" t="n"/>
      <c r="AZ102" s="36" t="n"/>
      <c r="BA102" s="36" t="n"/>
      <c r="BB102" s="36" t="n"/>
      <c r="BC102" s="36" t="n"/>
      <c r="BD102" s="36" t="n"/>
      <c r="BE102" s="36" t="n"/>
      <c r="BF102" s="36" t="n"/>
      <c r="BG102" s="36" t="n"/>
      <c r="BH102" s="36" t="n"/>
      <c r="BI102" s="36" t="n"/>
      <c r="BJ102" s="36" t="n"/>
      <c r="BK102" s="36" t="n"/>
    </row>
    <row r="103" ht="34" customHeight="1">
      <c r="A103" s="37" t="n"/>
      <c r="B103" s="42">
        <f>IFERROR(INDEX(People!$B$2:$B$199,MATCH($A$102&amp;"#"&amp;2,People!$H$2:$H$199,0)),"")</f>
        <v/>
      </c>
      <c r="C103" s="26">
        <f>IF(TRIM($B103)="","",IFERROR(INDEX(People!$A$2:$A$199,MATCH(TRIM($B103),People!$B$2:$B$199,0)),"?? CHECK NAME"))</f>
        <v/>
      </c>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c r="AF103" s="36" t="n"/>
      <c r="AG103" s="36" t="n"/>
      <c r="AH103" s="36" t="n"/>
      <c r="AI103" s="36" t="n"/>
      <c r="AJ103" s="36" t="n"/>
      <c r="AK103" s="36" t="n"/>
      <c r="AL103" s="36" t="n"/>
      <c r="AM103" s="36" t="n"/>
      <c r="AN103" s="36" t="n"/>
      <c r="AO103" s="36" t="n"/>
      <c r="AP103" s="36" t="n"/>
      <c r="AQ103" s="36" t="n"/>
      <c r="AR103" s="36" t="n"/>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row>
    <row r="104" ht="34" customHeight="1">
      <c r="A104" s="37" t="n"/>
      <c r="B104" s="42">
        <f>IFERROR(INDEX(People!$B$2:$B$199,MATCH($A$102&amp;"#"&amp;3,People!$H$2:$H$199,0)),"")</f>
        <v/>
      </c>
      <c r="C104" s="26">
        <f>IF(TRIM($B104)="","",IFERROR(INDEX(People!$A$2:$A$199,MATCH(TRIM($B104),People!$B$2:$B$199,0)),"?? CHECK NAME"))</f>
        <v/>
      </c>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c r="AF104" s="36" t="n"/>
      <c r="AG104" s="36" t="n"/>
      <c r="AH104" s="36" t="n"/>
      <c r="AI104" s="36" t="n"/>
      <c r="AJ104" s="36" t="n"/>
      <c r="AK104" s="36" t="n"/>
      <c r="AL104" s="36" t="n"/>
      <c r="AM104" s="36" t="n"/>
      <c r="AN104" s="36" t="n"/>
      <c r="AO104" s="36" t="n"/>
      <c r="AP104" s="36" t="n"/>
      <c r="AQ104" s="36" t="n"/>
      <c r="AR104" s="36" t="n"/>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row>
    <row r="105" ht="34" customHeight="1">
      <c r="A105" s="37" t="n"/>
      <c r="B105" s="42">
        <f>IFERROR(INDEX(People!$B$2:$B$199,MATCH($A$102&amp;"#"&amp;4,People!$H$2:$H$199,0)),"")</f>
        <v/>
      </c>
      <c r="C105" s="26">
        <f>IF(TRIM($B105)="","",IFERROR(INDEX(People!$A$2:$A$199,MATCH(TRIM($B105),People!$B$2:$B$199,0)),"?? CHECK NAME"))</f>
        <v/>
      </c>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c r="AF105" s="36" t="n"/>
      <c r="AG105" s="36" t="n"/>
      <c r="AH105" s="36" t="n"/>
      <c r="AI105" s="36" t="n"/>
      <c r="AJ105" s="36" t="n"/>
      <c r="AK105" s="36" t="n"/>
      <c r="AL105" s="36" t="n"/>
      <c r="AM105" s="36" t="n"/>
      <c r="AN105" s="36" t="n"/>
      <c r="AO105" s="36" t="n"/>
      <c r="AP105" s="36" t="n"/>
      <c r="AQ105" s="36" t="n"/>
      <c r="AR105" s="36" t="n"/>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row>
    <row r="106" ht="34" customHeight="1">
      <c r="A106" s="38" t="n"/>
      <c r="B106" s="42">
        <f>IFERROR(INDEX(People!$B$2:$B$199,MATCH($A$102&amp;"#"&amp;5,People!$H$2:$H$199,0)),"")</f>
        <v/>
      </c>
      <c r="C106" s="26">
        <f>IF(TRIM($B106)="","",IFERROR(INDEX(People!$A$2:$A$199,MATCH(TRIM($B106),People!$B$2:$B$199,0)),"?? CHECK NAME"))</f>
        <v/>
      </c>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c r="AF106" s="36" t="n"/>
      <c r="AG106" s="36" t="n"/>
      <c r="AH106" s="36" t="n"/>
      <c r="AI106" s="36" t="n"/>
      <c r="AJ106" s="36" t="n"/>
      <c r="AK106" s="36" t="n"/>
      <c r="AL106" s="36" t="n"/>
      <c r="AM106" s="36" t="n"/>
      <c r="AN106" s="36" t="n"/>
      <c r="AO106" s="36" t="n"/>
      <c r="AP106" s="36" t="n"/>
      <c r="AQ106" s="36" t="n"/>
      <c r="AR106" s="36" t="n"/>
      <c r="AS106" s="36" t="n"/>
      <c r="AT106" s="36" t="n"/>
      <c r="AU106" s="36" t="n"/>
      <c r="AV106" s="36" t="n"/>
      <c r="AW106" s="36" t="n"/>
      <c r="AX106" s="36" t="n"/>
      <c r="AY106" s="36" t="n"/>
      <c r="AZ106" s="36" t="n"/>
      <c r="BA106" s="36" t="n"/>
      <c r="BB106" s="36" t="n"/>
      <c r="BC106" s="36" t="n"/>
      <c r="BD106" s="36" t="n"/>
      <c r="BE106" s="36" t="n"/>
      <c r="BF106" s="36" t="n"/>
      <c r="BG106" s="36" t="n"/>
      <c r="BH106" s="36" t="n"/>
      <c r="BI106" s="36" t="n"/>
      <c r="BJ106" s="36" t="n"/>
      <c r="BK106" s="36" t="n"/>
    </row>
    <row r="107" ht="34" customHeight="1">
      <c r="A107" s="41" t="inlineStr">
        <is>
          <t>UMD Entouraas</t>
        </is>
      </c>
      <c r="B107" s="42">
        <f>IFERROR(INDEX(People!$B$2:$B$199,MATCH($A$107&amp;"#"&amp;1,People!$H$2:$H$199,0)),"")</f>
        <v/>
      </c>
      <c r="C107" s="26">
        <f>IF(TRIM($B107)="","",IFERROR(INDEX(People!$A$2:$A$199,MATCH(TRIM($B107),People!$B$2:$B$199,0)),"?? CHECK NAME"))</f>
        <v/>
      </c>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c r="AF107" s="36" t="n"/>
      <c r="AG107" s="36" t="n"/>
      <c r="AH107" s="36" t="n"/>
      <c r="AI107" s="36" t="n"/>
      <c r="AJ107" s="36" t="n"/>
      <c r="AK107" s="36" t="n"/>
      <c r="AL107" s="36" t="n"/>
      <c r="AM107" s="36" t="n"/>
      <c r="AN107" s="36" t="n"/>
      <c r="AO107" s="36" t="n"/>
      <c r="AP107" s="36" t="n"/>
      <c r="AQ107" s="36" t="n"/>
      <c r="AR107" s="36" t="n"/>
      <c r="AS107" s="36" t="n"/>
      <c r="AT107" s="36" t="n"/>
      <c r="AU107" s="36" t="n"/>
      <c r="AV107" s="36" t="n"/>
      <c r="AW107" s="36" t="n"/>
      <c r="AX107" s="36" t="n"/>
      <c r="AY107" s="36" t="n"/>
      <c r="AZ107" s="36" t="n"/>
      <c r="BA107" s="36" t="n"/>
      <c r="BB107" s="36" t="n"/>
      <c r="BC107" s="36" t="n"/>
      <c r="BD107" s="36" t="n"/>
      <c r="BE107" s="36" t="n"/>
      <c r="BF107" s="36" t="n"/>
      <c r="BG107" s="36" t="n"/>
      <c r="BH107" s="36" t="n"/>
      <c r="BI107" s="36" t="n"/>
      <c r="BJ107" s="36" t="n"/>
      <c r="BK107" s="36" t="n"/>
    </row>
    <row r="108" ht="34" customHeight="1">
      <c r="A108" s="37" t="n"/>
      <c r="B108" s="42">
        <f>IFERROR(INDEX(People!$B$2:$B$199,MATCH($A$107&amp;"#"&amp;2,People!$H$2:$H$199,0)),"")</f>
        <v/>
      </c>
      <c r="C108" s="26">
        <f>IF(TRIM($B108)="","",IFERROR(INDEX(People!$A$2:$A$199,MATCH(TRIM($B108),People!$B$2:$B$199,0)),"?? CHECK NAME"))</f>
        <v/>
      </c>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c r="AF108" s="36" t="n"/>
      <c r="AG108" s="36" t="n"/>
      <c r="AH108" s="36" t="n"/>
      <c r="AI108" s="36" t="n"/>
      <c r="AJ108" s="36" t="n"/>
      <c r="AK108" s="36" t="n"/>
      <c r="AL108" s="36" t="n"/>
      <c r="AM108" s="36" t="n"/>
      <c r="AN108" s="36" t="n"/>
      <c r="AO108" s="36" t="n"/>
      <c r="AP108" s="36" t="n"/>
      <c r="AQ108" s="36" t="n"/>
      <c r="AR108" s="36" t="n"/>
      <c r="AS108" s="36" t="n"/>
      <c r="AT108" s="36" t="n"/>
      <c r="AU108" s="36" t="n"/>
      <c r="AV108" s="36" t="n"/>
      <c r="AW108" s="36" t="n"/>
      <c r="AX108" s="36" t="n"/>
      <c r="AY108" s="36" t="n"/>
      <c r="AZ108" s="36" t="n"/>
      <c r="BA108" s="36" t="n"/>
      <c r="BB108" s="36" t="n"/>
      <c r="BC108" s="36" t="n"/>
      <c r="BD108" s="36" t="n"/>
      <c r="BE108" s="36" t="n"/>
      <c r="BF108" s="36" t="n"/>
      <c r="BG108" s="36" t="n"/>
      <c r="BH108" s="36" t="n"/>
      <c r="BI108" s="36" t="n"/>
      <c r="BJ108" s="36" t="n"/>
      <c r="BK108" s="36" t="n"/>
    </row>
    <row r="109" ht="34" customHeight="1">
      <c r="A109" s="37" t="n"/>
      <c r="B109" s="42">
        <f>IFERROR(INDEX(People!$B$2:$B$199,MATCH($A$107&amp;"#"&amp;3,People!$H$2:$H$199,0)),"")</f>
        <v/>
      </c>
      <c r="C109" s="26">
        <f>IF(TRIM($B109)="","",IFERROR(INDEX(People!$A$2:$A$199,MATCH(TRIM($B109),People!$B$2:$B$199,0)),"?? CHECK NAME"))</f>
        <v/>
      </c>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c r="AF109" s="36" t="n"/>
      <c r="AG109" s="36" t="n"/>
      <c r="AH109" s="36" t="n"/>
      <c r="AI109" s="36" t="n"/>
      <c r="AJ109" s="36" t="n"/>
      <c r="AK109" s="36" t="n"/>
      <c r="AL109" s="36" t="n"/>
      <c r="AM109" s="36" t="n"/>
      <c r="AN109" s="36" t="n"/>
      <c r="AO109" s="36" t="n"/>
      <c r="AP109" s="36" t="n"/>
      <c r="AQ109" s="36" t="n"/>
      <c r="AR109" s="36" t="n"/>
      <c r="AS109" s="36" t="n"/>
      <c r="AT109" s="36" t="n"/>
      <c r="AU109" s="36" t="n"/>
      <c r="AV109" s="36" t="n"/>
      <c r="AW109" s="36" t="n"/>
      <c r="AX109" s="36" t="n"/>
      <c r="AY109" s="36" t="n"/>
      <c r="AZ109" s="36" t="n"/>
      <c r="BA109" s="36" t="n"/>
      <c r="BB109" s="36" t="n"/>
      <c r="BC109" s="36" t="n"/>
      <c r="BD109" s="36" t="n"/>
      <c r="BE109" s="36" t="n"/>
      <c r="BF109" s="36" t="n"/>
      <c r="BG109" s="36" t="n"/>
      <c r="BH109" s="36" t="n"/>
      <c r="BI109" s="36" t="n"/>
      <c r="BJ109" s="36" t="n"/>
      <c r="BK109" s="36" t="n"/>
    </row>
    <row r="110" ht="34" customHeight="1">
      <c r="A110" s="37" t="n"/>
      <c r="B110" s="42">
        <f>IFERROR(INDEX(People!$B$2:$B$199,MATCH($A$107&amp;"#"&amp;4,People!$H$2:$H$199,0)),"")</f>
        <v/>
      </c>
      <c r="C110" s="26">
        <f>IF(TRIM($B110)="","",IFERROR(INDEX(People!$A$2:$A$199,MATCH(TRIM($B110),People!$B$2:$B$199,0)),"?? CHECK NAME"))</f>
        <v/>
      </c>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c r="AF110" s="36" t="n"/>
      <c r="AG110" s="36" t="n"/>
      <c r="AH110" s="36" t="n"/>
      <c r="AI110" s="36" t="n"/>
      <c r="AJ110" s="36" t="n"/>
      <c r="AK110" s="36" t="n"/>
      <c r="AL110" s="36" t="n"/>
      <c r="AM110" s="36" t="n"/>
      <c r="AN110" s="36" t="n"/>
      <c r="AO110" s="36" t="n"/>
      <c r="AP110" s="36" t="n"/>
      <c r="AQ110" s="36" t="n"/>
      <c r="AR110" s="36" t="n"/>
      <c r="AS110" s="36" t="n"/>
      <c r="AT110" s="36" t="n"/>
      <c r="AU110" s="36" t="n"/>
      <c r="AV110" s="36" t="n"/>
      <c r="AW110" s="36" t="n"/>
      <c r="AX110" s="36" t="n"/>
      <c r="AY110" s="36" t="n"/>
      <c r="AZ110" s="36" t="n"/>
      <c r="BA110" s="36" t="n"/>
      <c r="BB110" s="36" t="n"/>
      <c r="BC110" s="36" t="n"/>
      <c r="BD110" s="36" t="n"/>
      <c r="BE110" s="36" t="n"/>
      <c r="BF110" s="36" t="n"/>
      <c r="BG110" s="36" t="n"/>
      <c r="BH110" s="36" t="n"/>
      <c r="BI110" s="36" t="n"/>
      <c r="BJ110" s="36" t="n"/>
      <c r="BK110" s="36" t="n"/>
    </row>
    <row r="111" ht="34" customHeight="1">
      <c r="A111" s="38" t="n"/>
      <c r="B111" s="42">
        <f>IFERROR(INDEX(People!$B$2:$B$199,MATCH($A$107&amp;"#"&amp;5,People!$H$2:$H$199,0)),"")</f>
        <v/>
      </c>
      <c r="C111" s="26">
        <f>IF(TRIM($B111)="","",IFERROR(INDEX(People!$A$2:$A$199,MATCH(TRIM($B111),People!$B$2:$B$199,0)),"?? CHECK NAME"))</f>
        <v/>
      </c>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c r="AF111" s="36" t="n"/>
      <c r="AG111" s="36" t="n"/>
      <c r="AH111" s="36" t="n"/>
      <c r="AI111" s="36" t="n"/>
      <c r="AJ111" s="36" t="n"/>
      <c r="AK111" s="36" t="n"/>
      <c r="AL111" s="36" t="n"/>
      <c r="AM111" s="36" t="n"/>
      <c r="AN111" s="36" t="n"/>
      <c r="AO111" s="36" t="n"/>
      <c r="AP111" s="36" t="n"/>
      <c r="AQ111" s="36" t="n"/>
      <c r="AR111" s="36" t="n"/>
      <c r="AS111" s="36" t="n"/>
      <c r="AT111" s="36" t="n"/>
      <c r="AU111" s="36" t="n"/>
      <c r="AV111" s="36" t="n"/>
      <c r="AW111" s="36" t="n"/>
      <c r="AX111" s="36" t="n"/>
      <c r="AY111" s="36" t="n"/>
      <c r="AZ111" s="36" t="n"/>
      <c r="BA111" s="36" t="n"/>
      <c r="BB111" s="36" t="n"/>
      <c r="BC111" s="36" t="n"/>
      <c r="BD111" s="36" t="n"/>
      <c r="BE111" s="36" t="n"/>
      <c r="BF111" s="36" t="n"/>
      <c r="BG111" s="36" t="n"/>
      <c r="BH111" s="36" t="n"/>
      <c r="BI111" s="36" t="n"/>
      <c r="BJ111" s="36" t="n"/>
      <c r="BK111" s="36" t="n"/>
    </row>
    <row r="112" ht="34" customHeight="1">
      <c r="A112" s="41" t="inlineStr">
        <is>
          <t>Michigan Wolveraas</t>
        </is>
      </c>
      <c r="B112" s="42">
        <f>IFERROR(INDEX(People!$B$2:$B$199,MATCH($A$112&amp;"#"&amp;1,People!$H$2:$H$199,0)),"")</f>
        <v/>
      </c>
      <c r="C112" s="26">
        <f>IF(TRIM($B112)="","",IFERROR(INDEX(People!$A$2:$A$199,MATCH(TRIM($B112),People!$B$2:$B$199,0)),"?? CHECK NAME"))</f>
        <v/>
      </c>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c r="AF112" s="36" t="n"/>
      <c r="AG112" s="36" t="n"/>
      <c r="AH112" s="36" t="n"/>
      <c r="AI112" s="36" t="n"/>
      <c r="AJ112" s="36" t="n"/>
      <c r="AK112" s="36" t="n"/>
      <c r="AL112" s="36" t="n"/>
      <c r="AM112" s="36" t="n"/>
      <c r="AN112" s="36" t="n"/>
      <c r="AO112" s="36" t="n"/>
      <c r="AP112" s="36" t="n"/>
      <c r="AQ112" s="36" t="n"/>
      <c r="AR112" s="36" t="n"/>
      <c r="AS112" s="36" t="n"/>
      <c r="AT112" s="36" t="n"/>
      <c r="AU112" s="36" t="n"/>
      <c r="AV112" s="36" t="n"/>
      <c r="AW112" s="36" t="n"/>
      <c r="AX112" s="36" t="n"/>
      <c r="AY112" s="36" t="n"/>
      <c r="AZ112" s="36" t="n"/>
      <c r="BA112" s="36" t="n"/>
      <c r="BB112" s="36" t="n"/>
      <c r="BC112" s="36" t="n"/>
      <c r="BD112" s="36" t="n"/>
      <c r="BE112" s="36" t="n"/>
      <c r="BF112" s="36" t="n"/>
      <c r="BG112" s="36" t="n"/>
      <c r="BH112" s="36" t="n"/>
      <c r="BI112" s="36" t="n"/>
      <c r="BJ112" s="36" t="n"/>
      <c r="BK112" s="36" t="n"/>
    </row>
    <row r="113" ht="34" customHeight="1">
      <c r="A113" s="37" t="n"/>
      <c r="B113" s="42">
        <f>IFERROR(INDEX(People!$B$2:$B$199,MATCH($A$112&amp;"#"&amp;2,People!$H$2:$H$199,0)),"")</f>
        <v/>
      </c>
      <c r="C113" s="26">
        <f>IF(TRIM($B113)="","",IFERROR(INDEX(People!$A$2:$A$199,MATCH(TRIM($B113),People!$B$2:$B$199,0)),"?? CHECK NAME"))</f>
        <v/>
      </c>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c r="AF113" s="36" t="n"/>
      <c r="AG113" s="36" t="n"/>
      <c r="AH113" s="36" t="n"/>
      <c r="AI113" s="36" t="n"/>
      <c r="AJ113" s="36" t="n"/>
      <c r="AK113" s="36" t="n"/>
      <c r="AL113" s="36" t="n"/>
      <c r="AM113" s="36" t="n"/>
      <c r="AN113" s="36" t="n"/>
      <c r="AO113" s="36" t="n"/>
      <c r="AP113" s="36" t="n"/>
      <c r="AQ113" s="36" t="n"/>
      <c r="AR113" s="36" t="n"/>
      <c r="AS113" s="36" t="n"/>
      <c r="AT113" s="36" t="n"/>
      <c r="AU113" s="36" t="n"/>
      <c r="AV113" s="36" t="n"/>
      <c r="AW113" s="36" t="n"/>
      <c r="AX113" s="36" t="n"/>
      <c r="AY113" s="36" t="n"/>
      <c r="AZ113" s="36" t="n"/>
      <c r="BA113" s="36" t="n"/>
      <c r="BB113" s="36" t="n"/>
      <c r="BC113" s="36" t="n"/>
      <c r="BD113" s="36" t="n"/>
      <c r="BE113" s="36" t="n"/>
      <c r="BF113" s="36" t="n"/>
      <c r="BG113" s="36" t="n"/>
      <c r="BH113" s="36" t="n"/>
      <c r="BI113" s="36" t="n"/>
      <c r="BJ113" s="36" t="n"/>
      <c r="BK113" s="36" t="n"/>
    </row>
    <row r="114" ht="34" customHeight="1">
      <c r="A114" s="37" t="n"/>
      <c r="B114" s="42">
        <f>IFERROR(INDEX(People!$B$2:$B$199,MATCH($A$112&amp;"#"&amp;3,People!$H$2:$H$199,0)),"")</f>
        <v/>
      </c>
      <c r="C114" s="26">
        <f>IF(TRIM($B114)="","",IFERROR(INDEX(People!$A$2:$A$199,MATCH(TRIM($B114),People!$B$2:$B$199,0)),"?? CHECK NAME"))</f>
        <v/>
      </c>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c r="AF114" s="36" t="n"/>
      <c r="AG114" s="36" t="n"/>
      <c r="AH114" s="36" t="n"/>
      <c r="AI114" s="36" t="n"/>
      <c r="AJ114" s="36" t="n"/>
      <c r="AK114" s="36" t="n"/>
      <c r="AL114" s="36" t="n"/>
      <c r="AM114" s="36" t="n"/>
      <c r="AN114" s="36" t="n"/>
      <c r="AO114" s="36" t="n"/>
      <c r="AP114" s="36" t="n"/>
      <c r="AQ114" s="36" t="n"/>
      <c r="AR114" s="36" t="n"/>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row>
    <row r="115" ht="34" customHeight="1">
      <c r="A115" s="37" t="n"/>
      <c r="B115" s="42">
        <f>IFERROR(INDEX(People!$B$2:$B$199,MATCH($A$112&amp;"#"&amp;4,People!$H$2:$H$199,0)),"")</f>
        <v/>
      </c>
      <c r="C115" s="26">
        <f>IF(TRIM($B115)="","",IFERROR(INDEX(People!$A$2:$A$199,MATCH(TRIM($B115),People!$B$2:$B$199,0)),"?? CHECK NAME"))</f>
        <v/>
      </c>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c r="AF115" s="36" t="n"/>
      <c r="AG115" s="36" t="n"/>
      <c r="AH115" s="36" t="n"/>
      <c r="AI115" s="36" t="n"/>
      <c r="AJ115" s="36" t="n"/>
      <c r="AK115" s="36" t="n"/>
      <c r="AL115" s="36" t="n"/>
      <c r="AM115" s="36" t="n"/>
      <c r="AN115" s="36" t="n"/>
      <c r="AO115" s="36" t="n"/>
      <c r="AP115" s="36" t="n"/>
      <c r="AQ115" s="36" t="n"/>
      <c r="AR115" s="36" t="n"/>
      <c r="AS115" s="36" t="n"/>
      <c r="AT115" s="36" t="n"/>
      <c r="AU115" s="36" t="n"/>
      <c r="AV115" s="36" t="n"/>
      <c r="AW115" s="36" t="n"/>
      <c r="AX115" s="36" t="n"/>
      <c r="AY115" s="36" t="n"/>
      <c r="AZ115" s="36" t="n"/>
      <c r="BA115" s="36" t="n"/>
      <c r="BB115" s="36" t="n"/>
      <c r="BC115" s="36" t="n"/>
      <c r="BD115" s="36" t="n"/>
      <c r="BE115" s="36" t="n"/>
      <c r="BF115" s="36" t="n"/>
      <c r="BG115" s="36" t="n"/>
      <c r="BH115" s="36" t="n"/>
      <c r="BI115" s="36" t="n"/>
      <c r="BJ115" s="36" t="n"/>
      <c r="BK115" s="36" t="n"/>
    </row>
    <row r="116" ht="34" customHeight="1">
      <c r="A116" s="38" t="n"/>
      <c r="B116" s="42">
        <f>IFERROR(INDEX(People!$B$2:$B$199,MATCH($A$112&amp;"#"&amp;5,People!$H$2:$H$199,0)),"")</f>
        <v/>
      </c>
      <c r="C116" s="26">
        <f>IF(TRIM($B116)="","",IFERROR(INDEX(People!$A$2:$A$199,MATCH(TRIM($B116),People!$B$2:$B$199,0)),"?? CHECK NAME"))</f>
        <v/>
      </c>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c r="AF116" s="36" t="n"/>
      <c r="AG116" s="36" t="n"/>
      <c r="AH116" s="36" t="n"/>
      <c r="AI116" s="36" t="n"/>
      <c r="AJ116" s="36" t="n"/>
      <c r="AK116" s="36" t="n"/>
      <c r="AL116" s="36" t="n"/>
      <c r="AM116" s="36" t="n"/>
      <c r="AN116" s="36" t="n"/>
      <c r="AO116" s="36" t="n"/>
      <c r="AP116" s="36" t="n"/>
      <c r="AQ116" s="36" t="n"/>
      <c r="AR116" s="36" t="n"/>
      <c r="AS116" s="36" t="n"/>
      <c r="AT116" s="36" t="n"/>
      <c r="AU116" s="36" t="n"/>
      <c r="AV116" s="36" t="n"/>
      <c r="AW116" s="36" t="n"/>
      <c r="AX116" s="36" t="n"/>
      <c r="AY116" s="36" t="n"/>
      <c r="AZ116" s="36" t="n"/>
      <c r="BA116" s="36" t="n"/>
      <c r="BB116" s="36" t="n"/>
      <c r="BC116" s="36" t="n"/>
      <c r="BD116" s="36" t="n"/>
      <c r="BE116" s="36" t="n"/>
      <c r="BF116" s="36" t="n"/>
      <c r="BG116" s="36" t="n"/>
      <c r="BH116" s="36" t="n"/>
      <c r="BI116" s="36" t="n"/>
      <c r="BJ116" s="36" t="n"/>
      <c r="BK116" s="36" t="n"/>
    </row>
    <row r="117" ht="34" customHeight="1">
      <c r="A117" s="41" t="inlineStr">
        <is>
          <t>MSU Raasparty</t>
        </is>
      </c>
      <c r="B117" s="42">
        <f>IFERROR(INDEX(People!$B$2:$B$199,MATCH($A$117&amp;"#"&amp;1,People!$H$2:$H$199,0)),"")</f>
        <v/>
      </c>
      <c r="C117" s="26">
        <f>IF(TRIM($B117)="","",IFERROR(INDEX(People!$A$2:$A$199,MATCH(TRIM($B117),People!$B$2:$B$199,0)),"?? CHECK NAME"))</f>
        <v/>
      </c>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c r="AF117" s="36" t="n"/>
      <c r="AG117" s="36" t="n"/>
      <c r="AH117" s="36" t="n"/>
      <c r="AI117" s="36" t="n"/>
      <c r="AJ117" s="36" t="n"/>
      <c r="AK117" s="36" t="n"/>
      <c r="AL117" s="36" t="n"/>
      <c r="AM117" s="36" t="n"/>
      <c r="AN117" s="36" t="n"/>
      <c r="AO117" s="36" t="n"/>
      <c r="AP117" s="36" t="n"/>
      <c r="AQ117" s="36" t="n"/>
      <c r="AR117" s="36" t="n"/>
      <c r="AS117" s="36" t="n"/>
      <c r="AT117" s="36" t="n"/>
      <c r="AU117" s="36" t="n"/>
      <c r="AV117" s="36" t="n"/>
      <c r="AW117" s="36" t="n"/>
      <c r="AX117" s="36" t="n"/>
      <c r="AY117" s="36" t="n"/>
      <c r="AZ117" s="36" t="n"/>
      <c r="BA117" s="36" t="n"/>
      <c r="BB117" s="36" t="n"/>
      <c r="BC117" s="36" t="n"/>
      <c r="BD117" s="36" t="n"/>
      <c r="BE117" s="36" t="n"/>
      <c r="BF117" s="36" t="n"/>
      <c r="BG117" s="36" t="n"/>
      <c r="BH117" s="36" t="n"/>
      <c r="BI117" s="36" t="n"/>
      <c r="BJ117" s="36" t="n"/>
      <c r="BK117" s="36" t="n"/>
    </row>
    <row r="118" ht="34" customHeight="1">
      <c r="A118" s="37" t="n"/>
      <c r="B118" s="42">
        <f>IFERROR(INDEX(People!$B$2:$B$199,MATCH($A$117&amp;"#"&amp;2,People!$H$2:$H$199,0)),"")</f>
        <v/>
      </c>
      <c r="C118" s="26">
        <f>IF(TRIM($B118)="","",IFERROR(INDEX(People!$A$2:$A$199,MATCH(TRIM($B118),People!$B$2:$B$199,0)),"?? CHECK NAME"))</f>
        <v/>
      </c>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c r="AF118" s="36" t="n"/>
      <c r="AG118" s="36" t="n"/>
      <c r="AH118" s="36" t="n"/>
      <c r="AI118" s="36" t="n"/>
      <c r="AJ118" s="36" t="n"/>
      <c r="AK118" s="36" t="n"/>
      <c r="AL118" s="36" t="n"/>
      <c r="AM118" s="36" t="n"/>
      <c r="AN118" s="36" t="n"/>
      <c r="AO118" s="36" t="n"/>
      <c r="AP118" s="36" t="n"/>
      <c r="AQ118" s="36" t="n"/>
      <c r="AR118" s="36" t="n"/>
      <c r="AS118" s="36" t="n"/>
      <c r="AT118" s="36" t="n"/>
      <c r="AU118" s="36" t="n"/>
      <c r="AV118" s="36" t="n"/>
      <c r="AW118" s="36" t="n"/>
      <c r="AX118" s="36" t="n"/>
      <c r="AY118" s="36" t="n"/>
      <c r="AZ118" s="36" t="n"/>
      <c r="BA118" s="36" t="n"/>
      <c r="BB118" s="36" t="n"/>
      <c r="BC118" s="36" t="n"/>
      <c r="BD118" s="36" t="n"/>
      <c r="BE118" s="36" t="n"/>
      <c r="BF118" s="36" t="n"/>
      <c r="BG118" s="36" t="n"/>
      <c r="BH118" s="36" t="n"/>
      <c r="BI118" s="36" t="n"/>
      <c r="BJ118" s="36" t="n"/>
      <c r="BK118" s="36" t="n"/>
    </row>
    <row r="119" ht="34" customHeight="1">
      <c r="A119" s="37" t="n"/>
      <c r="B119" s="42">
        <f>IFERROR(INDEX(People!$B$2:$B$199,MATCH($A$117&amp;"#"&amp;3,People!$H$2:$H$199,0)),"")</f>
        <v/>
      </c>
      <c r="C119" s="26">
        <f>IF(TRIM($B119)="","",IFERROR(INDEX(People!$A$2:$A$199,MATCH(TRIM($B119),People!$B$2:$B$199,0)),"?? CHECK NAME"))</f>
        <v/>
      </c>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c r="AF119" s="36" t="n"/>
      <c r="AG119" s="36" t="n"/>
      <c r="AH119" s="36" t="n"/>
      <c r="AI119" s="36" t="n"/>
      <c r="AJ119" s="36" t="n"/>
      <c r="AK119" s="36" t="n"/>
      <c r="AL119" s="36" t="n"/>
      <c r="AM119" s="36" t="n"/>
      <c r="AN119" s="36" t="n"/>
      <c r="AO119" s="36" t="n"/>
      <c r="AP119" s="36" t="n"/>
      <c r="AQ119" s="36" t="n"/>
      <c r="AR119" s="36" t="n"/>
      <c r="AS119" s="36" t="n"/>
      <c r="AT119" s="36" t="n"/>
      <c r="AU119" s="36" t="n"/>
      <c r="AV119" s="36" t="n"/>
      <c r="AW119" s="36" t="n"/>
      <c r="AX119" s="36" t="n"/>
      <c r="AY119" s="36" t="n"/>
      <c r="AZ119" s="36" t="n"/>
      <c r="BA119" s="36" t="n"/>
      <c r="BB119" s="36" t="n"/>
      <c r="BC119" s="36" t="n"/>
      <c r="BD119" s="36" t="n"/>
      <c r="BE119" s="36" t="n"/>
      <c r="BF119" s="36" t="n"/>
      <c r="BG119" s="36" t="n"/>
      <c r="BH119" s="36" t="n"/>
      <c r="BI119" s="36" t="n"/>
      <c r="BJ119" s="36" t="n"/>
      <c r="BK119" s="36" t="n"/>
    </row>
    <row r="120" ht="34" customHeight="1">
      <c r="A120" s="37" t="n"/>
      <c r="B120" s="42">
        <f>IFERROR(INDEX(People!$B$2:$B$199,MATCH($A$117&amp;"#"&amp;4,People!$H$2:$H$199,0)),"")</f>
        <v/>
      </c>
      <c r="C120" s="26">
        <f>IF(TRIM($B120)="","",IFERROR(INDEX(People!$A$2:$A$199,MATCH(TRIM($B120),People!$B$2:$B$199,0)),"?? CHECK NAME"))</f>
        <v/>
      </c>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c r="AF120" s="36" t="n"/>
      <c r="AG120" s="36" t="n"/>
      <c r="AH120" s="36" t="n"/>
      <c r="AI120" s="36" t="n"/>
      <c r="AJ120" s="36" t="n"/>
      <c r="AK120" s="36" t="n"/>
      <c r="AL120" s="36" t="n"/>
      <c r="AM120" s="36" t="n"/>
      <c r="AN120" s="36" t="n"/>
      <c r="AO120" s="36" t="n"/>
      <c r="AP120" s="36" t="n"/>
      <c r="AQ120" s="36" t="n"/>
      <c r="AR120" s="36" t="n"/>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row>
    <row r="121" ht="34" customHeight="1">
      <c r="A121" s="38" t="n"/>
      <c r="B121" s="42">
        <f>IFERROR(INDEX(People!$B$2:$B$199,MATCH($A$117&amp;"#"&amp;5,People!$H$2:$H$199,0)),"")</f>
        <v/>
      </c>
      <c r="C121" s="26">
        <f>IF(TRIM($B121)="","",IFERROR(INDEX(People!$A$2:$A$199,MATCH(TRIM($B121),People!$B$2:$B$199,0)),"?? CHECK NAME"))</f>
        <v/>
      </c>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c r="AF121" s="36" t="n"/>
      <c r="AG121" s="36" t="n"/>
      <c r="AH121" s="36" t="n"/>
      <c r="AI121" s="36" t="n"/>
      <c r="AJ121" s="36" t="n"/>
      <c r="AK121" s="36" t="n"/>
      <c r="AL121" s="36" t="n"/>
      <c r="AM121" s="36" t="n"/>
      <c r="AN121" s="36" t="n"/>
      <c r="AO121" s="36" t="n"/>
      <c r="AP121" s="36" t="n"/>
      <c r="AQ121" s="36" t="n"/>
      <c r="AR121" s="36" t="n"/>
      <c r="AS121" s="36" t="n"/>
      <c r="AT121" s="36" t="n"/>
      <c r="AU121" s="36" t="n"/>
      <c r="AV121" s="36" t="n"/>
      <c r="AW121" s="36" t="n"/>
      <c r="AX121" s="36" t="n"/>
      <c r="AY121" s="36" t="n"/>
      <c r="AZ121" s="36" t="n"/>
      <c r="BA121" s="36" t="n"/>
      <c r="BB121" s="36" t="n"/>
      <c r="BC121" s="36" t="n"/>
      <c r="BD121" s="36" t="n"/>
      <c r="BE121" s="36" t="n"/>
      <c r="BF121" s="36" t="n"/>
      <c r="BG121" s="36" t="n"/>
      <c r="BH121" s="36" t="n"/>
      <c r="BI121" s="36" t="n"/>
      <c r="BJ121" s="36" t="n"/>
      <c r="BK121" s="36" t="n"/>
    </row>
    <row r="122" ht="34" customHeight="1">
      <c r="A122" s="41" t="inlineStr">
        <is>
          <t>GT Ramblin Raas</t>
        </is>
      </c>
      <c r="B122" s="42">
        <f>IFERROR(INDEX(People!$B$2:$B$199,MATCH($A$122&amp;"#"&amp;1,People!$H$2:$H$199,0)),"")</f>
        <v/>
      </c>
      <c r="C122" s="26">
        <f>IF(TRIM($B122)="","",IFERROR(INDEX(People!$A$2:$A$199,MATCH(TRIM($B122),People!$B$2:$B$199,0)),"?? CHECK NAME"))</f>
        <v/>
      </c>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c r="AF122" s="36" t="n"/>
      <c r="AG122" s="36" t="n"/>
      <c r="AH122" s="36" t="n"/>
      <c r="AI122" s="36" t="n"/>
      <c r="AJ122" s="36" t="n"/>
      <c r="AK122" s="36" t="n"/>
      <c r="AL122" s="36" t="n"/>
      <c r="AM122" s="36" t="n"/>
      <c r="AN122" s="36" t="n"/>
      <c r="AO122" s="36" t="n"/>
      <c r="AP122" s="36" t="n"/>
      <c r="AQ122" s="36" t="n"/>
      <c r="AR122" s="36" t="n"/>
      <c r="AS122" s="36" t="n"/>
      <c r="AT122" s="36" t="n"/>
      <c r="AU122" s="36" t="n"/>
      <c r="AV122" s="36" t="n"/>
      <c r="AW122" s="36" t="n"/>
      <c r="AX122" s="36" t="n"/>
      <c r="AY122" s="36" t="n"/>
      <c r="AZ122" s="36" t="n"/>
      <c r="BA122" s="36" t="n"/>
      <c r="BB122" s="36" t="n"/>
      <c r="BC122" s="36" t="n"/>
      <c r="BD122" s="36" t="n"/>
      <c r="BE122" s="36" t="n"/>
      <c r="BF122" s="36" t="n"/>
      <c r="BG122" s="36" t="n"/>
      <c r="BH122" s="36" t="n"/>
      <c r="BI122" s="36" t="n"/>
      <c r="BJ122" s="36" t="n"/>
      <c r="BK122" s="36" t="n"/>
    </row>
    <row r="123" ht="34" customHeight="1">
      <c r="A123" s="37" t="n"/>
      <c r="B123" s="42">
        <f>IFERROR(INDEX(People!$B$2:$B$199,MATCH($A$122&amp;"#"&amp;2,People!$H$2:$H$199,0)),"")</f>
        <v/>
      </c>
      <c r="C123" s="26">
        <f>IF(TRIM($B123)="","",IFERROR(INDEX(People!$A$2:$A$199,MATCH(TRIM($B123),People!$B$2:$B$199,0)),"?? CHECK NAME"))</f>
        <v/>
      </c>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c r="AF123" s="36" t="n"/>
      <c r="AG123" s="36" t="n"/>
      <c r="AH123" s="36" t="n"/>
      <c r="AI123" s="36" t="n"/>
      <c r="AJ123" s="36" t="n"/>
      <c r="AK123" s="36" t="n"/>
      <c r="AL123" s="36" t="n"/>
      <c r="AM123" s="36" t="n"/>
      <c r="AN123" s="36" t="n"/>
      <c r="AO123" s="36" t="n"/>
      <c r="AP123" s="36" t="n"/>
      <c r="AQ123" s="36" t="n"/>
      <c r="AR123" s="36" t="n"/>
      <c r="AS123" s="36" t="n"/>
      <c r="AT123" s="36" t="n"/>
      <c r="AU123" s="36" t="n"/>
      <c r="AV123" s="36" t="n"/>
      <c r="AW123" s="36" t="n"/>
      <c r="AX123" s="36" t="n"/>
      <c r="AY123" s="36" t="n"/>
      <c r="AZ123" s="36" t="n"/>
      <c r="BA123" s="36" t="n"/>
      <c r="BB123" s="36" t="n"/>
      <c r="BC123" s="36" t="n"/>
      <c r="BD123" s="36" t="n"/>
      <c r="BE123" s="36" t="n"/>
      <c r="BF123" s="36" t="n"/>
      <c r="BG123" s="36" t="n"/>
      <c r="BH123" s="36" t="n"/>
      <c r="BI123" s="36" t="n"/>
      <c r="BJ123" s="36" t="n"/>
      <c r="BK123" s="36" t="n"/>
    </row>
    <row r="124" ht="34" customHeight="1">
      <c r="A124" s="37" t="n"/>
      <c r="B124" s="42">
        <f>IFERROR(INDEX(People!$B$2:$B$199,MATCH($A$122&amp;"#"&amp;3,People!$H$2:$H$199,0)),"")</f>
        <v/>
      </c>
      <c r="C124" s="26">
        <f>IF(TRIM($B124)="","",IFERROR(INDEX(People!$A$2:$A$199,MATCH(TRIM($B124),People!$B$2:$B$199,0)),"?? CHECK NAME"))</f>
        <v/>
      </c>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c r="AF124" s="36" t="n"/>
      <c r="AG124" s="36" t="n"/>
      <c r="AH124" s="36" t="n"/>
      <c r="AI124" s="36" t="n"/>
      <c r="AJ124" s="36" t="n"/>
      <c r="AK124" s="36" t="n"/>
      <c r="AL124" s="36" t="n"/>
      <c r="AM124" s="36" t="n"/>
      <c r="AN124" s="36" t="n"/>
      <c r="AO124" s="36" t="n"/>
      <c r="AP124" s="36" t="n"/>
      <c r="AQ124" s="36" t="n"/>
      <c r="AR124" s="36" t="n"/>
      <c r="AS124" s="36" t="n"/>
      <c r="AT124" s="36" t="n"/>
      <c r="AU124" s="36" t="n"/>
      <c r="AV124" s="36" t="n"/>
      <c r="AW124" s="36" t="n"/>
      <c r="AX124" s="36" t="n"/>
      <c r="AY124" s="36" t="n"/>
      <c r="AZ124" s="36" t="n"/>
      <c r="BA124" s="36" t="n"/>
      <c r="BB124" s="36" t="n"/>
      <c r="BC124" s="36" t="n"/>
      <c r="BD124" s="36" t="n"/>
      <c r="BE124" s="36" t="n"/>
      <c r="BF124" s="36" t="n"/>
      <c r="BG124" s="36" t="n"/>
      <c r="BH124" s="36" t="n"/>
      <c r="BI124" s="36" t="n"/>
      <c r="BJ124" s="36" t="n"/>
      <c r="BK124" s="36" t="n"/>
    </row>
    <row r="125" ht="34" customHeight="1">
      <c r="A125" s="37" t="n"/>
      <c r="B125" s="42">
        <f>IFERROR(INDEX(People!$B$2:$B$199,MATCH($A$122&amp;"#"&amp;4,People!$H$2:$H$199,0)),"")</f>
        <v/>
      </c>
      <c r="C125" s="26">
        <f>IF(TRIM($B125)="","",IFERROR(INDEX(People!$A$2:$A$199,MATCH(TRIM($B125),People!$B$2:$B$199,0)),"?? CHECK NAME"))</f>
        <v/>
      </c>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c r="AF125" s="36" t="n"/>
      <c r="AG125" s="36" t="n"/>
      <c r="AH125" s="36" t="n"/>
      <c r="AI125" s="36" t="n"/>
      <c r="AJ125" s="36" t="n"/>
      <c r="AK125" s="36" t="n"/>
      <c r="AL125" s="36" t="n"/>
      <c r="AM125" s="36" t="n"/>
      <c r="AN125" s="36" t="n"/>
      <c r="AO125" s="36" t="n"/>
      <c r="AP125" s="36" t="n"/>
      <c r="AQ125" s="36" t="n"/>
      <c r="AR125" s="36" t="n"/>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row>
    <row r="126" ht="34" customHeight="1">
      <c r="A126" s="38" t="n"/>
      <c r="B126" s="42">
        <f>IFERROR(INDEX(People!$B$2:$B$199,MATCH($A$122&amp;"#"&amp;5,People!$H$2:$H$199,0)),"")</f>
        <v/>
      </c>
      <c r="C126" s="26">
        <f>IF(TRIM($B126)="","",IFERROR(INDEX(People!$A$2:$A$199,MATCH(TRIM($B126),People!$B$2:$B$199,0)),"?? CHECK NAME"))</f>
        <v/>
      </c>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c r="AF126" s="36" t="n"/>
      <c r="AG126" s="36" t="n"/>
      <c r="AH126" s="36" t="n"/>
      <c r="AI126" s="36" t="n"/>
      <c r="AJ126" s="36" t="n"/>
      <c r="AK126" s="36" t="n"/>
      <c r="AL126" s="36" t="n"/>
      <c r="AM126" s="36" t="n"/>
      <c r="AN126" s="36" t="n"/>
      <c r="AO126" s="36" t="n"/>
      <c r="AP126" s="36" t="n"/>
      <c r="AQ126" s="36" t="n"/>
      <c r="AR126" s="36" t="n"/>
      <c r="AS126" s="36" t="n"/>
      <c r="AT126" s="36" t="n"/>
      <c r="AU126" s="36" t="n"/>
      <c r="AV126" s="36" t="n"/>
      <c r="AW126" s="36" t="n"/>
      <c r="AX126" s="36" t="n"/>
      <c r="AY126" s="36" t="n"/>
      <c r="AZ126" s="36" t="n"/>
      <c r="BA126" s="36" t="n"/>
      <c r="BB126" s="36" t="n"/>
      <c r="BC126" s="36" t="n"/>
      <c r="BD126" s="36" t="n"/>
      <c r="BE126" s="36" t="n"/>
      <c r="BF126" s="36" t="n"/>
      <c r="BG126" s="36" t="n"/>
      <c r="BH126" s="36" t="n"/>
      <c r="BI126" s="36" t="n"/>
      <c r="BJ126" s="36" t="n"/>
      <c r="BK126" s="36" t="n"/>
    </row>
    <row r="127" ht="34" customHeight="1">
      <c r="A127" s="16" t="inlineStr">
        <is>
          <t>Judge Liaisons</t>
        </is>
      </c>
      <c r="B127" s="35" t="inlineStr"/>
      <c r="C127" s="26">
        <f>IF(TRIM($B127)="","",IFERROR(INDEX(People!$A$2:$A$199,MATCH(TRIM($B127),People!$B$2:$B$199,0)),IFERROR(INDEX(Teams!$A$2:$A$9,MATCH(TRIM($B127),Teams!$B$2:$B$9,0)),"?? CHECK NAME")))</f>
        <v/>
      </c>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c r="AF127" s="36" t="n"/>
      <c r="AG127" s="36" t="n"/>
      <c r="AH127" s="36" t="n"/>
      <c r="AI127" s="36" t="n"/>
      <c r="AJ127" s="36" t="n"/>
      <c r="AK127" s="36" t="n"/>
      <c r="AL127" s="36" t="n"/>
      <c r="AM127" s="36" t="n"/>
      <c r="AN127" s="36" t="n"/>
      <c r="AO127" s="36" t="n"/>
      <c r="AP127" s="36" t="n"/>
      <c r="AQ127" s="36" t="n"/>
      <c r="AR127" s="36" t="n"/>
      <c r="AS127" s="36" t="n"/>
      <c r="AT127" s="36" t="n"/>
      <c r="AU127" s="36" t="n"/>
      <c r="AV127" s="36" t="n"/>
      <c r="AW127" s="36" t="n"/>
      <c r="AX127" s="36" t="n"/>
      <c r="AY127" s="36" t="n"/>
      <c r="AZ127" s="36" t="n"/>
      <c r="BA127" s="36" t="n"/>
      <c r="BB127" s="36" t="n"/>
      <c r="BC127" s="36" t="n"/>
      <c r="BD127" s="36" t="n"/>
      <c r="BE127" s="36" t="n"/>
      <c r="BF127" s="36" t="n"/>
      <c r="BG127" s="36" t="n"/>
      <c r="BH127" s="36" t="n"/>
      <c r="BI127" s="36" t="n"/>
      <c r="BJ127" s="36" t="n"/>
      <c r="BK127" s="36" t="n"/>
    </row>
    <row r="128" ht="34" customHeight="1">
      <c r="A128" s="37" t="n"/>
      <c r="B128" s="35" t="inlineStr"/>
      <c r="C128" s="26">
        <f>IF(TRIM($B128)="","",IFERROR(INDEX(People!$A$2:$A$199,MATCH(TRIM($B128),People!$B$2:$B$199,0)),IFERROR(INDEX(Teams!$A$2:$A$9,MATCH(TRIM($B128),Teams!$B$2:$B$9,0)),"?? CHECK NAME")))</f>
        <v/>
      </c>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c r="AF128" s="36" t="n"/>
      <c r="AG128" s="36" t="n"/>
      <c r="AH128" s="36" t="n"/>
      <c r="AI128" s="36" t="n"/>
      <c r="AJ128" s="36" t="n"/>
      <c r="AK128" s="36" t="n"/>
      <c r="AL128" s="36" t="n"/>
      <c r="AM128" s="36" t="n"/>
      <c r="AN128" s="36" t="n"/>
      <c r="AO128" s="36" t="n"/>
      <c r="AP128" s="36" t="n"/>
      <c r="AQ128" s="36" t="n"/>
      <c r="AR128" s="36" t="n"/>
      <c r="AS128" s="36" t="n"/>
      <c r="AT128" s="36" t="n"/>
      <c r="AU128" s="36" t="n"/>
      <c r="AV128" s="36" t="n"/>
      <c r="AW128" s="36" t="n"/>
      <c r="AX128" s="36" t="n"/>
      <c r="AY128" s="36" t="n"/>
      <c r="AZ128" s="36" t="n"/>
      <c r="BA128" s="36" t="n"/>
      <c r="BB128" s="36" t="n"/>
      <c r="BC128" s="36" t="n"/>
      <c r="BD128" s="36" t="n"/>
      <c r="BE128" s="36" t="n"/>
      <c r="BF128" s="36" t="n"/>
      <c r="BG128" s="36" t="n"/>
      <c r="BH128" s="36" t="n"/>
      <c r="BI128" s="36" t="n"/>
      <c r="BJ128" s="36" t="n"/>
      <c r="BK128" s="36" t="n"/>
    </row>
    <row r="129" ht="34" customHeight="1">
      <c r="A129" s="37" t="n"/>
      <c r="B129" s="35" t="inlineStr"/>
      <c r="C129" s="26">
        <f>IF(TRIM($B129)="","",IFERROR(INDEX(People!$A$2:$A$199,MATCH(TRIM($B129),People!$B$2:$B$199,0)),IFERROR(INDEX(Teams!$A$2:$A$9,MATCH(TRIM($B129),Teams!$B$2:$B$9,0)),"?? CHECK NAME")))</f>
        <v/>
      </c>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c r="AF129" s="36" t="n"/>
      <c r="AG129" s="36" t="n"/>
      <c r="AH129" s="36" t="n"/>
      <c r="AI129" s="36" t="n"/>
      <c r="AJ129" s="36" t="n"/>
      <c r="AK129" s="36" t="n"/>
      <c r="AL129" s="36" t="n"/>
      <c r="AM129" s="36" t="n"/>
      <c r="AN129" s="36" t="n"/>
      <c r="AO129" s="36" t="n"/>
      <c r="AP129" s="36" t="n"/>
      <c r="AQ129" s="36" t="n"/>
      <c r="AR129" s="36" t="n"/>
      <c r="AS129" s="36" t="n"/>
      <c r="AT129" s="36" t="n"/>
      <c r="AU129" s="36" t="n"/>
      <c r="AV129" s="36" t="n"/>
      <c r="AW129" s="36" t="n"/>
      <c r="AX129" s="36" t="n"/>
      <c r="AY129" s="36" t="n"/>
      <c r="AZ129" s="36" t="n"/>
      <c r="BA129" s="36" t="n"/>
      <c r="BB129" s="36" t="n"/>
      <c r="BC129" s="36" t="n"/>
      <c r="BD129" s="36" t="n"/>
      <c r="BE129" s="36" t="n"/>
      <c r="BF129" s="36" t="n"/>
      <c r="BG129" s="36" t="n"/>
      <c r="BH129" s="36" t="n"/>
      <c r="BI129" s="36" t="n"/>
      <c r="BJ129" s="36" t="n"/>
      <c r="BK129" s="36" t="n"/>
    </row>
    <row r="130" ht="34" customHeight="1">
      <c r="A130" s="37" t="n"/>
      <c r="B130" s="35" t="inlineStr"/>
      <c r="C130" s="26">
        <f>IF(TRIM($B130)="","",IFERROR(INDEX(People!$A$2:$A$199,MATCH(TRIM($B130),People!$B$2:$B$199,0)),IFERROR(INDEX(Teams!$A$2:$A$9,MATCH(TRIM($B130),Teams!$B$2:$B$9,0)),"?? CHECK NAME")))</f>
        <v/>
      </c>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c r="AF130" s="36" t="n"/>
      <c r="AG130" s="36" t="n"/>
      <c r="AH130" s="36" t="n"/>
      <c r="AI130" s="36" t="n"/>
      <c r="AJ130" s="36" t="n"/>
      <c r="AK130" s="36" t="n"/>
      <c r="AL130" s="36" t="n"/>
      <c r="AM130" s="36" t="n"/>
      <c r="AN130" s="36" t="n"/>
      <c r="AO130" s="36" t="n"/>
      <c r="AP130" s="36" t="n"/>
      <c r="AQ130" s="36" t="n"/>
      <c r="AR130" s="36" t="n"/>
      <c r="AS130" s="36" t="n"/>
      <c r="AT130" s="36" t="n"/>
      <c r="AU130" s="36" t="n"/>
      <c r="AV130" s="36" t="n"/>
      <c r="AW130" s="36" t="n"/>
      <c r="AX130" s="36" t="n"/>
      <c r="AY130" s="36" t="n"/>
      <c r="AZ130" s="36" t="n"/>
      <c r="BA130" s="36" t="n"/>
      <c r="BB130" s="36" t="n"/>
      <c r="BC130" s="36" t="n"/>
      <c r="BD130" s="36" t="n"/>
      <c r="BE130" s="36" t="n"/>
      <c r="BF130" s="36" t="n"/>
      <c r="BG130" s="36" t="n"/>
      <c r="BH130" s="36" t="n"/>
      <c r="BI130" s="36" t="n"/>
      <c r="BJ130" s="36" t="n"/>
      <c r="BK130" s="36" t="n"/>
    </row>
    <row r="131" ht="34" customHeight="1">
      <c r="A131" s="38" t="n"/>
      <c r="B131" s="35" t="inlineStr"/>
      <c r="C131" s="26">
        <f>IF(TRIM($B131)="","",IFERROR(INDEX(People!$A$2:$A$199,MATCH(TRIM($B131),People!$B$2:$B$199,0)),IFERROR(INDEX(Teams!$A$2:$A$9,MATCH(TRIM($B131),Teams!$B$2:$B$9,0)),"?? CHECK NAME")))</f>
        <v/>
      </c>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c r="AF131" s="36" t="n"/>
      <c r="AG131" s="36" t="n"/>
      <c r="AH131" s="36" t="n"/>
      <c r="AI131" s="36" t="n"/>
      <c r="AJ131" s="36" t="n"/>
      <c r="AK131" s="36" t="n"/>
      <c r="AL131" s="36" t="n"/>
      <c r="AM131" s="36" t="n"/>
      <c r="AN131" s="36" t="n"/>
      <c r="AO131" s="36" t="n"/>
      <c r="AP131" s="36" t="n"/>
      <c r="AQ131" s="36" t="n"/>
      <c r="AR131" s="36" t="n"/>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row>
  </sheetData>
  <mergeCells count="29">
    <mergeCell ref="A4:A8"/>
    <mergeCell ref="A14:A18"/>
    <mergeCell ref="A97:A101"/>
    <mergeCell ref="A78:BK78"/>
    <mergeCell ref="A69:BK69"/>
    <mergeCell ref="A44:A48"/>
    <mergeCell ref="A122:A126"/>
    <mergeCell ref="A29:A33"/>
    <mergeCell ref="A9:A13"/>
    <mergeCell ref="A81:A85"/>
    <mergeCell ref="A127:A131"/>
    <mergeCell ref="A112:A116"/>
    <mergeCell ref="A19:A23"/>
    <mergeCell ref="A64:A68"/>
    <mergeCell ref="A59:A63"/>
    <mergeCell ref="A102:A106"/>
    <mergeCell ref="A117:A121"/>
    <mergeCell ref="A49:A53"/>
    <mergeCell ref="A3:BK3"/>
    <mergeCell ref="A34:A38"/>
    <mergeCell ref="A86:BK86"/>
    <mergeCell ref="A92:A96"/>
    <mergeCell ref="A39:A43"/>
    <mergeCell ref="A24:A28"/>
    <mergeCell ref="A107:A111"/>
    <mergeCell ref="A54:A58"/>
    <mergeCell ref="A87:A91"/>
    <mergeCell ref="AZ1:BK1"/>
    <mergeCell ref="D1:AY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E13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 width="5.5" customWidth="1" min="64" max="64"/>
    <col width="5.5" customWidth="1" min="65" max="65"/>
    <col width="5.5" customWidth="1" min="66" max="66"/>
    <col width="5.5" customWidth="1" min="67" max="67"/>
    <col width="5.5" customWidth="1" min="68" max="68"/>
    <col width="5.5" customWidth="1" min="69" max="69"/>
    <col width="5.5" customWidth="1" min="70" max="70"/>
    <col width="5.5" customWidth="1" min="71" max="71"/>
    <col width="5.5" customWidth="1" min="72" max="72"/>
    <col width="5.5" customWidth="1" min="73" max="73"/>
    <col width="5.5" customWidth="1" min="74" max="74"/>
    <col width="5.5" customWidth="1" min="75" max="75"/>
    <col width="5.5" customWidth="1" min="76" max="76"/>
    <col width="5.5" customWidth="1" min="77" max="77"/>
    <col width="5.5" customWidth="1" min="78" max="78"/>
    <col width="5.5" customWidth="1" min="79" max="79"/>
    <col width="5.5" customWidth="1" min="80" max="80"/>
    <col width="5.5" customWidth="1" min="81" max="81"/>
    <col width="5.5" customWidth="1" min="82" max="82"/>
    <col width="5.5" customWidth="1" min="83" max="83"/>
  </cols>
  <sheetData>
    <row r="1">
      <c r="A1" s="18" t="inlineStr">
        <is>
          <t>Group</t>
        </is>
      </c>
      <c r="B1" s="18" t="inlineStr">
        <is>
          <t>Name</t>
        </is>
      </c>
      <c r="C1" s="18" t="inlineStr">
        <is>
          <t>ID</t>
        </is>
      </c>
      <c r="D1" s="28">
        <f>Instructions!$C$14</f>
        <v/>
      </c>
      <c r="E1" s="29" t="n"/>
      <c r="F1" s="29" t="n"/>
      <c r="G1" s="29" t="n"/>
      <c r="H1" s="29" t="n"/>
      <c r="I1" s="29" t="n"/>
      <c r="J1" s="29" t="n"/>
      <c r="K1" s="29" t="n"/>
      <c r="L1" s="29" t="n"/>
      <c r="M1" s="29" t="n"/>
      <c r="N1" s="29" t="n"/>
      <c r="O1" s="29" t="n"/>
      <c r="P1" s="29" t="n"/>
      <c r="Q1" s="29" t="n"/>
      <c r="R1" s="29" t="n"/>
      <c r="S1" s="29" t="n"/>
      <c r="T1" s="29" t="n"/>
      <c r="U1" s="29" t="n"/>
      <c r="V1" s="29" t="n"/>
      <c r="W1" s="29" t="n"/>
      <c r="X1" s="29" t="n"/>
      <c r="Y1" s="29" t="n"/>
      <c r="Z1" s="29" t="n"/>
      <c r="AA1" s="29" t="n"/>
      <c r="AB1" s="29" t="n"/>
      <c r="AC1" s="29" t="n"/>
      <c r="AD1" s="29" t="n"/>
      <c r="AE1" s="29" t="n"/>
      <c r="AF1" s="29" t="n"/>
      <c r="AG1" s="29" t="n"/>
      <c r="AH1" s="29" t="n"/>
      <c r="AI1" s="29" t="n"/>
      <c r="AJ1" s="29" t="n"/>
      <c r="AK1" s="29" t="n"/>
      <c r="AL1" s="29" t="n"/>
      <c r="AM1" s="29" t="n"/>
      <c r="AN1" s="29" t="n"/>
      <c r="AO1" s="29" t="n"/>
      <c r="AP1" s="29" t="n"/>
      <c r="AQ1" s="29" t="n"/>
      <c r="AR1" s="29" t="n"/>
      <c r="AS1" s="29" t="n"/>
      <c r="AT1" s="29" t="n"/>
      <c r="AU1" s="29" t="n"/>
      <c r="AV1" s="29" t="n"/>
      <c r="AW1" s="29" t="n"/>
      <c r="AX1" s="29" t="n"/>
      <c r="AY1" s="29" t="n"/>
      <c r="AZ1" s="29" t="n"/>
      <c r="BA1" s="29" t="n"/>
      <c r="BB1" s="29" t="n"/>
      <c r="BC1" s="29" t="n"/>
      <c r="BD1" s="29" t="n"/>
      <c r="BE1" s="29" t="n"/>
      <c r="BF1" s="29" t="n"/>
      <c r="BG1" s="29" t="n"/>
      <c r="BH1" s="29" t="n"/>
      <c r="BI1" s="29" t="n"/>
      <c r="BJ1" s="29" t="n"/>
      <c r="BK1" s="29" t="n"/>
      <c r="BL1" s="29" t="n"/>
      <c r="BM1" s="29" t="n"/>
      <c r="BN1" s="29" t="n"/>
      <c r="BO1" s="29" t="n"/>
      <c r="BP1" s="29" t="n"/>
      <c r="BQ1" s="29" t="n"/>
      <c r="BR1" s="29" t="n"/>
      <c r="BS1" s="29" t="n"/>
      <c r="BT1" s="29" t="n"/>
      <c r="BU1" s="29" t="n"/>
      <c r="BV1" s="29" t="n"/>
      <c r="BW1" s="29" t="n"/>
      <c r="BX1" s="29" t="n"/>
      <c r="BY1" s="29" t="n"/>
      <c r="BZ1" s="29" t="n"/>
      <c r="CA1" s="29" t="n"/>
      <c r="CB1" s="28">
        <f>Instructions!$C$14+1</f>
        <v/>
      </c>
      <c r="CC1" s="29" t="n"/>
      <c r="CD1" s="29" t="n"/>
      <c r="CE1" s="29" t="n"/>
    </row>
    <row r="2" ht="58" customHeight="1">
      <c r="A2" s="30" t="n"/>
      <c r="B2" s="30" t="n"/>
      <c r="C2" s="30" t="n"/>
      <c r="D2" s="31" t="n">
        <v>0.2083333333333333</v>
      </c>
      <c r="E2" s="31" t="n">
        <v>0.21875</v>
      </c>
      <c r="F2" s="31" t="n">
        <v>0.2291666666666667</v>
      </c>
      <c r="G2" s="31" t="n">
        <v>0.2395833333333333</v>
      </c>
      <c r="H2" s="31" t="n">
        <v>0.25</v>
      </c>
      <c r="I2" s="31" t="n">
        <v>0.2604166666666667</v>
      </c>
      <c r="J2" s="31" t="n">
        <v>0.2708333333333333</v>
      </c>
      <c r="K2" s="31" t="n">
        <v>0.28125</v>
      </c>
      <c r="L2" s="31" t="n">
        <v>0.2916666666666667</v>
      </c>
      <c r="M2" s="31" t="n">
        <v>0.3020833333333333</v>
      </c>
      <c r="N2" s="31" t="n">
        <v>0.3125</v>
      </c>
      <c r="O2" s="31" t="n">
        <v>0.3229166666666667</v>
      </c>
      <c r="P2" s="31" t="n">
        <v>0.3333333333333333</v>
      </c>
      <c r="Q2" s="31" t="n">
        <v>0.34375</v>
      </c>
      <c r="R2" s="31" t="n">
        <v>0.3541666666666667</v>
      </c>
      <c r="S2" s="31" t="n">
        <v>0.3645833333333333</v>
      </c>
      <c r="T2" s="31" t="n">
        <v>0.375</v>
      </c>
      <c r="U2" s="31" t="n">
        <v>0.3854166666666667</v>
      </c>
      <c r="V2" s="31" t="n">
        <v>0.3958333333333333</v>
      </c>
      <c r="W2" s="31" t="n">
        <v>0.40625</v>
      </c>
      <c r="X2" s="31" t="n">
        <v>0.4166666666666667</v>
      </c>
      <c r="Y2" s="31" t="n">
        <v>0.4270833333333333</v>
      </c>
      <c r="Z2" s="31" t="n">
        <v>0.4375</v>
      </c>
      <c r="AA2" s="31" t="n">
        <v>0.4479166666666667</v>
      </c>
      <c r="AB2" s="31" t="n">
        <v>0.4583333333333333</v>
      </c>
      <c r="AC2" s="31" t="n">
        <v>0.46875</v>
      </c>
      <c r="AD2" s="31" t="n">
        <v>0.4791666666666667</v>
      </c>
      <c r="AE2" s="31" t="n">
        <v>0.4895833333333333</v>
      </c>
      <c r="AF2" s="31" t="n">
        <v>0.5</v>
      </c>
      <c r="AG2" s="31" t="n">
        <v>0.5104166666666666</v>
      </c>
      <c r="AH2" s="31" t="n">
        <v>0.5208333333333334</v>
      </c>
      <c r="AI2" s="31" t="n">
        <v>0.53125</v>
      </c>
      <c r="AJ2" s="31" t="n">
        <v>0.5416666666666666</v>
      </c>
      <c r="AK2" s="31" t="n">
        <v>0.5520833333333334</v>
      </c>
      <c r="AL2" s="31" t="n">
        <v>0.5625</v>
      </c>
      <c r="AM2" s="31" t="n">
        <v>0.5729166666666666</v>
      </c>
      <c r="AN2" s="31" t="n">
        <v>0.5833333333333334</v>
      </c>
      <c r="AO2" s="31" t="n">
        <v>0.59375</v>
      </c>
      <c r="AP2" s="31" t="n">
        <v>0.6041666666666666</v>
      </c>
      <c r="AQ2" s="31" t="n">
        <v>0.6145833333333334</v>
      </c>
      <c r="AR2" s="31" t="n">
        <v>0.625</v>
      </c>
      <c r="AS2" s="31" t="n">
        <v>0.6354166666666666</v>
      </c>
      <c r="AT2" s="31" t="n">
        <v>0.6458333333333334</v>
      </c>
      <c r="AU2" s="31" t="n">
        <v>0.65625</v>
      </c>
      <c r="AV2" s="31" t="n">
        <v>0.6666666666666666</v>
      </c>
      <c r="AW2" s="31" t="n">
        <v>0.6770833333333334</v>
      </c>
      <c r="AX2" s="31" t="n">
        <v>0.6875</v>
      </c>
      <c r="AY2" s="31" t="n">
        <v>0.6979166666666666</v>
      </c>
      <c r="AZ2" s="31" t="n">
        <v>0.7083333333333334</v>
      </c>
      <c r="BA2" s="31" t="n">
        <v>0.71875</v>
      </c>
      <c r="BB2" s="31" t="n">
        <v>0.7291666666666666</v>
      </c>
      <c r="BC2" s="31" t="n">
        <v>0.7395833333333334</v>
      </c>
      <c r="BD2" s="31" t="n">
        <v>0.75</v>
      </c>
      <c r="BE2" s="31" t="n">
        <v>0.7604166666666666</v>
      </c>
      <c r="BF2" s="31" t="n">
        <v>0.7708333333333334</v>
      </c>
      <c r="BG2" s="31" t="n">
        <v>0.78125</v>
      </c>
      <c r="BH2" s="31" t="n">
        <v>0.7916666666666666</v>
      </c>
      <c r="BI2" s="31" t="n">
        <v>0.8020833333333334</v>
      </c>
      <c r="BJ2" s="31" t="n">
        <v>0.8125</v>
      </c>
      <c r="BK2" s="31" t="n">
        <v>0.8229166666666666</v>
      </c>
      <c r="BL2" s="31" t="n">
        <v>0.8333333333333334</v>
      </c>
      <c r="BM2" s="31" t="n">
        <v>0.84375</v>
      </c>
      <c r="BN2" s="31" t="n">
        <v>0.8541666666666666</v>
      </c>
      <c r="BO2" s="31" t="n">
        <v>0.8645833333333334</v>
      </c>
      <c r="BP2" s="31" t="n">
        <v>0.875</v>
      </c>
      <c r="BQ2" s="31" t="n">
        <v>0.8854166666666666</v>
      </c>
      <c r="BR2" s="31" t="n">
        <v>0.8958333333333334</v>
      </c>
      <c r="BS2" s="31" t="n">
        <v>0.90625</v>
      </c>
      <c r="BT2" s="31" t="n">
        <v>0.9166666666666666</v>
      </c>
      <c r="BU2" s="31" t="n">
        <v>0.9270833333333334</v>
      </c>
      <c r="BV2" s="31" t="n">
        <v>0.9375</v>
      </c>
      <c r="BW2" s="31" t="n">
        <v>0.9479166666666666</v>
      </c>
      <c r="BX2" s="31" t="n">
        <v>0.9583333333333334</v>
      </c>
      <c r="BY2" s="31" t="n">
        <v>0.96875</v>
      </c>
      <c r="BZ2" s="31" t="n">
        <v>0.9791666666666666</v>
      </c>
      <c r="CA2" s="31" t="n">
        <v>0.9895833333333334</v>
      </c>
      <c r="CB2" s="31" t="n">
        <v>0</v>
      </c>
      <c r="CC2" s="31" t="n">
        <v>0.01041666666666667</v>
      </c>
      <c r="CD2" s="31" t="n">
        <v>0.02083333333333333</v>
      </c>
      <c r="CE2" s="31" t="n">
        <v>0.03125</v>
      </c>
    </row>
    <row r="3" ht="18" customHeight="1">
      <c r="A3" s="32" t="inlineStr">
        <is>
          <t>BOARD MEMBERS</t>
        </is>
      </c>
      <c r="B3" s="33" t="n"/>
      <c r="C3" s="33" t="n"/>
      <c r="D3" s="33" t="n"/>
      <c r="E3" s="33" t="n"/>
      <c r="F3" s="33" t="n"/>
      <c r="G3" s="33" t="n"/>
      <c r="H3" s="33" t="n"/>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3" t="n"/>
      <c r="AV3" s="33" t="n"/>
      <c r="AW3" s="33" t="n"/>
      <c r="AX3" s="33" t="n"/>
      <c r="AY3" s="33" t="n"/>
      <c r="AZ3" s="33" t="n"/>
      <c r="BA3" s="33" t="n"/>
      <c r="BB3" s="33" t="n"/>
      <c r="BC3" s="33" t="n"/>
      <c r="BD3" s="33" t="n"/>
      <c r="BE3" s="33" t="n"/>
      <c r="BF3" s="33" t="n"/>
      <c r="BG3" s="33" t="n"/>
      <c r="BH3" s="33" t="n"/>
      <c r="BI3" s="33" t="n"/>
      <c r="BJ3" s="33" t="n"/>
      <c r="BK3" s="33" t="n"/>
      <c r="BL3" s="33" t="n"/>
      <c r="BM3" s="33" t="n"/>
      <c r="BN3" s="33" t="n"/>
      <c r="BO3" s="33" t="n"/>
      <c r="BP3" s="33" t="n"/>
      <c r="BQ3" s="33" t="n"/>
      <c r="BR3" s="33" t="n"/>
      <c r="BS3" s="33" t="n"/>
      <c r="BT3" s="33" t="n"/>
      <c r="BU3" s="33" t="n"/>
      <c r="BV3" s="33" t="n"/>
      <c r="BW3" s="33" t="n"/>
      <c r="BX3" s="33" t="n"/>
      <c r="BY3" s="33" t="n"/>
      <c r="BZ3" s="33" t="n"/>
      <c r="CA3" s="33" t="n"/>
      <c r="CB3" s="33" t="n"/>
      <c r="CC3" s="33" t="n"/>
      <c r="CD3" s="33" t="n"/>
      <c r="CE3" s="34" t="n"/>
    </row>
    <row r="4" ht="44" customHeight="1">
      <c r="A4" s="16" t="inlineStr">
        <is>
          <t>Directors</t>
        </is>
      </c>
      <c r="B4" s="43" t="inlineStr">
        <is>
          <t>Example Director</t>
        </is>
      </c>
      <c r="C4" s="26">
        <f>IF(TRIM($B4)="","",IFERROR(INDEX(People!$A$2:$A$199,MATCH(TRIM($B4),People!$B$2:$B$199,0)),IFERROR(INDEX(Teams!$A$2:$A$9,MATCH(TRIM($B4),Teams!$B$2:$B$9,0)),"?? CHECK NAME")))</f>
        <v/>
      </c>
      <c r="D4" s="36" t="n"/>
      <c r="E4" s="36" t="n"/>
      <c r="F4" s="36" t="n"/>
      <c r="G4" s="36" t="n"/>
      <c r="H4" s="44" t="inlineStr">
        <is>
          <t>6:00 AM - 5:00 PM
HOTEL (REG ROOM)
Check in teams, help Head Liaisons with room setup</t>
        </is>
      </c>
      <c r="I4" s="45" t="n"/>
      <c r="J4" s="45" t="n"/>
      <c r="K4" s="45" t="n"/>
      <c r="L4" s="45" t="n"/>
      <c r="M4" s="45" t="n"/>
      <c r="N4" s="45" t="n"/>
      <c r="O4" s="45" t="n"/>
      <c r="P4" s="45" t="n"/>
      <c r="Q4" s="45" t="n"/>
      <c r="R4" s="45" t="n"/>
      <c r="S4" s="45" t="n"/>
      <c r="T4" s="45" t="n"/>
      <c r="U4" s="45" t="n"/>
      <c r="V4" s="45" t="n"/>
      <c r="W4" s="45" t="n"/>
      <c r="X4" s="45" t="n"/>
      <c r="Y4" s="45" t="n"/>
      <c r="Z4" s="45" t="n"/>
      <c r="AA4" s="45" t="n"/>
      <c r="AB4" s="45" t="n"/>
      <c r="AC4" s="45" t="n"/>
      <c r="AD4" s="45" t="n"/>
      <c r="AE4" s="45" t="n"/>
      <c r="AF4" s="45" t="n"/>
      <c r="AG4" s="45" t="n"/>
      <c r="AH4" s="45" t="n"/>
      <c r="AI4" s="45" t="n"/>
      <c r="AJ4" s="45" t="n"/>
      <c r="AK4" s="45" t="n"/>
      <c r="AL4" s="45" t="n"/>
      <c r="AM4" s="45" t="n"/>
      <c r="AN4" s="45" t="n"/>
      <c r="AO4" s="45" t="n"/>
      <c r="AP4" s="45" t="n"/>
      <c r="AQ4" s="45" t="n"/>
      <c r="AR4" s="45" t="n"/>
      <c r="AS4" s="45" t="n"/>
      <c r="AT4" s="45" t="n"/>
      <c r="AU4" s="45" t="n"/>
      <c r="AV4" s="45" t="n"/>
      <c r="AW4" s="45" t="n"/>
      <c r="AX4" s="45" t="n"/>
      <c r="AY4" s="46" t="n"/>
      <c r="AZ4" s="36" t="n"/>
      <c r="BA4" s="36" t="n"/>
      <c r="BB4" s="36" t="n"/>
      <c r="BC4" s="36" t="n"/>
      <c r="BD4" s="36" t="n"/>
      <c r="BE4" s="36" t="n"/>
      <c r="BF4" s="36" t="n"/>
      <c r="BG4" s="36" t="n"/>
      <c r="BH4" s="36" t="n"/>
      <c r="BI4" s="36" t="n"/>
      <c r="BJ4" s="36" t="n"/>
      <c r="BK4" s="36" t="n"/>
      <c r="BL4" s="36" t="n"/>
      <c r="BM4" s="36" t="n"/>
      <c r="BN4" s="36" t="n"/>
      <c r="BO4" s="36" t="n"/>
      <c r="BP4" s="36" t="n"/>
      <c r="BQ4" s="36" t="n"/>
      <c r="BR4" s="36" t="n"/>
      <c r="BS4" s="36" t="n"/>
      <c r="BT4" s="36" t="n"/>
      <c r="BU4" s="36" t="n"/>
      <c r="BV4" s="36" t="n"/>
      <c r="BW4" s="36" t="n"/>
      <c r="BX4" s="36" t="n"/>
      <c r="BY4" s="36" t="n"/>
      <c r="BZ4" s="36" t="n"/>
      <c r="CA4" s="36" t="n"/>
      <c r="CB4" s="36" t="n"/>
      <c r="CC4" s="36" t="n"/>
      <c r="CD4" s="36" t="n"/>
      <c r="CE4" s="36" t="n"/>
    </row>
    <row r="5" ht="34" customHeight="1">
      <c r="A5" s="37" t="n"/>
      <c r="B5" s="35" t="inlineStr"/>
      <c r="C5" s="26">
        <f>IF(TRIM($B5)="","",IFERROR(INDEX(People!$A$2:$A$199,MATCH(TRIM($B5),People!$B$2:$B$199,0)),IFERROR(INDEX(Teams!$A$2:$A$9,MATCH(TRIM($B5),Teams!$B$2:$B$9,0)),"?? CHECK NAME")))</f>
        <v/>
      </c>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c r="AA5" s="36" t="n"/>
      <c r="AB5" s="36" t="n"/>
      <c r="AC5" s="36" t="n"/>
      <c r="AD5" s="36" t="n"/>
      <c r="AE5" s="36" t="n"/>
      <c r="AF5" s="36" t="n"/>
      <c r="AG5" s="36" t="n"/>
      <c r="AH5" s="36" t="n"/>
      <c r="AI5" s="36" t="n"/>
      <c r="AJ5" s="36" t="n"/>
      <c r="AK5" s="36" t="n"/>
      <c r="AL5" s="36" t="n"/>
      <c r="AM5" s="36" t="n"/>
      <c r="AN5" s="36" t="n"/>
      <c r="AO5" s="36" t="n"/>
      <c r="AP5" s="36" t="n"/>
      <c r="AQ5" s="36" t="n"/>
      <c r="AR5" s="36" t="n"/>
      <c r="AS5" s="36" t="n"/>
      <c r="AT5" s="36" t="n"/>
      <c r="AU5" s="36" t="n"/>
      <c r="AV5" s="36" t="n"/>
      <c r="AW5" s="36" t="n"/>
      <c r="AX5" s="36" t="n"/>
      <c r="AY5" s="36" t="n"/>
      <c r="AZ5" s="36" t="n"/>
      <c r="BA5" s="36" t="n"/>
      <c r="BB5" s="36" t="n"/>
      <c r="BC5" s="36" t="n"/>
      <c r="BD5" s="36" t="n"/>
      <c r="BE5" s="36" t="n"/>
      <c r="BF5" s="36" t="n"/>
      <c r="BG5" s="36" t="n"/>
      <c r="BH5" s="36" t="n"/>
      <c r="BI5" s="36" t="n"/>
      <c r="BJ5" s="36" t="n"/>
      <c r="BK5" s="36" t="n"/>
      <c r="BL5" s="36" t="n"/>
      <c r="BM5" s="36" t="n"/>
      <c r="BN5" s="36" t="n"/>
      <c r="BO5" s="36" t="n"/>
      <c r="BP5" s="36" t="n"/>
      <c r="BQ5" s="36" t="n"/>
      <c r="BR5" s="36" t="n"/>
      <c r="BS5" s="36" t="n"/>
      <c r="BT5" s="36" t="n"/>
      <c r="BU5" s="36" t="n"/>
      <c r="BV5" s="36" t="n"/>
      <c r="BW5" s="36" t="n"/>
      <c r="BX5" s="36" t="n"/>
      <c r="BY5" s="36" t="n"/>
      <c r="BZ5" s="36" t="n"/>
      <c r="CA5" s="36" t="n"/>
      <c r="CB5" s="36" t="n"/>
      <c r="CC5" s="36" t="n"/>
      <c r="CD5" s="36" t="n"/>
      <c r="CE5" s="36" t="n"/>
    </row>
    <row r="6" ht="34" customHeight="1">
      <c r="A6" s="37" t="n"/>
      <c r="B6" s="35" t="inlineStr"/>
      <c r="C6" s="26">
        <f>IF(TRIM($B6)="","",IFERROR(INDEX(People!$A$2:$A$199,MATCH(TRIM($B6),People!$B$2:$B$199,0)),IFERROR(INDEX(Teams!$A$2:$A$9,MATCH(TRIM($B6),Teams!$B$2:$B$9,0)),"?? CHECK NAME")))</f>
        <v/>
      </c>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6" t="n"/>
      <c r="AO6" s="36" t="n"/>
      <c r="AP6" s="36" t="n"/>
      <c r="AQ6" s="36" t="n"/>
      <c r="AR6" s="36" t="n"/>
      <c r="AS6" s="36" t="n"/>
      <c r="AT6" s="36" t="n"/>
      <c r="AU6" s="36" t="n"/>
      <c r="AV6" s="36" t="n"/>
      <c r="AW6" s="36" t="n"/>
      <c r="AX6" s="36" t="n"/>
      <c r="AY6" s="36" t="n"/>
      <c r="AZ6" s="36" t="n"/>
      <c r="BA6" s="36" t="n"/>
      <c r="BB6" s="36" t="n"/>
      <c r="BC6" s="36" t="n"/>
      <c r="BD6" s="36" t="n"/>
      <c r="BE6" s="36" t="n"/>
      <c r="BF6" s="36" t="n"/>
      <c r="BG6" s="36" t="n"/>
      <c r="BH6" s="36" t="n"/>
      <c r="BI6" s="36" t="n"/>
      <c r="BJ6" s="36" t="n"/>
      <c r="BK6" s="36" t="n"/>
      <c r="BL6" s="36" t="n"/>
      <c r="BM6" s="36" t="n"/>
      <c r="BN6" s="36" t="n"/>
      <c r="BO6" s="36" t="n"/>
      <c r="BP6" s="36" t="n"/>
      <c r="BQ6" s="36" t="n"/>
      <c r="BR6" s="36" t="n"/>
      <c r="BS6" s="36" t="n"/>
      <c r="BT6" s="36" t="n"/>
      <c r="BU6" s="36" t="n"/>
      <c r="BV6" s="36" t="n"/>
      <c r="BW6" s="36" t="n"/>
      <c r="BX6" s="36" t="n"/>
      <c r="BY6" s="36" t="n"/>
      <c r="BZ6" s="36" t="n"/>
      <c r="CA6" s="36" t="n"/>
      <c r="CB6" s="36" t="n"/>
      <c r="CC6" s="36" t="n"/>
      <c r="CD6" s="36" t="n"/>
      <c r="CE6" s="36" t="n"/>
    </row>
    <row r="7" ht="34" customHeight="1">
      <c r="A7" s="37" t="n"/>
      <c r="B7" s="35" t="inlineStr"/>
      <c r="C7" s="26">
        <f>IF(TRIM($B7)="","",IFERROR(INDEX(People!$A$2:$A$199,MATCH(TRIM($B7),People!$B$2:$B$199,0)),IFERROR(INDEX(Teams!$A$2:$A$9,MATCH(TRIM($B7),Teams!$B$2:$B$9,0)),"?? CHECK NAME")))</f>
        <v/>
      </c>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6" t="n"/>
      <c r="AM7" s="36" t="n"/>
      <c r="AN7" s="36" t="n"/>
      <c r="AO7" s="36" t="n"/>
      <c r="AP7" s="36" t="n"/>
      <c r="AQ7" s="36" t="n"/>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row>
    <row r="8" ht="34" customHeight="1">
      <c r="A8" s="38" t="n"/>
      <c r="B8" s="35" t="inlineStr"/>
      <c r="C8" s="26">
        <f>IF(TRIM($B8)="","",IFERROR(INDEX(People!$A$2:$A$199,MATCH(TRIM($B8),People!$B$2:$B$199,0)),IFERROR(INDEX(Teams!$A$2:$A$9,MATCH(TRIM($B8),Teams!$B$2:$B$9,0)),"?? CHECK NAME")))</f>
        <v/>
      </c>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c r="AA8" s="36" t="n"/>
      <c r="AB8" s="36" t="n"/>
      <c r="AC8" s="36" t="n"/>
      <c r="AD8" s="36" t="n"/>
      <c r="AE8" s="36" t="n"/>
      <c r="AF8" s="36" t="n"/>
      <c r="AG8" s="36" t="n"/>
      <c r="AH8" s="36" t="n"/>
      <c r="AI8" s="36" t="n"/>
      <c r="AJ8" s="36" t="n"/>
      <c r="AK8" s="36" t="n"/>
      <c r="AL8" s="36" t="n"/>
      <c r="AM8" s="36" t="n"/>
      <c r="AN8" s="36" t="n"/>
      <c r="AO8" s="36" t="n"/>
      <c r="AP8" s="36" t="n"/>
      <c r="AQ8" s="36" t="n"/>
      <c r="AR8" s="36" t="n"/>
      <c r="AS8" s="36" t="n"/>
      <c r="AT8" s="36" t="n"/>
      <c r="AU8" s="36" t="n"/>
      <c r="AV8" s="36" t="n"/>
      <c r="AW8" s="36" t="n"/>
      <c r="AX8" s="36" t="n"/>
      <c r="AY8" s="36" t="n"/>
      <c r="AZ8" s="36" t="n"/>
      <c r="BA8" s="36" t="n"/>
      <c r="BB8" s="36" t="n"/>
      <c r="BC8" s="36" t="n"/>
      <c r="BD8" s="36" t="n"/>
      <c r="BE8" s="36" t="n"/>
      <c r="BF8" s="36" t="n"/>
      <c r="BG8" s="36" t="n"/>
      <c r="BH8" s="36" t="n"/>
      <c r="BI8" s="36" t="n"/>
      <c r="BJ8" s="36" t="n"/>
      <c r="BK8" s="36" t="n"/>
      <c r="BL8" s="36" t="n"/>
      <c r="BM8" s="36" t="n"/>
      <c r="BN8" s="36" t="n"/>
      <c r="BO8" s="36" t="n"/>
      <c r="BP8" s="36" t="n"/>
      <c r="BQ8" s="36" t="n"/>
      <c r="BR8" s="36" t="n"/>
      <c r="BS8" s="36" t="n"/>
      <c r="BT8" s="36" t="n"/>
      <c r="BU8" s="36" t="n"/>
      <c r="BV8" s="36" t="n"/>
      <c r="BW8" s="36" t="n"/>
      <c r="BX8" s="36" t="n"/>
      <c r="BY8" s="36" t="n"/>
      <c r="BZ8" s="36" t="n"/>
      <c r="CA8" s="36" t="n"/>
      <c r="CB8" s="36" t="n"/>
      <c r="CC8" s="36" t="n"/>
      <c r="CD8" s="36" t="n"/>
      <c r="CE8" s="36" t="n"/>
    </row>
    <row r="9" ht="34" customHeight="1">
      <c r="A9" s="16" t="inlineStr">
        <is>
          <t>Senior Advisors</t>
        </is>
      </c>
      <c r="B9" s="35" t="inlineStr"/>
      <c r="C9" s="26">
        <f>IF(TRIM($B9)="","",IFERROR(INDEX(People!$A$2:$A$199,MATCH(TRIM($B9),People!$B$2:$B$199,0)),IFERROR(INDEX(Teams!$A$2:$A$9,MATCH(TRIM($B9),Teams!$B$2:$B$9,0)),"?? CHECK NAME")))</f>
        <v/>
      </c>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36" t="n"/>
      <c r="AB9" s="36" t="n"/>
      <c r="AC9" s="36" t="n"/>
      <c r="AD9" s="36" t="n"/>
      <c r="AE9" s="36" t="n"/>
      <c r="AF9" s="36" t="n"/>
      <c r="AG9" s="36" t="n"/>
      <c r="AH9" s="36" t="n"/>
      <c r="AI9" s="36" t="n"/>
      <c r="AJ9" s="36" t="n"/>
      <c r="AK9" s="36" t="n"/>
      <c r="AL9" s="36" t="n"/>
      <c r="AM9" s="36" t="n"/>
      <c r="AN9" s="36" t="n"/>
      <c r="AO9" s="36" t="n"/>
      <c r="AP9" s="36" t="n"/>
      <c r="AQ9" s="36" t="n"/>
      <c r="AR9" s="36" t="n"/>
      <c r="AS9" s="36" t="n"/>
      <c r="AT9" s="36" t="n"/>
      <c r="AU9" s="36" t="n"/>
      <c r="AV9" s="36" t="n"/>
      <c r="AW9" s="36" t="n"/>
      <c r="AX9" s="36" t="n"/>
      <c r="AY9" s="36" t="n"/>
      <c r="AZ9" s="36" t="n"/>
      <c r="BA9" s="36" t="n"/>
      <c r="BB9" s="36" t="n"/>
      <c r="BC9" s="36" t="n"/>
      <c r="BD9" s="36" t="n"/>
      <c r="BE9" s="36" t="n"/>
      <c r="BF9" s="36" t="n"/>
      <c r="BG9" s="36" t="n"/>
      <c r="BH9" s="36" t="n"/>
      <c r="BI9" s="36" t="n"/>
      <c r="BJ9" s="36" t="n"/>
      <c r="BK9" s="36" t="n"/>
      <c r="BL9" s="36" t="n"/>
      <c r="BM9" s="36" t="n"/>
      <c r="BN9" s="36" t="n"/>
      <c r="BO9" s="36" t="n"/>
      <c r="BP9" s="36" t="n"/>
      <c r="BQ9" s="36" t="n"/>
      <c r="BR9" s="36" t="n"/>
      <c r="BS9" s="36" t="n"/>
      <c r="BT9" s="36" t="n"/>
      <c r="BU9" s="36" t="n"/>
      <c r="BV9" s="36" t="n"/>
      <c r="BW9" s="36" t="n"/>
      <c r="BX9" s="36" t="n"/>
      <c r="BY9" s="36" t="n"/>
      <c r="BZ9" s="36" t="n"/>
      <c r="CA9" s="36" t="n"/>
      <c r="CB9" s="36" t="n"/>
      <c r="CC9" s="36" t="n"/>
      <c r="CD9" s="36" t="n"/>
      <c r="CE9" s="36" t="n"/>
    </row>
    <row r="10" ht="34" customHeight="1">
      <c r="A10" s="37" t="n"/>
      <c r="B10" s="35" t="inlineStr"/>
      <c r="C10" s="26">
        <f>IF(TRIM($B10)="","",IFERROR(INDEX(People!$A$2:$A$199,MATCH(TRIM($B10),People!$B$2:$B$199,0)),IFERROR(INDEX(Teams!$A$2:$A$9,MATCH(TRIM($B10),Teams!$B$2:$B$9,0)),"?? CHECK NAME")))</f>
        <v/>
      </c>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6" t="n"/>
      <c r="BI10" s="36" t="n"/>
      <c r="BJ10" s="36" t="n"/>
      <c r="BK10" s="36" t="n"/>
      <c r="BL10" s="36" t="n"/>
      <c r="BM10" s="36" t="n"/>
      <c r="BN10" s="36" t="n"/>
      <c r="BO10" s="36" t="n"/>
      <c r="BP10" s="36" t="n"/>
      <c r="BQ10" s="36" t="n"/>
      <c r="BR10" s="36" t="n"/>
      <c r="BS10" s="36" t="n"/>
      <c r="BT10" s="36" t="n"/>
      <c r="BU10" s="36" t="n"/>
      <c r="BV10" s="36" t="n"/>
      <c r="BW10" s="36" t="n"/>
      <c r="BX10" s="36" t="n"/>
      <c r="BY10" s="36" t="n"/>
      <c r="BZ10" s="36" t="n"/>
      <c r="CA10" s="36" t="n"/>
      <c r="CB10" s="36" t="n"/>
      <c r="CC10" s="36" t="n"/>
      <c r="CD10" s="36" t="n"/>
      <c r="CE10" s="36" t="n"/>
    </row>
    <row r="11" ht="34" customHeight="1">
      <c r="A11" s="37" t="n"/>
      <c r="B11" s="35" t="inlineStr"/>
      <c r="C11" s="26">
        <f>IF(TRIM($B11)="","",IFERROR(INDEX(People!$A$2:$A$199,MATCH(TRIM($B11),People!$B$2:$B$199,0)),IFERROR(INDEX(Teams!$A$2:$A$9,MATCH(TRIM($B11),Teams!$B$2:$B$9,0)),"?? CHECK NAME")))</f>
        <v/>
      </c>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c r="AE11" s="36" t="n"/>
      <c r="AF11" s="36" t="n"/>
      <c r="AG11" s="36" t="n"/>
      <c r="AH11" s="36" t="n"/>
      <c r="AI11" s="36" t="n"/>
      <c r="AJ11" s="36" t="n"/>
      <c r="AK11" s="36" t="n"/>
      <c r="AL11" s="36" t="n"/>
      <c r="AM11" s="36" t="n"/>
      <c r="AN11" s="36" t="n"/>
      <c r="AO11" s="36" t="n"/>
      <c r="AP11" s="36" t="n"/>
      <c r="AQ11" s="36" t="n"/>
      <c r="AR11" s="36" t="n"/>
      <c r="AS11" s="36" t="n"/>
      <c r="AT11" s="36" t="n"/>
      <c r="AU11" s="36" t="n"/>
      <c r="AV11" s="36" t="n"/>
      <c r="AW11" s="36" t="n"/>
      <c r="AX11" s="36" t="n"/>
      <c r="AY11" s="36" t="n"/>
      <c r="AZ11" s="36" t="n"/>
      <c r="BA11" s="36" t="n"/>
      <c r="BB11" s="36" t="n"/>
      <c r="BC11" s="36" t="n"/>
      <c r="BD11" s="36" t="n"/>
      <c r="BE11" s="36" t="n"/>
      <c r="BF11" s="36" t="n"/>
      <c r="BG11" s="36" t="n"/>
      <c r="BH11" s="36" t="n"/>
      <c r="BI11" s="36" t="n"/>
      <c r="BJ11" s="36" t="n"/>
      <c r="BK11" s="36" t="n"/>
      <c r="BL11" s="36" t="n"/>
      <c r="BM11" s="36" t="n"/>
      <c r="BN11" s="36" t="n"/>
      <c r="BO11" s="36" t="n"/>
      <c r="BP11" s="36" t="n"/>
      <c r="BQ11" s="36" t="n"/>
      <c r="BR11" s="36" t="n"/>
      <c r="BS11" s="36" t="n"/>
      <c r="BT11" s="36" t="n"/>
      <c r="BU11" s="36" t="n"/>
      <c r="BV11" s="36" t="n"/>
      <c r="BW11" s="36" t="n"/>
      <c r="BX11" s="36" t="n"/>
      <c r="BY11" s="36" t="n"/>
      <c r="BZ11" s="36" t="n"/>
      <c r="CA11" s="36" t="n"/>
      <c r="CB11" s="36" t="n"/>
      <c r="CC11" s="36" t="n"/>
      <c r="CD11" s="36" t="n"/>
      <c r="CE11" s="36" t="n"/>
    </row>
    <row r="12" ht="34" customHeight="1">
      <c r="A12" s="37" t="n"/>
      <c r="B12" s="35" t="inlineStr"/>
      <c r="C12" s="26">
        <f>IF(TRIM($B12)="","",IFERROR(INDEX(People!$A$2:$A$199,MATCH(TRIM($B12),People!$B$2:$B$199,0)),IFERROR(INDEX(Teams!$A$2:$A$9,MATCH(TRIM($B12),Teams!$B$2:$B$9,0)),"?? CHECK NAME")))</f>
        <v/>
      </c>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c r="AO12" s="36" t="n"/>
      <c r="AP12" s="36" t="n"/>
      <c r="AQ12" s="36" t="n"/>
      <c r="AR12" s="36" t="n"/>
      <c r="AS12" s="36" t="n"/>
      <c r="AT12" s="36" t="n"/>
      <c r="AU12" s="36" t="n"/>
      <c r="AV12" s="36" t="n"/>
      <c r="AW12" s="36" t="n"/>
      <c r="AX12" s="36" t="n"/>
      <c r="AY12" s="36" t="n"/>
      <c r="AZ12" s="36" t="n"/>
      <c r="BA12" s="36" t="n"/>
      <c r="BB12" s="36" t="n"/>
      <c r="BC12" s="36" t="n"/>
      <c r="BD12" s="36" t="n"/>
      <c r="BE12" s="36" t="n"/>
      <c r="BF12" s="36" t="n"/>
      <c r="BG12" s="36" t="n"/>
      <c r="BH12" s="36" t="n"/>
      <c r="BI12" s="36" t="n"/>
      <c r="BJ12" s="36" t="n"/>
      <c r="BK12" s="36" t="n"/>
      <c r="BL12" s="36" t="n"/>
      <c r="BM12" s="36" t="n"/>
      <c r="BN12" s="36" t="n"/>
      <c r="BO12" s="36" t="n"/>
      <c r="BP12" s="36" t="n"/>
      <c r="BQ12" s="36" t="n"/>
      <c r="BR12" s="36" t="n"/>
      <c r="BS12" s="36" t="n"/>
      <c r="BT12" s="36" t="n"/>
      <c r="BU12" s="36" t="n"/>
      <c r="BV12" s="36" t="n"/>
      <c r="BW12" s="36" t="n"/>
      <c r="BX12" s="36" t="n"/>
      <c r="BY12" s="36" t="n"/>
      <c r="BZ12" s="36" t="n"/>
      <c r="CA12" s="36" t="n"/>
      <c r="CB12" s="36" t="n"/>
      <c r="CC12" s="36" t="n"/>
      <c r="CD12" s="36" t="n"/>
      <c r="CE12" s="36" t="n"/>
    </row>
    <row r="13" ht="34" customHeight="1">
      <c r="A13" s="38" t="n"/>
      <c r="B13" s="35" t="inlineStr"/>
      <c r="C13" s="26">
        <f>IF(TRIM($B13)="","",IFERROR(INDEX(People!$A$2:$A$199,MATCH(TRIM($B13),People!$B$2:$B$199,0)),IFERROR(INDEX(Teams!$A$2:$A$9,MATCH(TRIM($B13),Teams!$B$2:$B$9,0)),"?? CHECK NAME")))</f>
        <v/>
      </c>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c r="BP13" s="36" t="n"/>
      <c r="BQ13" s="36" t="n"/>
      <c r="BR13" s="36" t="n"/>
      <c r="BS13" s="36" t="n"/>
      <c r="BT13" s="36" t="n"/>
      <c r="BU13" s="36" t="n"/>
      <c r="BV13" s="36" t="n"/>
      <c r="BW13" s="36" t="n"/>
      <c r="BX13" s="36" t="n"/>
      <c r="BY13" s="36" t="n"/>
      <c r="BZ13" s="36" t="n"/>
      <c r="CA13" s="36" t="n"/>
      <c r="CB13" s="36" t="n"/>
      <c r="CC13" s="36" t="n"/>
      <c r="CD13" s="36" t="n"/>
      <c r="CE13" s="36" t="n"/>
    </row>
    <row r="14" ht="34" customHeight="1">
      <c r="A14" s="16" t="inlineStr">
        <is>
          <t>Logistics</t>
        </is>
      </c>
      <c r="B14" s="35" t="inlineStr"/>
      <c r="C14" s="26">
        <f>IF(TRIM($B14)="","",IFERROR(INDEX(People!$A$2:$A$199,MATCH(TRIM($B14),People!$B$2:$B$199,0)),IFERROR(INDEX(Teams!$A$2:$A$9,MATCH(TRIM($B14),Teams!$B$2:$B$9,0)),"?? CHECK NAME")))</f>
        <v/>
      </c>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c r="AC14" s="36" t="n"/>
      <c r="AD14" s="36" t="n"/>
      <c r="AE14" s="36" t="n"/>
      <c r="AF14" s="36" t="n"/>
      <c r="AG14" s="36" t="n"/>
      <c r="AH14" s="36" t="n"/>
      <c r="AI14" s="36" t="n"/>
      <c r="AJ14" s="36" t="n"/>
      <c r="AK14" s="36" t="n"/>
      <c r="AL14" s="36" t="n"/>
      <c r="AM14" s="36" t="n"/>
      <c r="AN14" s="36" t="n"/>
      <c r="AO14" s="36" t="n"/>
      <c r="AP14" s="36" t="n"/>
      <c r="AQ14" s="36" t="n"/>
      <c r="AR14" s="36" t="n"/>
      <c r="AS14" s="36" t="n"/>
      <c r="AT14" s="36" t="n"/>
      <c r="AU14" s="36" t="n"/>
      <c r="AV14" s="36" t="n"/>
      <c r="AW14" s="36" t="n"/>
      <c r="AX14" s="36" t="n"/>
      <c r="AY14" s="36" t="n"/>
      <c r="AZ14" s="36" t="n"/>
      <c r="BA14" s="36" t="n"/>
      <c r="BB14" s="36" t="n"/>
      <c r="BC14" s="36" t="n"/>
      <c r="BD14" s="36" t="n"/>
      <c r="BE14" s="36" t="n"/>
      <c r="BF14" s="36" t="n"/>
      <c r="BG14" s="36" t="n"/>
      <c r="BH14" s="36" t="n"/>
      <c r="BI14" s="36" t="n"/>
      <c r="BJ14" s="36" t="n"/>
      <c r="BK14" s="36" t="n"/>
      <c r="BL14" s="36" t="n"/>
      <c r="BM14" s="36" t="n"/>
      <c r="BN14" s="36" t="n"/>
      <c r="BO14" s="36" t="n"/>
      <c r="BP14" s="36" t="n"/>
      <c r="BQ14" s="36" t="n"/>
      <c r="BR14" s="36" t="n"/>
      <c r="BS14" s="36" t="n"/>
      <c r="BT14" s="36" t="n"/>
      <c r="BU14" s="36" t="n"/>
      <c r="BV14" s="36" t="n"/>
      <c r="BW14" s="36" t="n"/>
      <c r="BX14" s="36" t="n"/>
      <c r="BY14" s="36" t="n"/>
      <c r="BZ14" s="36" t="n"/>
      <c r="CA14" s="36" t="n"/>
      <c r="CB14" s="36" t="n"/>
      <c r="CC14" s="36" t="n"/>
      <c r="CD14" s="36" t="n"/>
      <c r="CE14" s="36" t="n"/>
    </row>
    <row r="15" ht="34" customHeight="1">
      <c r="A15" s="37" t="n"/>
      <c r="B15" s="35" t="inlineStr"/>
      <c r="C15" s="26">
        <f>IF(TRIM($B15)="","",IFERROR(INDEX(People!$A$2:$A$199,MATCH(TRIM($B15),People!$B$2:$B$199,0)),IFERROR(INDEX(Teams!$A$2:$A$9,MATCH(TRIM($B15),Teams!$B$2:$B$9,0)),"?? CHECK NAME")))</f>
        <v/>
      </c>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c r="AG15" s="36" t="n"/>
      <c r="AH15" s="36" t="n"/>
      <c r="AI15" s="36" t="n"/>
      <c r="AJ15" s="36" t="n"/>
      <c r="AK15" s="36" t="n"/>
      <c r="AL15" s="36" t="n"/>
      <c r="AM15" s="36" t="n"/>
      <c r="AN15" s="36" t="n"/>
      <c r="AO15" s="36" t="n"/>
      <c r="AP15" s="36" t="n"/>
      <c r="AQ15" s="36" t="n"/>
      <c r="AR15" s="36" t="n"/>
      <c r="AS15" s="36" t="n"/>
      <c r="AT15" s="36" t="n"/>
      <c r="AU15" s="36" t="n"/>
      <c r="AV15" s="36" t="n"/>
      <c r="AW15" s="36" t="n"/>
      <c r="AX15" s="36" t="n"/>
      <c r="AY15" s="36" t="n"/>
      <c r="AZ15" s="36" t="n"/>
      <c r="BA15" s="36" t="n"/>
      <c r="BB15" s="36" t="n"/>
      <c r="BC15" s="36" t="n"/>
      <c r="BD15" s="36" t="n"/>
      <c r="BE15" s="36" t="n"/>
      <c r="BF15" s="36" t="n"/>
      <c r="BG15" s="36" t="n"/>
      <c r="BH15" s="36" t="n"/>
      <c r="BI15" s="36" t="n"/>
      <c r="BJ15" s="36" t="n"/>
      <c r="BK15" s="36" t="n"/>
      <c r="BL15" s="36" t="n"/>
      <c r="BM15" s="36" t="n"/>
      <c r="BN15" s="36" t="n"/>
      <c r="BO15" s="36" t="n"/>
      <c r="BP15" s="36" t="n"/>
      <c r="BQ15" s="36" t="n"/>
      <c r="BR15" s="36" t="n"/>
      <c r="BS15" s="36" t="n"/>
      <c r="BT15" s="36" t="n"/>
      <c r="BU15" s="36" t="n"/>
      <c r="BV15" s="36" t="n"/>
      <c r="BW15" s="36" t="n"/>
      <c r="BX15" s="36" t="n"/>
      <c r="BY15" s="36" t="n"/>
      <c r="BZ15" s="36" t="n"/>
      <c r="CA15" s="36" t="n"/>
      <c r="CB15" s="36" t="n"/>
      <c r="CC15" s="36" t="n"/>
      <c r="CD15" s="36" t="n"/>
      <c r="CE15" s="36" t="n"/>
    </row>
    <row r="16" ht="34" customHeight="1">
      <c r="A16" s="37" t="n"/>
      <c r="B16" s="35" t="inlineStr"/>
      <c r="C16" s="26">
        <f>IF(TRIM($B16)="","",IFERROR(INDEX(People!$A$2:$A$199,MATCH(TRIM($B16),People!$B$2:$B$199,0)),IFERROR(INDEX(Teams!$A$2:$A$9,MATCH(TRIM($B16),Teams!$B$2:$B$9,0)),"?? CHECK NAME")))</f>
        <v/>
      </c>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c r="BP16" s="36" t="n"/>
      <c r="BQ16" s="36" t="n"/>
      <c r="BR16" s="36" t="n"/>
      <c r="BS16" s="36" t="n"/>
      <c r="BT16" s="36" t="n"/>
      <c r="BU16" s="36" t="n"/>
      <c r="BV16" s="36" t="n"/>
      <c r="BW16" s="36" t="n"/>
      <c r="BX16" s="36" t="n"/>
      <c r="BY16" s="36" t="n"/>
      <c r="BZ16" s="36" t="n"/>
      <c r="CA16" s="36" t="n"/>
      <c r="CB16" s="36" t="n"/>
      <c r="CC16" s="36" t="n"/>
      <c r="CD16" s="36" t="n"/>
      <c r="CE16" s="36" t="n"/>
    </row>
    <row r="17" ht="34" customHeight="1">
      <c r="A17" s="37" t="n"/>
      <c r="B17" s="35" t="inlineStr"/>
      <c r="C17" s="26">
        <f>IF(TRIM($B17)="","",IFERROR(INDEX(People!$A$2:$A$199,MATCH(TRIM($B17),People!$B$2:$B$199,0)),IFERROR(INDEX(Teams!$A$2:$A$9,MATCH(TRIM($B17),Teams!$B$2:$B$9,0)),"?? CHECK NAME")))</f>
        <v/>
      </c>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c r="AG17" s="36" t="n"/>
      <c r="AH17" s="36" t="n"/>
      <c r="AI17" s="36" t="n"/>
      <c r="AJ17" s="36" t="n"/>
      <c r="AK17" s="36" t="n"/>
      <c r="AL17" s="36" t="n"/>
      <c r="AM17" s="36" t="n"/>
      <c r="AN17" s="36" t="n"/>
      <c r="AO17" s="36" t="n"/>
      <c r="AP17" s="36" t="n"/>
      <c r="AQ17" s="36" t="n"/>
      <c r="AR17" s="36" t="n"/>
      <c r="AS17" s="36" t="n"/>
      <c r="AT17" s="36" t="n"/>
      <c r="AU17" s="36" t="n"/>
      <c r="AV17" s="36" t="n"/>
      <c r="AW17" s="36" t="n"/>
      <c r="AX17" s="36" t="n"/>
      <c r="AY17" s="36" t="n"/>
      <c r="AZ17" s="36" t="n"/>
      <c r="BA17" s="36" t="n"/>
      <c r="BB17" s="36" t="n"/>
      <c r="BC17" s="36" t="n"/>
      <c r="BD17" s="36" t="n"/>
      <c r="BE17" s="36" t="n"/>
      <c r="BF17" s="36" t="n"/>
      <c r="BG17" s="36" t="n"/>
      <c r="BH17" s="36" t="n"/>
      <c r="BI17" s="36" t="n"/>
      <c r="BJ17" s="36" t="n"/>
      <c r="BK17" s="36" t="n"/>
      <c r="BL17" s="36" t="n"/>
      <c r="BM17" s="36" t="n"/>
      <c r="BN17" s="36" t="n"/>
      <c r="BO17" s="36" t="n"/>
      <c r="BP17" s="36" t="n"/>
      <c r="BQ17" s="36" t="n"/>
      <c r="BR17" s="36" t="n"/>
      <c r="BS17" s="36" t="n"/>
      <c r="BT17" s="36" t="n"/>
      <c r="BU17" s="36" t="n"/>
      <c r="BV17" s="36" t="n"/>
      <c r="BW17" s="36" t="n"/>
      <c r="BX17" s="36" t="n"/>
      <c r="BY17" s="36" t="n"/>
      <c r="BZ17" s="36" t="n"/>
      <c r="CA17" s="36" t="n"/>
      <c r="CB17" s="36" t="n"/>
      <c r="CC17" s="36" t="n"/>
      <c r="CD17" s="36" t="n"/>
      <c r="CE17" s="36" t="n"/>
    </row>
    <row r="18" ht="34" customHeight="1">
      <c r="A18" s="38" t="n"/>
      <c r="B18" s="35" t="inlineStr"/>
      <c r="C18" s="26">
        <f>IF(TRIM($B18)="","",IFERROR(INDEX(People!$A$2:$A$199,MATCH(TRIM($B18),People!$B$2:$B$199,0)),IFERROR(INDEX(Teams!$A$2:$A$9,MATCH(TRIM($B18),Teams!$B$2:$B$9,0)),"?? CHECK NAME")))</f>
        <v/>
      </c>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c r="AC18" s="36" t="n"/>
      <c r="AD18" s="36" t="n"/>
      <c r="AE18" s="36" t="n"/>
      <c r="AF18" s="36" t="n"/>
      <c r="AG18" s="36" t="n"/>
      <c r="AH18" s="36" t="n"/>
      <c r="AI18" s="36" t="n"/>
      <c r="AJ18" s="36" t="n"/>
      <c r="AK18" s="36" t="n"/>
      <c r="AL18" s="36" t="n"/>
      <c r="AM18" s="36" t="n"/>
      <c r="AN18" s="36" t="n"/>
      <c r="AO18" s="36" t="n"/>
      <c r="AP18" s="36" t="n"/>
      <c r="AQ18" s="36" t="n"/>
      <c r="AR18" s="36" t="n"/>
      <c r="AS18" s="36" t="n"/>
      <c r="AT18" s="36" t="n"/>
      <c r="AU18" s="36" t="n"/>
      <c r="AV18" s="36" t="n"/>
      <c r="AW18" s="36" t="n"/>
      <c r="AX18" s="36" t="n"/>
      <c r="AY18" s="36" t="n"/>
      <c r="AZ18" s="36" t="n"/>
      <c r="BA18" s="36" t="n"/>
      <c r="BB18" s="36" t="n"/>
      <c r="BC18" s="36" t="n"/>
      <c r="BD18" s="36" t="n"/>
      <c r="BE18" s="36" t="n"/>
      <c r="BF18" s="36" t="n"/>
      <c r="BG18" s="36" t="n"/>
      <c r="BH18" s="36" t="n"/>
      <c r="BI18" s="36" t="n"/>
      <c r="BJ18" s="36" t="n"/>
      <c r="BK18" s="36" t="n"/>
      <c r="BL18" s="36" t="n"/>
      <c r="BM18" s="36" t="n"/>
      <c r="BN18" s="36" t="n"/>
      <c r="BO18" s="36" t="n"/>
      <c r="BP18" s="36" t="n"/>
      <c r="BQ18" s="36" t="n"/>
      <c r="BR18" s="36" t="n"/>
      <c r="BS18" s="36" t="n"/>
      <c r="BT18" s="36" t="n"/>
      <c r="BU18" s="36" t="n"/>
      <c r="BV18" s="36" t="n"/>
      <c r="BW18" s="36" t="n"/>
      <c r="BX18" s="36" t="n"/>
      <c r="BY18" s="36" t="n"/>
      <c r="BZ18" s="36" t="n"/>
      <c r="CA18" s="36" t="n"/>
      <c r="CB18" s="36" t="n"/>
      <c r="CC18" s="36" t="n"/>
      <c r="CD18" s="36" t="n"/>
      <c r="CE18" s="36" t="n"/>
    </row>
    <row r="19" ht="34" customHeight="1">
      <c r="A19" s="16" t="inlineStr">
        <is>
          <t>Hospitality</t>
        </is>
      </c>
      <c r="B19" s="35" t="inlineStr"/>
      <c r="C19" s="26">
        <f>IF(TRIM($B19)="","",IFERROR(INDEX(People!$A$2:$A$199,MATCH(TRIM($B19),People!$B$2:$B$199,0)),IFERROR(INDEX(Teams!$A$2:$A$9,MATCH(TRIM($B19),Teams!$B$2:$B$9,0)),"?? CHECK NAME")))</f>
        <v/>
      </c>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c r="BP19" s="36" t="n"/>
      <c r="BQ19" s="36" t="n"/>
      <c r="BR19" s="36" t="n"/>
      <c r="BS19" s="36" t="n"/>
      <c r="BT19" s="36" t="n"/>
      <c r="BU19" s="36" t="n"/>
      <c r="BV19" s="36" t="n"/>
      <c r="BW19" s="36" t="n"/>
      <c r="BX19" s="36" t="n"/>
      <c r="BY19" s="36" t="n"/>
      <c r="BZ19" s="36" t="n"/>
      <c r="CA19" s="36" t="n"/>
      <c r="CB19" s="36" t="n"/>
      <c r="CC19" s="36" t="n"/>
      <c r="CD19" s="36" t="n"/>
      <c r="CE19" s="36" t="n"/>
    </row>
    <row r="20" ht="34" customHeight="1">
      <c r="A20" s="37" t="n"/>
      <c r="B20" s="35" t="inlineStr"/>
      <c r="C20" s="26">
        <f>IF(TRIM($B20)="","",IFERROR(INDEX(People!$A$2:$A$199,MATCH(TRIM($B20),People!$B$2:$B$199,0)),IFERROR(INDEX(Teams!$A$2:$A$9,MATCH(TRIM($B20),Teams!$B$2:$B$9,0)),"?? CHECK NAME")))</f>
        <v/>
      </c>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c r="AA20" s="36" t="n"/>
      <c r="AB20" s="36" t="n"/>
      <c r="AC20" s="36" t="n"/>
      <c r="AD20" s="36" t="n"/>
      <c r="AE20" s="36" t="n"/>
      <c r="AF20" s="36" t="n"/>
      <c r="AG20" s="36" t="n"/>
      <c r="AH20" s="36" t="n"/>
      <c r="AI20" s="36" t="n"/>
      <c r="AJ20" s="36" t="n"/>
      <c r="AK20" s="36" t="n"/>
      <c r="AL20" s="36" t="n"/>
      <c r="AM20" s="36" t="n"/>
      <c r="AN20" s="36" t="n"/>
      <c r="AO20" s="36" t="n"/>
      <c r="AP20" s="36" t="n"/>
      <c r="AQ20" s="36" t="n"/>
      <c r="AR20" s="36" t="n"/>
      <c r="AS20" s="36" t="n"/>
      <c r="AT20" s="36" t="n"/>
      <c r="AU20" s="36" t="n"/>
      <c r="AV20" s="36" t="n"/>
      <c r="AW20" s="36" t="n"/>
      <c r="AX20" s="36" t="n"/>
      <c r="AY20" s="36" t="n"/>
      <c r="AZ20" s="36" t="n"/>
      <c r="BA20" s="36" t="n"/>
      <c r="BB20" s="36" t="n"/>
      <c r="BC20" s="36" t="n"/>
      <c r="BD20" s="36" t="n"/>
      <c r="BE20" s="36" t="n"/>
      <c r="BF20" s="36" t="n"/>
      <c r="BG20" s="36" t="n"/>
      <c r="BH20" s="36" t="n"/>
      <c r="BI20" s="36" t="n"/>
      <c r="BJ20" s="36" t="n"/>
      <c r="BK20" s="36" t="n"/>
      <c r="BL20" s="36" t="n"/>
      <c r="BM20" s="36" t="n"/>
      <c r="BN20" s="36" t="n"/>
      <c r="BO20" s="36" t="n"/>
      <c r="BP20" s="36" t="n"/>
      <c r="BQ20" s="36" t="n"/>
      <c r="BR20" s="36" t="n"/>
      <c r="BS20" s="36" t="n"/>
      <c r="BT20" s="36" t="n"/>
      <c r="BU20" s="36" t="n"/>
      <c r="BV20" s="36" t="n"/>
      <c r="BW20" s="36" t="n"/>
      <c r="BX20" s="36" t="n"/>
      <c r="BY20" s="36" t="n"/>
      <c r="BZ20" s="36" t="n"/>
      <c r="CA20" s="36" t="n"/>
      <c r="CB20" s="36" t="n"/>
      <c r="CC20" s="36" t="n"/>
      <c r="CD20" s="36" t="n"/>
      <c r="CE20" s="36" t="n"/>
    </row>
    <row r="21" ht="34" customHeight="1">
      <c r="A21" s="37" t="n"/>
      <c r="B21" s="35" t="inlineStr"/>
      <c r="C21" s="26">
        <f>IF(TRIM($B21)="","",IFERROR(INDEX(People!$A$2:$A$199,MATCH(TRIM($B21),People!$B$2:$B$199,0)),IFERROR(INDEX(Teams!$A$2:$A$9,MATCH(TRIM($B21),Teams!$B$2:$B$9,0)),"?? CHECK NAME")))</f>
        <v/>
      </c>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c r="AE21" s="36" t="n"/>
      <c r="AF21" s="36" t="n"/>
      <c r="AG21" s="36" t="n"/>
      <c r="AH21" s="36" t="n"/>
      <c r="AI21" s="36" t="n"/>
      <c r="AJ21" s="36" t="n"/>
      <c r="AK21" s="36" t="n"/>
      <c r="AL21" s="36" t="n"/>
      <c r="AM21" s="36" t="n"/>
      <c r="AN21" s="36" t="n"/>
      <c r="AO21" s="36" t="n"/>
      <c r="AP21" s="36" t="n"/>
      <c r="AQ21" s="36" t="n"/>
      <c r="AR21" s="36" t="n"/>
      <c r="AS21" s="36" t="n"/>
      <c r="AT21" s="36" t="n"/>
      <c r="AU21" s="36" t="n"/>
      <c r="AV21" s="36" t="n"/>
      <c r="AW21" s="36" t="n"/>
      <c r="AX21" s="36" t="n"/>
      <c r="AY21" s="36" t="n"/>
      <c r="AZ21" s="36" t="n"/>
      <c r="BA21" s="36" t="n"/>
      <c r="BB21" s="36" t="n"/>
      <c r="BC21" s="36" t="n"/>
      <c r="BD21" s="36" t="n"/>
      <c r="BE21" s="36" t="n"/>
      <c r="BF21" s="36" t="n"/>
      <c r="BG21" s="36" t="n"/>
      <c r="BH21" s="36" t="n"/>
      <c r="BI21" s="36" t="n"/>
      <c r="BJ21" s="36" t="n"/>
      <c r="BK21" s="36" t="n"/>
      <c r="BL21" s="36" t="n"/>
      <c r="BM21" s="36" t="n"/>
      <c r="BN21" s="36" t="n"/>
      <c r="BO21" s="36" t="n"/>
      <c r="BP21" s="36" t="n"/>
      <c r="BQ21" s="36" t="n"/>
      <c r="BR21" s="36" t="n"/>
      <c r="BS21" s="36" t="n"/>
      <c r="BT21" s="36" t="n"/>
      <c r="BU21" s="36" t="n"/>
      <c r="BV21" s="36" t="n"/>
      <c r="BW21" s="36" t="n"/>
      <c r="BX21" s="36" t="n"/>
      <c r="BY21" s="36" t="n"/>
      <c r="BZ21" s="36" t="n"/>
      <c r="CA21" s="36" t="n"/>
      <c r="CB21" s="36" t="n"/>
      <c r="CC21" s="36" t="n"/>
      <c r="CD21" s="36" t="n"/>
      <c r="CE21" s="36" t="n"/>
    </row>
    <row r="22" ht="34" customHeight="1">
      <c r="A22" s="37" t="n"/>
      <c r="B22" s="35" t="inlineStr"/>
      <c r="C22" s="26">
        <f>IF(TRIM($B22)="","",IFERROR(INDEX(People!$A$2:$A$199,MATCH(TRIM($B22),People!$B$2:$B$199,0)),IFERROR(INDEX(Teams!$A$2:$A$9,MATCH(TRIM($B22),Teams!$B$2:$B$9,0)),"?? CHECK NAME")))</f>
        <v/>
      </c>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c r="BP22" s="36" t="n"/>
      <c r="BQ22" s="36" t="n"/>
      <c r="BR22" s="36" t="n"/>
      <c r="BS22" s="36" t="n"/>
      <c r="BT22" s="36" t="n"/>
      <c r="BU22" s="36" t="n"/>
      <c r="BV22" s="36" t="n"/>
      <c r="BW22" s="36" t="n"/>
      <c r="BX22" s="36" t="n"/>
      <c r="BY22" s="36" t="n"/>
      <c r="BZ22" s="36" t="n"/>
      <c r="CA22" s="36" t="n"/>
      <c r="CB22" s="36" t="n"/>
      <c r="CC22" s="36" t="n"/>
      <c r="CD22" s="36" t="n"/>
      <c r="CE22" s="36" t="n"/>
    </row>
    <row r="23" ht="34" customHeight="1">
      <c r="A23" s="38" t="n"/>
      <c r="B23" s="35" t="inlineStr"/>
      <c r="C23" s="26">
        <f>IF(TRIM($B23)="","",IFERROR(INDEX(People!$A$2:$A$199,MATCH(TRIM($B23),People!$B$2:$B$199,0)),IFERROR(INDEX(Teams!$A$2:$A$9,MATCH(TRIM($B23),Teams!$B$2:$B$9,0)),"?? CHECK NAME")))</f>
        <v/>
      </c>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c r="AC23" s="36" t="n"/>
      <c r="AD23" s="36" t="n"/>
      <c r="AE23" s="36" t="n"/>
      <c r="AF23" s="36" t="n"/>
      <c r="AG23" s="36" t="n"/>
      <c r="AH23" s="36" t="n"/>
      <c r="AI23" s="36" t="n"/>
      <c r="AJ23" s="36" t="n"/>
      <c r="AK23" s="36" t="n"/>
      <c r="AL23" s="36" t="n"/>
      <c r="AM23" s="36" t="n"/>
      <c r="AN23" s="36" t="n"/>
      <c r="AO23" s="36" t="n"/>
      <c r="AP23" s="36" t="n"/>
      <c r="AQ23" s="36" t="n"/>
      <c r="AR23" s="36" t="n"/>
      <c r="AS23" s="36" t="n"/>
      <c r="AT23" s="36" t="n"/>
      <c r="AU23" s="36" t="n"/>
      <c r="AV23" s="36" t="n"/>
      <c r="AW23" s="36" t="n"/>
      <c r="AX23" s="36" t="n"/>
      <c r="AY23" s="36" t="n"/>
      <c r="AZ23" s="36" t="n"/>
      <c r="BA23" s="36" t="n"/>
      <c r="BB23" s="36" t="n"/>
      <c r="BC23" s="36" t="n"/>
      <c r="BD23" s="36" t="n"/>
      <c r="BE23" s="36" t="n"/>
      <c r="BF23" s="36" t="n"/>
      <c r="BG23" s="36" t="n"/>
      <c r="BH23" s="36" t="n"/>
      <c r="BI23" s="36" t="n"/>
      <c r="BJ23" s="36" t="n"/>
      <c r="BK23" s="36" t="n"/>
      <c r="BL23" s="36" t="n"/>
      <c r="BM23" s="36" t="n"/>
      <c r="BN23" s="36" t="n"/>
      <c r="BO23" s="36" t="n"/>
      <c r="BP23" s="36" t="n"/>
      <c r="BQ23" s="36" t="n"/>
      <c r="BR23" s="36" t="n"/>
      <c r="BS23" s="36" t="n"/>
      <c r="BT23" s="36" t="n"/>
      <c r="BU23" s="36" t="n"/>
      <c r="BV23" s="36" t="n"/>
      <c r="BW23" s="36" t="n"/>
      <c r="BX23" s="36" t="n"/>
      <c r="BY23" s="36" t="n"/>
      <c r="BZ23" s="36" t="n"/>
      <c r="CA23" s="36" t="n"/>
      <c r="CB23" s="36" t="n"/>
      <c r="CC23" s="36" t="n"/>
      <c r="CD23" s="36" t="n"/>
      <c r="CE23" s="36" t="n"/>
    </row>
    <row r="24" ht="34" customHeight="1">
      <c r="A24" s="16" t="inlineStr">
        <is>
          <t>Creative</t>
        </is>
      </c>
      <c r="B24" s="35" t="inlineStr"/>
      <c r="C24" s="26">
        <f>IF(TRIM($B24)="","",IFERROR(INDEX(People!$A$2:$A$199,MATCH(TRIM($B24),People!$B$2:$B$199,0)),IFERROR(INDEX(Teams!$A$2:$A$9,MATCH(TRIM($B24),Teams!$B$2:$B$9,0)),"?? CHECK NAME")))</f>
        <v/>
      </c>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c r="AA24" s="36" t="n"/>
      <c r="AB24" s="36" t="n"/>
      <c r="AC24" s="36" t="n"/>
      <c r="AD24" s="36" t="n"/>
      <c r="AE24" s="36" t="n"/>
      <c r="AF24" s="36" t="n"/>
      <c r="AG24" s="36" t="n"/>
      <c r="AH24" s="36" t="n"/>
      <c r="AI24" s="36" t="n"/>
      <c r="AJ24" s="36" t="n"/>
      <c r="AK24" s="36" t="n"/>
      <c r="AL24" s="36" t="n"/>
      <c r="AM24" s="36" t="n"/>
      <c r="AN24" s="36" t="n"/>
      <c r="AO24" s="36" t="n"/>
      <c r="AP24" s="36" t="n"/>
      <c r="AQ24" s="36" t="n"/>
      <c r="AR24" s="36" t="n"/>
      <c r="AS24" s="36" t="n"/>
      <c r="AT24" s="36" t="n"/>
      <c r="AU24" s="36" t="n"/>
      <c r="AV24" s="36" t="n"/>
      <c r="AW24" s="36" t="n"/>
      <c r="AX24" s="36" t="n"/>
      <c r="AY24" s="36" t="n"/>
      <c r="AZ24" s="36" t="n"/>
      <c r="BA24" s="36" t="n"/>
      <c r="BB24" s="36" t="n"/>
      <c r="BC24" s="36" t="n"/>
      <c r="BD24" s="36" t="n"/>
      <c r="BE24" s="36" t="n"/>
      <c r="BF24" s="36" t="n"/>
      <c r="BG24" s="36" t="n"/>
      <c r="BH24" s="36" t="n"/>
      <c r="BI24" s="36" t="n"/>
      <c r="BJ24" s="36" t="n"/>
      <c r="BK24" s="36" t="n"/>
      <c r="BL24" s="36" t="n"/>
      <c r="BM24" s="36" t="n"/>
      <c r="BN24" s="36" t="n"/>
      <c r="BO24" s="36" t="n"/>
      <c r="BP24" s="36" t="n"/>
      <c r="BQ24" s="36" t="n"/>
      <c r="BR24" s="36" t="n"/>
      <c r="BS24" s="36" t="n"/>
      <c r="BT24" s="36" t="n"/>
      <c r="BU24" s="36" t="n"/>
      <c r="BV24" s="36" t="n"/>
      <c r="BW24" s="36" t="n"/>
      <c r="BX24" s="36" t="n"/>
      <c r="BY24" s="36" t="n"/>
      <c r="BZ24" s="36" t="n"/>
      <c r="CA24" s="36" t="n"/>
      <c r="CB24" s="36" t="n"/>
      <c r="CC24" s="36" t="n"/>
      <c r="CD24" s="36" t="n"/>
      <c r="CE24" s="36" t="n"/>
    </row>
    <row r="25" ht="34" customHeight="1">
      <c r="A25" s="37" t="n"/>
      <c r="B25" s="35" t="inlineStr"/>
      <c r="C25" s="26">
        <f>IF(TRIM($B25)="","",IFERROR(INDEX(People!$A$2:$A$199,MATCH(TRIM($B25),People!$B$2:$B$199,0)),IFERROR(INDEX(Teams!$A$2:$A$9,MATCH(TRIM($B25),Teams!$B$2:$B$9,0)),"?? CHECK NAME")))</f>
        <v/>
      </c>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c r="BP25" s="36" t="n"/>
      <c r="BQ25" s="36" t="n"/>
      <c r="BR25" s="36" t="n"/>
      <c r="BS25" s="36" t="n"/>
      <c r="BT25" s="36" t="n"/>
      <c r="BU25" s="36" t="n"/>
      <c r="BV25" s="36" t="n"/>
      <c r="BW25" s="36" t="n"/>
      <c r="BX25" s="36" t="n"/>
      <c r="BY25" s="36" t="n"/>
      <c r="BZ25" s="36" t="n"/>
      <c r="CA25" s="36" t="n"/>
      <c r="CB25" s="36" t="n"/>
      <c r="CC25" s="36" t="n"/>
      <c r="CD25" s="36" t="n"/>
      <c r="CE25" s="36" t="n"/>
    </row>
    <row r="26" ht="34" customHeight="1">
      <c r="A26" s="37" t="n"/>
      <c r="B26" s="35" t="inlineStr"/>
      <c r="C26" s="26">
        <f>IF(TRIM($B26)="","",IFERROR(INDEX(People!$A$2:$A$199,MATCH(TRIM($B26),People!$B$2:$B$199,0)),IFERROR(INDEX(Teams!$A$2:$A$9,MATCH(TRIM($B26),Teams!$B$2:$B$9,0)),"?? CHECK NAME")))</f>
        <v/>
      </c>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c r="AA26" s="36" t="n"/>
      <c r="AB26" s="36" t="n"/>
      <c r="AC26" s="36" t="n"/>
      <c r="AD26" s="36" t="n"/>
      <c r="AE26" s="36" t="n"/>
      <c r="AF26" s="36" t="n"/>
      <c r="AG26" s="36" t="n"/>
      <c r="AH26" s="36" t="n"/>
      <c r="AI26" s="36" t="n"/>
      <c r="AJ26" s="36" t="n"/>
      <c r="AK26" s="36" t="n"/>
      <c r="AL26" s="36" t="n"/>
      <c r="AM26" s="36" t="n"/>
      <c r="AN26" s="36" t="n"/>
      <c r="AO26" s="36" t="n"/>
      <c r="AP26" s="36" t="n"/>
      <c r="AQ26" s="36" t="n"/>
      <c r="AR26" s="36" t="n"/>
      <c r="AS26" s="36" t="n"/>
      <c r="AT26" s="36" t="n"/>
      <c r="AU26" s="36" t="n"/>
      <c r="AV26" s="36" t="n"/>
      <c r="AW26" s="36" t="n"/>
      <c r="AX26" s="36" t="n"/>
      <c r="AY26" s="36" t="n"/>
      <c r="AZ26" s="36" t="n"/>
      <c r="BA26" s="36" t="n"/>
      <c r="BB26" s="36" t="n"/>
      <c r="BC26" s="36" t="n"/>
      <c r="BD26" s="36" t="n"/>
      <c r="BE26" s="36" t="n"/>
      <c r="BF26" s="36" t="n"/>
      <c r="BG26" s="36" t="n"/>
      <c r="BH26" s="36" t="n"/>
      <c r="BI26" s="36" t="n"/>
      <c r="BJ26" s="36" t="n"/>
      <c r="BK26" s="36" t="n"/>
      <c r="BL26" s="36" t="n"/>
      <c r="BM26" s="36" t="n"/>
      <c r="BN26" s="36" t="n"/>
      <c r="BO26" s="36" t="n"/>
      <c r="BP26" s="36" t="n"/>
      <c r="BQ26" s="36" t="n"/>
      <c r="BR26" s="36" t="n"/>
      <c r="BS26" s="36" t="n"/>
      <c r="BT26" s="36" t="n"/>
      <c r="BU26" s="36" t="n"/>
      <c r="BV26" s="36" t="n"/>
      <c r="BW26" s="36" t="n"/>
      <c r="BX26" s="36" t="n"/>
      <c r="BY26" s="36" t="n"/>
      <c r="BZ26" s="36" t="n"/>
      <c r="CA26" s="36" t="n"/>
      <c r="CB26" s="36" t="n"/>
      <c r="CC26" s="36" t="n"/>
      <c r="CD26" s="36" t="n"/>
      <c r="CE26" s="36" t="n"/>
    </row>
    <row r="27" ht="34" customHeight="1">
      <c r="A27" s="37" t="n"/>
      <c r="B27" s="35" t="inlineStr"/>
      <c r="C27" s="26">
        <f>IF(TRIM($B27)="","",IFERROR(INDEX(People!$A$2:$A$199,MATCH(TRIM($B27),People!$B$2:$B$199,0)),IFERROR(INDEX(Teams!$A$2:$A$9,MATCH(TRIM($B27),Teams!$B$2:$B$9,0)),"?? CHECK NAME")))</f>
        <v/>
      </c>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c r="AC27" s="36" t="n"/>
      <c r="AD27" s="36" t="n"/>
      <c r="AE27" s="36" t="n"/>
      <c r="AF27" s="36" t="n"/>
      <c r="AG27" s="36" t="n"/>
      <c r="AH27" s="36" t="n"/>
      <c r="AI27" s="36" t="n"/>
      <c r="AJ27" s="36" t="n"/>
      <c r="AK27" s="36" t="n"/>
      <c r="AL27" s="36" t="n"/>
      <c r="AM27" s="36" t="n"/>
      <c r="AN27" s="36" t="n"/>
      <c r="AO27" s="36" t="n"/>
      <c r="AP27" s="36" t="n"/>
      <c r="AQ27" s="36" t="n"/>
      <c r="AR27" s="36" t="n"/>
      <c r="AS27" s="36" t="n"/>
      <c r="AT27" s="36" t="n"/>
      <c r="AU27" s="36" t="n"/>
      <c r="AV27" s="36" t="n"/>
      <c r="AW27" s="36" t="n"/>
      <c r="AX27" s="36" t="n"/>
      <c r="AY27" s="36" t="n"/>
      <c r="AZ27" s="36" t="n"/>
      <c r="BA27" s="36" t="n"/>
      <c r="BB27" s="36" t="n"/>
      <c r="BC27" s="36" t="n"/>
      <c r="BD27" s="36" t="n"/>
      <c r="BE27" s="36" t="n"/>
      <c r="BF27" s="36" t="n"/>
      <c r="BG27" s="36" t="n"/>
      <c r="BH27" s="36" t="n"/>
      <c r="BI27" s="36" t="n"/>
      <c r="BJ27" s="36" t="n"/>
      <c r="BK27" s="36" t="n"/>
      <c r="BL27" s="36" t="n"/>
      <c r="BM27" s="36" t="n"/>
      <c r="BN27" s="36" t="n"/>
      <c r="BO27" s="36" t="n"/>
      <c r="BP27" s="36" t="n"/>
      <c r="BQ27" s="36" t="n"/>
      <c r="BR27" s="36" t="n"/>
      <c r="BS27" s="36" t="n"/>
      <c r="BT27" s="36" t="n"/>
      <c r="BU27" s="36" t="n"/>
      <c r="BV27" s="36" t="n"/>
      <c r="BW27" s="36" t="n"/>
      <c r="BX27" s="36" t="n"/>
      <c r="BY27" s="36" t="n"/>
      <c r="BZ27" s="36" t="n"/>
      <c r="CA27" s="36" t="n"/>
      <c r="CB27" s="36" t="n"/>
      <c r="CC27" s="36" t="n"/>
      <c r="CD27" s="36" t="n"/>
      <c r="CE27" s="36" t="n"/>
    </row>
    <row r="28" ht="34" customHeight="1">
      <c r="A28" s="38" t="n"/>
      <c r="B28" s="35" t="inlineStr"/>
      <c r="C28" s="26">
        <f>IF(TRIM($B28)="","",IFERROR(INDEX(People!$A$2:$A$199,MATCH(TRIM($B28),People!$B$2:$B$199,0)),IFERROR(INDEX(Teams!$A$2:$A$9,MATCH(TRIM($B28),Teams!$B$2:$B$9,0)),"?? CHECK NAME")))</f>
        <v/>
      </c>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36" t="n"/>
      <c r="AN28" s="36" t="n"/>
      <c r="AO28" s="36" t="n"/>
      <c r="AP28" s="36" t="n"/>
      <c r="AQ28" s="36" t="n"/>
      <c r="AR28" s="36" t="n"/>
      <c r="AS28" s="36" t="n"/>
      <c r="AT28" s="36" t="n"/>
      <c r="AU28" s="36" t="n"/>
      <c r="AV28" s="36" t="n"/>
      <c r="AW28" s="36" t="n"/>
      <c r="AX28" s="36" t="n"/>
      <c r="AY28" s="36" t="n"/>
      <c r="AZ28" s="36" t="n"/>
      <c r="BA28" s="36" t="n"/>
      <c r="BB28" s="36" t="n"/>
      <c r="BC28" s="36" t="n"/>
      <c r="BD28" s="36" t="n"/>
      <c r="BE28" s="36" t="n"/>
      <c r="BF28" s="36" t="n"/>
      <c r="BG28" s="36" t="n"/>
      <c r="BH28" s="36" t="n"/>
      <c r="BI28" s="36" t="n"/>
      <c r="BJ28" s="36" t="n"/>
      <c r="BK28" s="36" t="n"/>
      <c r="BL28" s="36" t="n"/>
      <c r="BM28" s="36" t="n"/>
      <c r="BN28" s="36" t="n"/>
      <c r="BO28" s="36" t="n"/>
      <c r="BP28" s="36" t="n"/>
      <c r="BQ28" s="36" t="n"/>
      <c r="BR28" s="36" t="n"/>
      <c r="BS28" s="36" t="n"/>
      <c r="BT28" s="36" t="n"/>
      <c r="BU28" s="36" t="n"/>
      <c r="BV28" s="36" t="n"/>
      <c r="BW28" s="36" t="n"/>
      <c r="BX28" s="36" t="n"/>
      <c r="BY28" s="36" t="n"/>
      <c r="BZ28" s="36" t="n"/>
      <c r="CA28" s="36" t="n"/>
      <c r="CB28" s="36" t="n"/>
      <c r="CC28" s="36" t="n"/>
      <c r="CD28" s="36" t="n"/>
      <c r="CE28" s="36" t="n"/>
    </row>
    <row r="29" ht="34" customHeight="1">
      <c r="A29" s="16" t="inlineStr">
        <is>
          <t>Registration</t>
        </is>
      </c>
      <c r="B29" s="35" t="inlineStr"/>
      <c r="C29" s="26">
        <f>IF(TRIM($B29)="","",IFERROR(INDEX(People!$A$2:$A$199,MATCH(TRIM($B29),People!$B$2:$B$199,0)),IFERROR(INDEX(Teams!$A$2:$A$9,MATCH(TRIM($B29),Teams!$B$2:$B$9,0)),"?? CHECK NAME")))</f>
        <v/>
      </c>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c r="AC29" s="36" t="n"/>
      <c r="AD29" s="36" t="n"/>
      <c r="AE29" s="36" t="n"/>
      <c r="AF29" s="36" t="n"/>
      <c r="AG29" s="36" t="n"/>
      <c r="AH29" s="36" t="n"/>
      <c r="AI29" s="36" t="n"/>
      <c r="AJ29" s="36" t="n"/>
      <c r="AK29" s="36" t="n"/>
      <c r="AL29" s="36" t="n"/>
      <c r="AM29" s="36" t="n"/>
      <c r="AN29" s="36" t="n"/>
      <c r="AO29" s="36" t="n"/>
      <c r="AP29" s="36" t="n"/>
      <c r="AQ29" s="36" t="n"/>
      <c r="AR29" s="36" t="n"/>
      <c r="AS29" s="36" t="n"/>
      <c r="AT29" s="36" t="n"/>
      <c r="AU29" s="36" t="n"/>
      <c r="AV29" s="36" t="n"/>
      <c r="AW29" s="36" t="n"/>
      <c r="AX29" s="36" t="n"/>
      <c r="AY29" s="36" t="n"/>
      <c r="AZ29" s="36" t="n"/>
      <c r="BA29" s="36" t="n"/>
      <c r="BB29" s="36" t="n"/>
      <c r="BC29" s="36" t="n"/>
      <c r="BD29" s="36" t="n"/>
      <c r="BE29" s="36" t="n"/>
      <c r="BF29" s="36" t="n"/>
      <c r="BG29" s="36" t="n"/>
      <c r="BH29" s="36" t="n"/>
      <c r="BI29" s="36" t="n"/>
      <c r="BJ29" s="36" t="n"/>
      <c r="BK29" s="36" t="n"/>
      <c r="BL29" s="36" t="n"/>
      <c r="BM29" s="36" t="n"/>
      <c r="BN29" s="36" t="n"/>
      <c r="BO29" s="36" t="n"/>
      <c r="BP29" s="36" t="n"/>
      <c r="BQ29" s="36" t="n"/>
      <c r="BR29" s="36" t="n"/>
      <c r="BS29" s="36" t="n"/>
      <c r="BT29" s="36" t="n"/>
      <c r="BU29" s="36" t="n"/>
      <c r="BV29" s="36" t="n"/>
      <c r="BW29" s="36" t="n"/>
      <c r="BX29" s="36" t="n"/>
      <c r="BY29" s="36" t="n"/>
      <c r="BZ29" s="36" t="n"/>
      <c r="CA29" s="36" t="n"/>
      <c r="CB29" s="36" t="n"/>
      <c r="CC29" s="36" t="n"/>
      <c r="CD29" s="36" t="n"/>
      <c r="CE29" s="36" t="n"/>
    </row>
    <row r="30" ht="34" customHeight="1">
      <c r="A30" s="37" t="n"/>
      <c r="B30" s="35" t="inlineStr"/>
      <c r="C30" s="26">
        <f>IF(TRIM($B30)="","",IFERROR(INDEX(People!$A$2:$A$199,MATCH(TRIM($B30),People!$B$2:$B$199,0)),IFERROR(INDEX(Teams!$A$2:$A$9,MATCH(TRIM($B30),Teams!$B$2:$B$9,0)),"?? CHECK NAME")))</f>
        <v/>
      </c>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c r="AC30" s="36" t="n"/>
      <c r="AD30" s="36" t="n"/>
      <c r="AE30" s="36" t="n"/>
      <c r="AF30" s="36" t="n"/>
      <c r="AG30" s="36" t="n"/>
      <c r="AH30" s="36" t="n"/>
      <c r="AI30" s="36" t="n"/>
      <c r="AJ30" s="36" t="n"/>
      <c r="AK30" s="36" t="n"/>
      <c r="AL30" s="36" t="n"/>
      <c r="AM30" s="36" t="n"/>
      <c r="AN30" s="36" t="n"/>
      <c r="AO30" s="36" t="n"/>
      <c r="AP30" s="36" t="n"/>
      <c r="AQ30" s="36" t="n"/>
      <c r="AR30" s="36" t="n"/>
      <c r="AS30" s="36" t="n"/>
      <c r="AT30" s="36" t="n"/>
      <c r="AU30" s="36" t="n"/>
      <c r="AV30" s="36" t="n"/>
      <c r="AW30" s="36" t="n"/>
      <c r="AX30" s="36" t="n"/>
      <c r="AY30" s="36" t="n"/>
      <c r="AZ30" s="36" t="n"/>
      <c r="BA30" s="36" t="n"/>
      <c r="BB30" s="36" t="n"/>
      <c r="BC30" s="36" t="n"/>
      <c r="BD30" s="36" t="n"/>
      <c r="BE30" s="36" t="n"/>
      <c r="BF30" s="36" t="n"/>
      <c r="BG30" s="36" t="n"/>
      <c r="BH30" s="36" t="n"/>
      <c r="BI30" s="36" t="n"/>
      <c r="BJ30" s="36" t="n"/>
      <c r="BK30" s="36" t="n"/>
      <c r="BL30" s="36" t="n"/>
      <c r="BM30" s="36" t="n"/>
      <c r="BN30" s="36" t="n"/>
      <c r="BO30" s="36" t="n"/>
      <c r="BP30" s="36" t="n"/>
      <c r="BQ30" s="36" t="n"/>
      <c r="BR30" s="36" t="n"/>
      <c r="BS30" s="36" t="n"/>
      <c r="BT30" s="36" t="n"/>
      <c r="BU30" s="36" t="n"/>
      <c r="BV30" s="36" t="n"/>
      <c r="BW30" s="36" t="n"/>
      <c r="BX30" s="36" t="n"/>
      <c r="BY30" s="36" t="n"/>
      <c r="BZ30" s="36" t="n"/>
      <c r="CA30" s="36" t="n"/>
      <c r="CB30" s="36" t="n"/>
      <c r="CC30" s="36" t="n"/>
      <c r="CD30" s="36" t="n"/>
      <c r="CE30" s="36" t="n"/>
    </row>
    <row r="31" ht="34" customHeight="1">
      <c r="A31" s="37" t="n"/>
      <c r="B31" s="35" t="inlineStr"/>
      <c r="C31" s="26">
        <f>IF(TRIM($B31)="","",IFERROR(INDEX(People!$A$2:$A$199,MATCH(TRIM($B31),People!$B$2:$B$199,0)),IFERROR(INDEX(Teams!$A$2:$A$9,MATCH(TRIM($B31),Teams!$B$2:$B$9,0)),"?? CHECK NAME")))</f>
        <v/>
      </c>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c r="AE31" s="36" t="n"/>
      <c r="AF31" s="36" t="n"/>
      <c r="AG31" s="36" t="n"/>
      <c r="AH31" s="36" t="n"/>
      <c r="AI31" s="36" t="n"/>
      <c r="AJ31" s="36" t="n"/>
      <c r="AK31" s="36" t="n"/>
      <c r="AL31" s="36" t="n"/>
      <c r="AM31" s="36" t="n"/>
      <c r="AN31" s="36" t="n"/>
      <c r="AO31" s="36" t="n"/>
      <c r="AP31" s="36" t="n"/>
      <c r="AQ31" s="36" t="n"/>
      <c r="AR31" s="36" t="n"/>
      <c r="AS31" s="36" t="n"/>
      <c r="AT31" s="36" t="n"/>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c r="BP31" s="36" t="n"/>
      <c r="BQ31" s="36" t="n"/>
      <c r="BR31" s="36" t="n"/>
      <c r="BS31" s="36" t="n"/>
      <c r="BT31" s="36" t="n"/>
      <c r="BU31" s="36" t="n"/>
      <c r="BV31" s="36" t="n"/>
      <c r="BW31" s="36" t="n"/>
      <c r="BX31" s="36" t="n"/>
      <c r="BY31" s="36" t="n"/>
      <c r="BZ31" s="36" t="n"/>
      <c r="CA31" s="36" t="n"/>
      <c r="CB31" s="36" t="n"/>
      <c r="CC31" s="36" t="n"/>
      <c r="CD31" s="36" t="n"/>
      <c r="CE31" s="36" t="n"/>
    </row>
    <row r="32" ht="34" customHeight="1">
      <c r="A32" s="37" t="n"/>
      <c r="B32" s="35" t="inlineStr"/>
      <c r="C32" s="26">
        <f>IF(TRIM($B32)="","",IFERROR(INDEX(People!$A$2:$A$199,MATCH(TRIM($B32),People!$B$2:$B$199,0)),IFERROR(INDEX(Teams!$A$2:$A$9,MATCH(TRIM($B32),Teams!$B$2:$B$9,0)),"?? CHECK NAME")))</f>
        <v/>
      </c>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c r="AA32" s="36" t="n"/>
      <c r="AB32" s="36" t="n"/>
      <c r="AC32" s="36" t="n"/>
      <c r="AD32" s="36" t="n"/>
      <c r="AE32" s="36" t="n"/>
      <c r="AF32" s="36" t="n"/>
      <c r="AG32" s="36" t="n"/>
      <c r="AH32" s="36" t="n"/>
      <c r="AI32" s="36" t="n"/>
      <c r="AJ32" s="36" t="n"/>
      <c r="AK32" s="36" t="n"/>
      <c r="AL32" s="36" t="n"/>
      <c r="AM32" s="36" t="n"/>
      <c r="AN32" s="36" t="n"/>
      <c r="AO32" s="36" t="n"/>
      <c r="AP32" s="36" t="n"/>
      <c r="AQ32" s="36" t="n"/>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c r="BL32" s="36" t="n"/>
      <c r="BM32" s="36" t="n"/>
      <c r="BN32" s="36" t="n"/>
      <c r="BO32" s="36" t="n"/>
      <c r="BP32" s="36" t="n"/>
      <c r="BQ32" s="36" t="n"/>
      <c r="BR32" s="36" t="n"/>
      <c r="BS32" s="36" t="n"/>
      <c r="BT32" s="36" t="n"/>
      <c r="BU32" s="36" t="n"/>
      <c r="BV32" s="36" t="n"/>
      <c r="BW32" s="36" t="n"/>
      <c r="BX32" s="36" t="n"/>
      <c r="BY32" s="36" t="n"/>
      <c r="BZ32" s="36" t="n"/>
      <c r="CA32" s="36" t="n"/>
      <c r="CB32" s="36" t="n"/>
      <c r="CC32" s="36" t="n"/>
      <c r="CD32" s="36" t="n"/>
      <c r="CE32" s="36" t="n"/>
    </row>
    <row r="33" ht="34" customHeight="1">
      <c r="A33" s="38" t="n"/>
      <c r="B33" s="35" t="inlineStr"/>
      <c r="C33" s="26">
        <f>IF(TRIM($B33)="","",IFERROR(INDEX(People!$A$2:$A$199,MATCH(TRIM($B33),People!$B$2:$B$199,0)),IFERROR(INDEX(Teams!$A$2:$A$9,MATCH(TRIM($B33),Teams!$B$2:$B$9,0)),"?? CHECK NAME")))</f>
        <v/>
      </c>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c r="AC33" s="36" t="n"/>
      <c r="AD33" s="36" t="n"/>
      <c r="AE33" s="36" t="n"/>
      <c r="AF33" s="36" t="n"/>
      <c r="AG33" s="36" t="n"/>
      <c r="AH33" s="36" t="n"/>
      <c r="AI33" s="36" t="n"/>
      <c r="AJ33" s="36" t="n"/>
      <c r="AK33" s="36" t="n"/>
      <c r="AL33" s="36" t="n"/>
      <c r="AM33" s="36" t="n"/>
      <c r="AN33" s="36" t="n"/>
      <c r="AO33" s="36" t="n"/>
      <c r="AP33" s="36" t="n"/>
      <c r="AQ33" s="36" t="n"/>
      <c r="AR33" s="36" t="n"/>
      <c r="AS33" s="36" t="n"/>
      <c r="AT33" s="36" t="n"/>
      <c r="AU33" s="36" t="n"/>
      <c r="AV33" s="36" t="n"/>
      <c r="AW33" s="36" t="n"/>
      <c r="AX33" s="36" t="n"/>
      <c r="AY33" s="36" t="n"/>
      <c r="AZ33" s="36" t="n"/>
      <c r="BA33" s="36" t="n"/>
      <c r="BB33" s="36" t="n"/>
      <c r="BC33" s="36" t="n"/>
      <c r="BD33" s="36" t="n"/>
      <c r="BE33" s="36" t="n"/>
      <c r="BF33" s="36" t="n"/>
      <c r="BG33" s="36" t="n"/>
      <c r="BH33" s="36" t="n"/>
      <c r="BI33" s="36" t="n"/>
      <c r="BJ33" s="36" t="n"/>
      <c r="BK33" s="36" t="n"/>
      <c r="BL33" s="36" t="n"/>
      <c r="BM33" s="36" t="n"/>
      <c r="BN33" s="36" t="n"/>
      <c r="BO33" s="36" t="n"/>
      <c r="BP33" s="36" t="n"/>
      <c r="BQ33" s="36" t="n"/>
      <c r="BR33" s="36" t="n"/>
      <c r="BS33" s="36" t="n"/>
      <c r="BT33" s="36" t="n"/>
      <c r="BU33" s="36" t="n"/>
      <c r="BV33" s="36" t="n"/>
      <c r="BW33" s="36" t="n"/>
      <c r="BX33" s="36" t="n"/>
      <c r="BY33" s="36" t="n"/>
      <c r="BZ33" s="36" t="n"/>
      <c r="CA33" s="36" t="n"/>
      <c r="CB33" s="36" t="n"/>
      <c r="CC33" s="36" t="n"/>
      <c r="CD33" s="36" t="n"/>
      <c r="CE33" s="36" t="n"/>
    </row>
    <row r="34" ht="34" customHeight="1">
      <c r="A34" s="16" t="inlineStr">
        <is>
          <t>Head Liaisons</t>
        </is>
      </c>
      <c r="B34" s="35" t="inlineStr"/>
      <c r="C34" s="26">
        <f>IF(TRIM($B34)="","",IFERROR(INDEX(People!$A$2:$A$199,MATCH(TRIM($B34),People!$B$2:$B$199,0)),IFERROR(INDEX(Teams!$A$2:$A$9,MATCH(TRIM($B34),Teams!$B$2:$B$9,0)),"?? CHECK NAME")))</f>
        <v/>
      </c>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c r="AA34" s="36" t="n"/>
      <c r="AB34" s="36" t="n"/>
      <c r="AC34" s="36" t="n"/>
      <c r="AD34" s="36" t="n"/>
      <c r="AE34" s="36" t="n"/>
      <c r="AF34" s="36" t="n"/>
      <c r="AG34" s="36" t="n"/>
      <c r="AH34" s="36" t="n"/>
      <c r="AI34" s="36" t="n"/>
      <c r="AJ34" s="36" t="n"/>
      <c r="AK34" s="36" t="n"/>
      <c r="AL34" s="36" t="n"/>
      <c r="AM34" s="36" t="n"/>
      <c r="AN34" s="36" t="n"/>
      <c r="AO34" s="36" t="n"/>
      <c r="AP34" s="36" t="n"/>
      <c r="AQ34" s="36" t="n"/>
      <c r="AR34" s="36" t="n"/>
      <c r="AS34" s="36" t="n"/>
      <c r="AT34" s="36" t="n"/>
      <c r="AU34" s="36" t="n"/>
      <c r="AV34" s="36" t="n"/>
      <c r="AW34" s="36" t="n"/>
      <c r="AX34" s="36" t="n"/>
      <c r="AY34" s="36" t="n"/>
      <c r="AZ34" s="36" t="n"/>
      <c r="BA34" s="36" t="n"/>
      <c r="BB34" s="36" t="n"/>
      <c r="BC34" s="36" t="n"/>
      <c r="BD34" s="36" t="n"/>
      <c r="BE34" s="36" t="n"/>
      <c r="BF34" s="36" t="n"/>
      <c r="BG34" s="36" t="n"/>
      <c r="BH34" s="36" t="n"/>
      <c r="BI34" s="36" t="n"/>
      <c r="BJ34" s="36" t="n"/>
      <c r="BK34" s="36" t="n"/>
      <c r="BL34" s="36" t="n"/>
      <c r="BM34" s="36" t="n"/>
      <c r="BN34" s="36" t="n"/>
      <c r="BO34" s="36" t="n"/>
      <c r="BP34" s="36" t="n"/>
      <c r="BQ34" s="36" t="n"/>
      <c r="BR34" s="36" t="n"/>
      <c r="BS34" s="36" t="n"/>
      <c r="BT34" s="36" t="n"/>
      <c r="BU34" s="36" t="n"/>
      <c r="BV34" s="36" t="n"/>
      <c r="BW34" s="36" t="n"/>
      <c r="BX34" s="36" t="n"/>
      <c r="BY34" s="36" t="n"/>
      <c r="BZ34" s="36" t="n"/>
      <c r="CA34" s="36" t="n"/>
      <c r="CB34" s="36" t="n"/>
      <c r="CC34" s="36" t="n"/>
      <c r="CD34" s="36" t="n"/>
      <c r="CE34" s="36" t="n"/>
    </row>
    <row r="35" ht="34" customHeight="1">
      <c r="A35" s="37" t="n"/>
      <c r="B35" s="35" t="inlineStr"/>
      <c r="C35" s="26">
        <f>IF(TRIM($B35)="","",IFERROR(INDEX(People!$A$2:$A$199,MATCH(TRIM($B35),People!$B$2:$B$199,0)),IFERROR(INDEX(Teams!$A$2:$A$9,MATCH(TRIM($B35),Teams!$B$2:$B$9,0)),"?? CHECK NAME")))</f>
        <v/>
      </c>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c r="AA35" s="36" t="n"/>
      <c r="AB35" s="36" t="n"/>
      <c r="AC35" s="36" t="n"/>
      <c r="AD35" s="36" t="n"/>
      <c r="AE35" s="36" t="n"/>
      <c r="AF35" s="36" t="n"/>
      <c r="AG35" s="36" t="n"/>
      <c r="AH35" s="36" t="n"/>
      <c r="AI35" s="36" t="n"/>
      <c r="AJ35" s="36" t="n"/>
      <c r="AK35" s="36" t="n"/>
      <c r="AL35" s="36" t="n"/>
      <c r="AM35" s="36" t="n"/>
      <c r="AN35" s="36" t="n"/>
      <c r="AO35" s="36" t="n"/>
      <c r="AP35" s="36" t="n"/>
      <c r="AQ35" s="36" t="n"/>
      <c r="AR35" s="36" t="n"/>
      <c r="AS35" s="36" t="n"/>
      <c r="AT35" s="36" t="n"/>
      <c r="AU35" s="36" t="n"/>
      <c r="AV35" s="36" t="n"/>
      <c r="AW35" s="36" t="n"/>
      <c r="AX35" s="36" t="n"/>
      <c r="AY35" s="36" t="n"/>
      <c r="AZ35" s="36" t="n"/>
      <c r="BA35" s="36" t="n"/>
      <c r="BB35" s="36" t="n"/>
      <c r="BC35" s="36" t="n"/>
      <c r="BD35" s="36" t="n"/>
      <c r="BE35" s="36" t="n"/>
      <c r="BF35" s="36" t="n"/>
      <c r="BG35" s="36" t="n"/>
      <c r="BH35" s="36" t="n"/>
      <c r="BI35" s="36" t="n"/>
      <c r="BJ35" s="36" t="n"/>
      <c r="BK35" s="36" t="n"/>
      <c r="BL35" s="36" t="n"/>
      <c r="BM35" s="36" t="n"/>
      <c r="BN35" s="36" t="n"/>
      <c r="BO35" s="36" t="n"/>
      <c r="BP35" s="36" t="n"/>
      <c r="BQ35" s="36" t="n"/>
      <c r="BR35" s="36" t="n"/>
      <c r="BS35" s="36" t="n"/>
      <c r="BT35" s="36" t="n"/>
      <c r="BU35" s="36" t="n"/>
      <c r="BV35" s="36" t="n"/>
      <c r="BW35" s="36" t="n"/>
      <c r="BX35" s="36" t="n"/>
      <c r="BY35" s="36" t="n"/>
      <c r="BZ35" s="36" t="n"/>
      <c r="CA35" s="36" t="n"/>
      <c r="CB35" s="36" t="n"/>
      <c r="CC35" s="36" t="n"/>
      <c r="CD35" s="36" t="n"/>
      <c r="CE35" s="36" t="n"/>
    </row>
    <row r="36" ht="34" customHeight="1">
      <c r="A36" s="37" t="n"/>
      <c r="B36" s="35" t="inlineStr"/>
      <c r="C36" s="26">
        <f>IF(TRIM($B36)="","",IFERROR(INDEX(People!$A$2:$A$199,MATCH(TRIM($B36),People!$B$2:$B$199,0)),IFERROR(INDEX(Teams!$A$2:$A$9,MATCH(TRIM($B36),Teams!$B$2:$B$9,0)),"?? CHECK NAME")))</f>
        <v/>
      </c>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c r="AA36" s="36" t="n"/>
      <c r="AB36" s="36" t="n"/>
      <c r="AC36" s="36" t="n"/>
      <c r="AD36" s="36" t="n"/>
      <c r="AE36" s="36" t="n"/>
      <c r="AF36" s="36" t="n"/>
      <c r="AG36" s="36" t="n"/>
      <c r="AH36" s="36" t="n"/>
      <c r="AI36" s="36" t="n"/>
      <c r="AJ36" s="36" t="n"/>
      <c r="AK36" s="36" t="n"/>
      <c r="AL36" s="36" t="n"/>
      <c r="AM36" s="36" t="n"/>
      <c r="AN36" s="36" t="n"/>
      <c r="AO36" s="36" t="n"/>
      <c r="AP36" s="36" t="n"/>
      <c r="AQ36" s="36" t="n"/>
      <c r="AR36" s="36" t="n"/>
      <c r="AS36" s="36" t="n"/>
      <c r="AT36" s="36" t="n"/>
      <c r="AU36" s="36" t="n"/>
      <c r="AV36" s="36" t="n"/>
      <c r="AW36" s="36" t="n"/>
      <c r="AX36" s="36" t="n"/>
      <c r="AY36" s="36" t="n"/>
      <c r="AZ36" s="36" t="n"/>
      <c r="BA36" s="36" t="n"/>
      <c r="BB36" s="36" t="n"/>
      <c r="BC36" s="36" t="n"/>
      <c r="BD36" s="36" t="n"/>
      <c r="BE36" s="36" t="n"/>
      <c r="BF36" s="36" t="n"/>
      <c r="BG36" s="36" t="n"/>
      <c r="BH36" s="36" t="n"/>
      <c r="BI36" s="36" t="n"/>
      <c r="BJ36" s="36" t="n"/>
      <c r="BK36" s="36" t="n"/>
      <c r="BL36" s="36" t="n"/>
      <c r="BM36" s="36" t="n"/>
      <c r="BN36" s="36" t="n"/>
      <c r="BO36" s="36" t="n"/>
      <c r="BP36" s="36" t="n"/>
      <c r="BQ36" s="36" t="n"/>
      <c r="BR36" s="36" t="n"/>
      <c r="BS36" s="36" t="n"/>
      <c r="BT36" s="36" t="n"/>
      <c r="BU36" s="36" t="n"/>
      <c r="BV36" s="36" t="n"/>
      <c r="BW36" s="36" t="n"/>
      <c r="BX36" s="36" t="n"/>
      <c r="BY36" s="36" t="n"/>
      <c r="BZ36" s="36" t="n"/>
      <c r="CA36" s="36" t="n"/>
      <c r="CB36" s="36" t="n"/>
      <c r="CC36" s="36" t="n"/>
      <c r="CD36" s="36" t="n"/>
      <c r="CE36" s="36" t="n"/>
    </row>
    <row r="37" ht="34" customHeight="1">
      <c r="A37" s="37" t="n"/>
      <c r="B37" s="35" t="inlineStr"/>
      <c r="C37" s="26">
        <f>IF(TRIM($B37)="","",IFERROR(INDEX(People!$A$2:$A$199,MATCH(TRIM($B37),People!$B$2:$B$199,0)),IFERROR(INDEX(Teams!$A$2:$A$9,MATCH(TRIM($B37),Teams!$B$2:$B$9,0)),"?? CHECK NAME")))</f>
        <v/>
      </c>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c r="AE37" s="36" t="n"/>
      <c r="AF37" s="36" t="n"/>
      <c r="AG37" s="36" t="n"/>
      <c r="AH37" s="36" t="n"/>
      <c r="AI37" s="36" t="n"/>
      <c r="AJ37" s="36" t="n"/>
      <c r="AK37" s="36" t="n"/>
      <c r="AL37" s="36" t="n"/>
      <c r="AM37" s="36" t="n"/>
      <c r="AN37" s="36" t="n"/>
      <c r="AO37" s="36" t="n"/>
      <c r="AP37" s="36" t="n"/>
      <c r="AQ37" s="36" t="n"/>
      <c r="AR37" s="36" t="n"/>
      <c r="AS37" s="36" t="n"/>
      <c r="AT37" s="36" t="n"/>
      <c r="AU37" s="36" t="n"/>
      <c r="AV37" s="36" t="n"/>
      <c r="AW37" s="36" t="n"/>
      <c r="AX37" s="36" t="n"/>
      <c r="AY37" s="36" t="n"/>
      <c r="AZ37" s="36" t="n"/>
      <c r="BA37" s="36" t="n"/>
      <c r="BB37" s="36" t="n"/>
      <c r="BC37" s="36" t="n"/>
      <c r="BD37" s="36" t="n"/>
      <c r="BE37" s="36" t="n"/>
      <c r="BF37" s="36" t="n"/>
      <c r="BG37" s="36" t="n"/>
      <c r="BH37" s="36" t="n"/>
      <c r="BI37" s="36" t="n"/>
      <c r="BJ37" s="36" t="n"/>
      <c r="BK37" s="36" t="n"/>
      <c r="BL37" s="36" t="n"/>
      <c r="BM37" s="36" t="n"/>
      <c r="BN37" s="36" t="n"/>
      <c r="BO37" s="36" t="n"/>
      <c r="BP37" s="36" t="n"/>
      <c r="BQ37" s="36" t="n"/>
      <c r="BR37" s="36" t="n"/>
      <c r="BS37" s="36" t="n"/>
      <c r="BT37" s="36" t="n"/>
      <c r="BU37" s="36" t="n"/>
      <c r="BV37" s="36" t="n"/>
      <c r="BW37" s="36" t="n"/>
      <c r="BX37" s="36" t="n"/>
      <c r="BY37" s="36" t="n"/>
      <c r="BZ37" s="36" t="n"/>
      <c r="CA37" s="36" t="n"/>
      <c r="CB37" s="36" t="n"/>
      <c r="CC37" s="36" t="n"/>
      <c r="CD37" s="36" t="n"/>
      <c r="CE37" s="36" t="n"/>
    </row>
    <row r="38" ht="34" customHeight="1">
      <c r="A38" s="38" t="n"/>
      <c r="B38" s="35" t="inlineStr"/>
      <c r="C38" s="26">
        <f>IF(TRIM($B38)="","",IFERROR(INDEX(People!$A$2:$A$199,MATCH(TRIM($B38),People!$B$2:$B$199,0)),IFERROR(INDEX(Teams!$A$2:$A$9,MATCH(TRIM($B38),Teams!$B$2:$B$9,0)),"?? CHECK NAME")))</f>
        <v/>
      </c>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c r="AA38" s="36" t="n"/>
      <c r="AB38" s="36" t="n"/>
      <c r="AC38" s="36" t="n"/>
      <c r="AD38" s="36" t="n"/>
      <c r="AE38" s="36" t="n"/>
      <c r="AF38" s="36" t="n"/>
      <c r="AG38" s="36" t="n"/>
      <c r="AH38" s="36" t="n"/>
      <c r="AI38" s="36" t="n"/>
      <c r="AJ38" s="36" t="n"/>
      <c r="AK38" s="36" t="n"/>
      <c r="AL38" s="36" t="n"/>
      <c r="AM38" s="36" t="n"/>
      <c r="AN38" s="36" t="n"/>
      <c r="AO38" s="36" t="n"/>
      <c r="AP38" s="36" t="n"/>
      <c r="AQ38" s="36" t="n"/>
      <c r="AR38" s="36" t="n"/>
      <c r="AS38" s="36" t="n"/>
      <c r="AT38" s="36" t="n"/>
      <c r="AU38" s="36" t="n"/>
      <c r="AV38" s="36" t="n"/>
      <c r="AW38" s="36" t="n"/>
      <c r="AX38" s="36" t="n"/>
      <c r="AY38" s="36" t="n"/>
      <c r="AZ38" s="36" t="n"/>
      <c r="BA38" s="36" t="n"/>
      <c r="BB38" s="36" t="n"/>
      <c r="BC38" s="36" t="n"/>
      <c r="BD38" s="36" t="n"/>
      <c r="BE38" s="36" t="n"/>
      <c r="BF38" s="36" t="n"/>
      <c r="BG38" s="36" t="n"/>
      <c r="BH38" s="36" t="n"/>
      <c r="BI38" s="36" t="n"/>
      <c r="BJ38" s="36" t="n"/>
      <c r="BK38" s="36" t="n"/>
      <c r="BL38" s="36" t="n"/>
      <c r="BM38" s="36" t="n"/>
      <c r="BN38" s="36" t="n"/>
      <c r="BO38" s="36" t="n"/>
      <c r="BP38" s="36" t="n"/>
      <c r="BQ38" s="36" t="n"/>
      <c r="BR38" s="36" t="n"/>
      <c r="BS38" s="36" t="n"/>
      <c r="BT38" s="36" t="n"/>
      <c r="BU38" s="36" t="n"/>
      <c r="BV38" s="36" t="n"/>
      <c r="BW38" s="36" t="n"/>
      <c r="BX38" s="36" t="n"/>
      <c r="BY38" s="36" t="n"/>
      <c r="BZ38" s="36" t="n"/>
      <c r="CA38" s="36" t="n"/>
      <c r="CB38" s="36" t="n"/>
      <c r="CC38" s="36" t="n"/>
      <c r="CD38" s="36" t="n"/>
      <c r="CE38" s="36" t="n"/>
    </row>
    <row r="39" ht="34" customHeight="1">
      <c r="A39" s="16" t="inlineStr">
        <is>
          <t>PR</t>
        </is>
      </c>
      <c r="B39" s="35" t="inlineStr"/>
      <c r="C39" s="26">
        <f>IF(TRIM($B39)="","",IFERROR(INDEX(People!$A$2:$A$199,MATCH(TRIM($B39),People!$B$2:$B$199,0)),IFERROR(INDEX(Teams!$A$2:$A$9,MATCH(TRIM($B39),Teams!$B$2:$B$9,0)),"?? CHECK NAME")))</f>
        <v/>
      </c>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c r="AE39" s="36" t="n"/>
      <c r="AF39" s="36" t="n"/>
      <c r="AG39" s="36" t="n"/>
      <c r="AH39" s="36" t="n"/>
      <c r="AI39" s="36" t="n"/>
      <c r="AJ39" s="36" t="n"/>
      <c r="AK39" s="36" t="n"/>
      <c r="AL39" s="36" t="n"/>
      <c r="AM39" s="36" t="n"/>
      <c r="AN39" s="36" t="n"/>
      <c r="AO39" s="36" t="n"/>
      <c r="AP39" s="36" t="n"/>
      <c r="AQ39" s="36" t="n"/>
      <c r="AR39" s="36" t="n"/>
      <c r="AS39" s="36" t="n"/>
      <c r="AT39" s="36" t="n"/>
      <c r="AU39" s="36" t="n"/>
      <c r="AV39" s="36" t="n"/>
      <c r="AW39" s="36" t="n"/>
      <c r="AX39" s="36" t="n"/>
      <c r="AY39" s="36" t="n"/>
      <c r="AZ39" s="36" t="n"/>
      <c r="BA39" s="36" t="n"/>
      <c r="BB39" s="36" t="n"/>
      <c r="BC39" s="36" t="n"/>
      <c r="BD39" s="36" t="n"/>
      <c r="BE39" s="36" t="n"/>
      <c r="BF39" s="36" t="n"/>
      <c r="BG39" s="36" t="n"/>
      <c r="BH39" s="36" t="n"/>
      <c r="BI39" s="36" t="n"/>
      <c r="BJ39" s="36" t="n"/>
      <c r="BK39" s="36" t="n"/>
      <c r="BL39" s="36" t="n"/>
      <c r="BM39" s="36" t="n"/>
      <c r="BN39" s="36" t="n"/>
      <c r="BO39" s="36" t="n"/>
      <c r="BP39" s="36" t="n"/>
      <c r="BQ39" s="36" t="n"/>
      <c r="BR39" s="36" t="n"/>
      <c r="BS39" s="36" t="n"/>
      <c r="BT39" s="36" t="n"/>
      <c r="BU39" s="36" t="n"/>
      <c r="BV39" s="36" t="n"/>
      <c r="BW39" s="36" t="n"/>
      <c r="BX39" s="36" t="n"/>
      <c r="BY39" s="36" t="n"/>
      <c r="BZ39" s="36" t="n"/>
      <c r="CA39" s="36" t="n"/>
      <c r="CB39" s="36" t="n"/>
      <c r="CC39" s="36" t="n"/>
      <c r="CD39" s="36" t="n"/>
      <c r="CE39" s="36" t="n"/>
    </row>
    <row r="40" ht="34" customHeight="1">
      <c r="A40" s="37" t="n"/>
      <c r="B40" s="35" t="inlineStr"/>
      <c r="C40" s="26">
        <f>IF(TRIM($B40)="","",IFERROR(INDEX(People!$A$2:$A$199,MATCH(TRIM($B40),People!$B$2:$B$199,0)),IFERROR(INDEX(Teams!$A$2:$A$9,MATCH(TRIM($B40),Teams!$B$2:$B$9,0)),"?? CHECK NAME")))</f>
        <v/>
      </c>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c r="AC40" s="36" t="n"/>
      <c r="AD40" s="36" t="n"/>
      <c r="AE40" s="36" t="n"/>
      <c r="AF40" s="36" t="n"/>
      <c r="AG40" s="36" t="n"/>
      <c r="AH40" s="36" t="n"/>
      <c r="AI40" s="36" t="n"/>
      <c r="AJ40" s="36" t="n"/>
      <c r="AK40" s="36" t="n"/>
      <c r="AL40" s="36" t="n"/>
      <c r="AM40" s="36" t="n"/>
      <c r="AN40" s="36" t="n"/>
      <c r="AO40" s="36" t="n"/>
      <c r="AP40" s="36" t="n"/>
      <c r="AQ40" s="36" t="n"/>
      <c r="AR40" s="36" t="n"/>
      <c r="AS40" s="36" t="n"/>
      <c r="AT40" s="36" t="n"/>
      <c r="AU40" s="36" t="n"/>
      <c r="AV40" s="36" t="n"/>
      <c r="AW40" s="36" t="n"/>
      <c r="AX40" s="36" t="n"/>
      <c r="AY40" s="36" t="n"/>
      <c r="AZ40" s="36" t="n"/>
      <c r="BA40" s="36" t="n"/>
      <c r="BB40" s="36" t="n"/>
      <c r="BC40" s="36" t="n"/>
      <c r="BD40" s="36" t="n"/>
      <c r="BE40" s="36" t="n"/>
      <c r="BF40" s="36" t="n"/>
      <c r="BG40" s="36" t="n"/>
      <c r="BH40" s="36" t="n"/>
      <c r="BI40" s="36" t="n"/>
      <c r="BJ40" s="36" t="n"/>
      <c r="BK40" s="36" t="n"/>
      <c r="BL40" s="36" t="n"/>
      <c r="BM40" s="36" t="n"/>
      <c r="BN40" s="36" t="n"/>
      <c r="BO40" s="36" t="n"/>
      <c r="BP40" s="36" t="n"/>
      <c r="BQ40" s="36" t="n"/>
      <c r="BR40" s="36" t="n"/>
      <c r="BS40" s="36" t="n"/>
      <c r="BT40" s="36" t="n"/>
      <c r="BU40" s="36" t="n"/>
      <c r="BV40" s="36" t="n"/>
      <c r="BW40" s="36" t="n"/>
      <c r="BX40" s="36" t="n"/>
      <c r="BY40" s="36" t="n"/>
      <c r="BZ40" s="36" t="n"/>
      <c r="CA40" s="36" t="n"/>
      <c r="CB40" s="36" t="n"/>
      <c r="CC40" s="36" t="n"/>
      <c r="CD40" s="36" t="n"/>
      <c r="CE40" s="36" t="n"/>
    </row>
    <row r="41" ht="34" customHeight="1">
      <c r="A41" s="37" t="n"/>
      <c r="B41" s="35" t="inlineStr"/>
      <c r="C41" s="26">
        <f>IF(TRIM($B41)="","",IFERROR(INDEX(People!$A$2:$A$199,MATCH(TRIM($B41),People!$B$2:$B$199,0)),IFERROR(INDEX(Teams!$A$2:$A$9,MATCH(TRIM($B41),Teams!$B$2:$B$9,0)),"?? CHECK NAME")))</f>
        <v/>
      </c>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c r="AA41" s="36" t="n"/>
      <c r="AB41" s="36" t="n"/>
      <c r="AC41" s="36" t="n"/>
      <c r="AD41" s="36" t="n"/>
      <c r="AE41" s="36" t="n"/>
      <c r="AF41" s="36" t="n"/>
      <c r="AG41" s="36" t="n"/>
      <c r="AH41" s="36" t="n"/>
      <c r="AI41" s="36" t="n"/>
      <c r="AJ41" s="36" t="n"/>
      <c r="AK41" s="36" t="n"/>
      <c r="AL41" s="36" t="n"/>
      <c r="AM41" s="36" t="n"/>
      <c r="AN41" s="36" t="n"/>
      <c r="AO41" s="36" t="n"/>
      <c r="AP41" s="36" t="n"/>
      <c r="AQ41" s="36" t="n"/>
      <c r="AR41" s="36" t="n"/>
      <c r="AS41" s="36" t="n"/>
      <c r="AT41" s="36" t="n"/>
      <c r="AU41" s="36" t="n"/>
      <c r="AV41" s="36" t="n"/>
      <c r="AW41" s="36" t="n"/>
      <c r="AX41" s="36" t="n"/>
      <c r="AY41" s="36" t="n"/>
      <c r="AZ41" s="36" t="n"/>
      <c r="BA41" s="36" t="n"/>
      <c r="BB41" s="36" t="n"/>
      <c r="BC41" s="36" t="n"/>
      <c r="BD41" s="36" t="n"/>
      <c r="BE41" s="36" t="n"/>
      <c r="BF41" s="36" t="n"/>
      <c r="BG41" s="36" t="n"/>
      <c r="BH41" s="36" t="n"/>
      <c r="BI41" s="36" t="n"/>
      <c r="BJ41" s="36" t="n"/>
      <c r="BK41" s="36" t="n"/>
      <c r="BL41" s="36" t="n"/>
      <c r="BM41" s="36" t="n"/>
      <c r="BN41" s="36" t="n"/>
      <c r="BO41" s="36" t="n"/>
      <c r="BP41" s="36" t="n"/>
      <c r="BQ41" s="36" t="n"/>
      <c r="BR41" s="36" t="n"/>
      <c r="BS41" s="36" t="n"/>
      <c r="BT41" s="36" t="n"/>
      <c r="BU41" s="36" t="n"/>
      <c r="BV41" s="36" t="n"/>
      <c r="BW41" s="36" t="n"/>
      <c r="BX41" s="36" t="n"/>
      <c r="BY41" s="36" t="n"/>
      <c r="BZ41" s="36" t="n"/>
      <c r="CA41" s="36" t="n"/>
      <c r="CB41" s="36" t="n"/>
      <c r="CC41" s="36" t="n"/>
      <c r="CD41" s="36" t="n"/>
      <c r="CE41" s="36" t="n"/>
    </row>
    <row r="42" ht="34" customHeight="1">
      <c r="A42" s="37" t="n"/>
      <c r="B42" s="35" t="inlineStr"/>
      <c r="C42" s="26">
        <f>IF(TRIM($B42)="","",IFERROR(INDEX(People!$A$2:$A$199,MATCH(TRIM($B42),People!$B$2:$B$199,0)),IFERROR(INDEX(Teams!$A$2:$A$9,MATCH(TRIM($B42),Teams!$B$2:$B$9,0)),"?? CHECK NAME")))</f>
        <v/>
      </c>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c r="AA42" s="36" t="n"/>
      <c r="AB42" s="36" t="n"/>
      <c r="AC42" s="36" t="n"/>
      <c r="AD42" s="36" t="n"/>
      <c r="AE42" s="36" t="n"/>
      <c r="AF42" s="36" t="n"/>
      <c r="AG42" s="36" t="n"/>
      <c r="AH42" s="36" t="n"/>
      <c r="AI42" s="36" t="n"/>
      <c r="AJ42" s="36" t="n"/>
      <c r="AK42" s="36" t="n"/>
      <c r="AL42" s="36" t="n"/>
      <c r="AM42" s="36" t="n"/>
      <c r="AN42" s="36" t="n"/>
      <c r="AO42" s="36" t="n"/>
      <c r="AP42" s="36" t="n"/>
      <c r="AQ42" s="36" t="n"/>
      <c r="AR42" s="36" t="n"/>
      <c r="AS42" s="36" t="n"/>
      <c r="AT42" s="36" t="n"/>
      <c r="AU42" s="36" t="n"/>
      <c r="AV42" s="36" t="n"/>
      <c r="AW42" s="36" t="n"/>
      <c r="AX42" s="36" t="n"/>
      <c r="AY42" s="36" t="n"/>
      <c r="AZ42" s="36" t="n"/>
      <c r="BA42" s="36" t="n"/>
      <c r="BB42" s="36" t="n"/>
      <c r="BC42" s="36" t="n"/>
      <c r="BD42" s="36" t="n"/>
      <c r="BE42" s="36" t="n"/>
      <c r="BF42" s="36" t="n"/>
      <c r="BG42" s="36" t="n"/>
      <c r="BH42" s="36" t="n"/>
      <c r="BI42" s="36" t="n"/>
      <c r="BJ42" s="36" t="n"/>
      <c r="BK42" s="36" t="n"/>
      <c r="BL42" s="36" t="n"/>
      <c r="BM42" s="36" t="n"/>
      <c r="BN42" s="36" t="n"/>
      <c r="BO42" s="36" t="n"/>
      <c r="BP42" s="36" t="n"/>
      <c r="BQ42" s="36" t="n"/>
      <c r="BR42" s="36" t="n"/>
      <c r="BS42" s="36" t="n"/>
      <c r="BT42" s="36" t="n"/>
      <c r="BU42" s="36" t="n"/>
      <c r="BV42" s="36" t="n"/>
      <c r="BW42" s="36" t="n"/>
      <c r="BX42" s="36" t="n"/>
      <c r="BY42" s="36" t="n"/>
      <c r="BZ42" s="36" t="n"/>
      <c r="CA42" s="36" t="n"/>
      <c r="CB42" s="36" t="n"/>
      <c r="CC42" s="36" t="n"/>
      <c r="CD42" s="36" t="n"/>
      <c r="CE42" s="36" t="n"/>
    </row>
    <row r="43" ht="34" customHeight="1">
      <c r="A43" s="38" t="n"/>
      <c r="B43" s="35" t="inlineStr"/>
      <c r="C43" s="26">
        <f>IF(TRIM($B43)="","",IFERROR(INDEX(People!$A$2:$A$199,MATCH(TRIM($B43),People!$B$2:$B$199,0)),IFERROR(INDEX(Teams!$A$2:$A$9,MATCH(TRIM($B43),Teams!$B$2:$B$9,0)),"?? CHECK NAME")))</f>
        <v/>
      </c>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c r="AC43" s="36" t="n"/>
      <c r="AD43" s="36" t="n"/>
      <c r="AE43" s="36" t="n"/>
      <c r="AF43" s="36" t="n"/>
      <c r="AG43" s="36" t="n"/>
      <c r="AH43" s="36" t="n"/>
      <c r="AI43" s="36" t="n"/>
      <c r="AJ43" s="36" t="n"/>
      <c r="AK43" s="36" t="n"/>
      <c r="AL43" s="36" t="n"/>
      <c r="AM43" s="36" t="n"/>
      <c r="AN43" s="36" t="n"/>
      <c r="AO43" s="36" t="n"/>
      <c r="AP43" s="36" t="n"/>
      <c r="AQ43" s="36" t="n"/>
      <c r="AR43" s="36" t="n"/>
      <c r="AS43" s="36" t="n"/>
      <c r="AT43" s="36" t="n"/>
      <c r="AU43" s="36" t="n"/>
      <c r="AV43" s="36" t="n"/>
      <c r="AW43" s="36" t="n"/>
      <c r="AX43" s="36" t="n"/>
      <c r="AY43" s="36" t="n"/>
      <c r="AZ43" s="36" t="n"/>
      <c r="BA43" s="36" t="n"/>
      <c r="BB43" s="36" t="n"/>
      <c r="BC43" s="36" t="n"/>
      <c r="BD43" s="36" t="n"/>
      <c r="BE43" s="36" t="n"/>
      <c r="BF43" s="36" t="n"/>
      <c r="BG43" s="36" t="n"/>
      <c r="BH43" s="36" t="n"/>
      <c r="BI43" s="36" t="n"/>
      <c r="BJ43" s="36" t="n"/>
      <c r="BK43" s="36" t="n"/>
      <c r="BL43" s="36" t="n"/>
      <c r="BM43" s="36" t="n"/>
      <c r="BN43" s="36" t="n"/>
      <c r="BO43" s="36" t="n"/>
      <c r="BP43" s="36" t="n"/>
      <c r="BQ43" s="36" t="n"/>
      <c r="BR43" s="36" t="n"/>
      <c r="BS43" s="36" t="n"/>
      <c r="BT43" s="36" t="n"/>
      <c r="BU43" s="36" t="n"/>
      <c r="BV43" s="36" t="n"/>
      <c r="BW43" s="36" t="n"/>
      <c r="BX43" s="36" t="n"/>
      <c r="BY43" s="36" t="n"/>
      <c r="BZ43" s="36" t="n"/>
      <c r="CA43" s="36" t="n"/>
      <c r="CB43" s="36" t="n"/>
      <c r="CC43" s="36" t="n"/>
      <c r="CD43" s="36" t="n"/>
      <c r="CE43" s="36" t="n"/>
    </row>
    <row r="44" ht="34" customHeight="1">
      <c r="A44" s="16" t="inlineStr">
        <is>
          <t>External</t>
        </is>
      </c>
      <c r="B44" s="35" t="inlineStr"/>
      <c r="C44" s="26">
        <f>IF(TRIM($B44)="","",IFERROR(INDEX(People!$A$2:$A$199,MATCH(TRIM($B44),People!$B$2:$B$199,0)),IFERROR(INDEX(Teams!$A$2:$A$9,MATCH(TRIM($B44),Teams!$B$2:$B$9,0)),"?? CHECK NAME")))</f>
        <v/>
      </c>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c r="AA44" s="36" t="n"/>
      <c r="AB44" s="36" t="n"/>
      <c r="AC44" s="36" t="n"/>
      <c r="AD44" s="36" t="n"/>
      <c r="AE44" s="36" t="n"/>
      <c r="AF44" s="36" t="n"/>
      <c r="AG44" s="36" t="n"/>
      <c r="AH44" s="36" t="n"/>
      <c r="AI44" s="36" t="n"/>
      <c r="AJ44" s="36" t="n"/>
      <c r="AK44" s="36" t="n"/>
      <c r="AL44" s="36" t="n"/>
      <c r="AM44" s="36" t="n"/>
      <c r="AN44" s="36" t="n"/>
      <c r="AO44" s="36" t="n"/>
      <c r="AP44" s="36" t="n"/>
      <c r="AQ44" s="36" t="n"/>
      <c r="AR44" s="36" t="n"/>
      <c r="AS44" s="36" t="n"/>
      <c r="AT44" s="36" t="n"/>
      <c r="AU44" s="36" t="n"/>
      <c r="AV44" s="36" t="n"/>
      <c r="AW44" s="36" t="n"/>
      <c r="AX44" s="36" t="n"/>
      <c r="AY44" s="36" t="n"/>
      <c r="AZ44" s="36" t="n"/>
      <c r="BA44" s="36" t="n"/>
      <c r="BB44" s="36" t="n"/>
      <c r="BC44" s="36" t="n"/>
      <c r="BD44" s="36" t="n"/>
      <c r="BE44" s="36" t="n"/>
      <c r="BF44" s="36" t="n"/>
      <c r="BG44" s="36" t="n"/>
      <c r="BH44" s="36" t="n"/>
      <c r="BI44" s="36" t="n"/>
      <c r="BJ44" s="36" t="n"/>
      <c r="BK44" s="36" t="n"/>
      <c r="BL44" s="36" t="n"/>
      <c r="BM44" s="36" t="n"/>
      <c r="BN44" s="36" t="n"/>
      <c r="BO44" s="36" t="n"/>
      <c r="BP44" s="36" t="n"/>
      <c r="BQ44" s="36" t="n"/>
      <c r="BR44" s="36" t="n"/>
      <c r="BS44" s="36" t="n"/>
      <c r="BT44" s="36" t="n"/>
      <c r="BU44" s="36" t="n"/>
      <c r="BV44" s="36" t="n"/>
      <c r="BW44" s="36" t="n"/>
      <c r="BX44" s="36" t="n"/>
      <c r="BY44" s="36" t="n"/>
      <c r="BZ44" s="36" t="n"/>
      <c r="CA44" s="36" t="n"/>
      <c r="CB44" s="36" t="n"/>
      <c r="CC44" s="36" t="n"/>
      <c r="CD44" s="36" t="n"/>
      <c r="CE44" s="36" t="n"/>
    </row>
    <row r="45" ht="34" customHeight="1">
      <c r="A45" s="37" t="n"/>
      <c r="B45" s="35" t="inlineStr"/>
      <c r="C45" s="26">
        <f>IF(TRIM($B45)="","",IFERROR(INDEX(People!$A$2:$A$199,MATCH(TRIM($B45),People!$B$2:$B$199,0)),IFERROR(INDEX(Teams!$A$2:$A$9,MATCH(TRIM($B45),Teams!$B$2:$B$9,0)),"?? CHECK NAME")))</f>
        <v/>
      </c>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c r="AC45" s="36" t="n"/>
      <c r="AD45" s="36" t="n"/>
      <c r="AE45" s="36" t="n"/>
      <c r="AF45" s="36" t="n"/>
      <c r="AG45" s="36" t="n"/>
      <c r="AH45" s="36" t="n"/>
      <c r="AI45" s="36" t="n"/>
      <c r="AJ45" s="36" t="n"/>
      <c r="AK45" s="36" t="n"/>
      <c r="AL45" s="36" t="n"/>
      <c r="AM45" s="36" t="n"/>
      <c r="AN45" s="36" t="n"/>
      <c r="AO45" s="36" t="n"/>
      <c r="AP45" s="36" t="n"/>
      <c r="AQ45" s="36" t="n"/>
      <c r="AR45" s="36" t="n"/>
      <c r="AS45" s="36" t="n"/>
      <c r="AT45" s="36" t="n"/>
      <c r="AU45" s="36" t="n"/>
      <c r="AV45" s="36" t="n"/>
      <c r="AW45" s="36" t="n"/>
      <c r="AX45" s="36" t="n"/>
      <c r="AY45" s="36" t="n"/>
      <c r="AZ45" s="36" t="n"/>
      <c r="BA45" s="36" t="n"/>
      <c r="BB45" s="36" t="n"/>
      <c r="BC45" s="36" t="n"/>
      <c r="BD45" s="36" t="n"/>
      <c r="BE45" s="36" t="n"/>
      <c r="BF45" s="36" t="n"/>
      <c r="BG45" s="36" t="n"/>
      <c r="BH45" s="36" t="n"/>
      <c r="BI45" s="36" t="n"/>
      <c r="BJ45" s="36" t="n"/>
      <c r="BK45" s="36" t="n"/>
      <c r="BL45" s="36" t="n"/>
      <c r="BM45" s="36" t="n"/>
      <c r="BN45" s="36" t="n"/>
      <c r="BO45" s="36" t="n"/>
      <c r="BP45" s="36" t="n"/>
      <c r="BQ45" s="36" t="n"/>
      <c r="BR45" s="36" t="n"/>
      <c r="BS45" s="36" t="n"/>
      <c r="BT45" s="36" t="n"/>
      <c r="BU45" s="36" t="n"/>
      <c r="BV45" s="36" t="n"/>
      <c r="BW45" s="36" t="n"/>
      <c r="BX45" s="36" t="n"/>
      <c r="BY45" s="36" t="n"/>
      <c r="BZ45" s="36" t="n"/>
      <c r="CA45" s="36" t="n"/>
      <c r="CB45" s="36" t="n"/>
      <c r="CC45" s="36" t="n"/>
      <c r="CD45" s="36" t="n"/>
      <c r="CE45" s="36" t="n"/>
    </row>
    <row r="46" ht="34" customHeight="1">
      <c r="A46" s="37" t="n"/>
      <c r="B46" s="35" t="inlineStr"/>
      <c r="C46" s="26">
        <f>IF(TRIM($B46)="","",IFERROR(INDEX(People!$A$2:$A$199,MATCH(TRIM($B46),People!$B$2:$B$199,0)),IFERROR(INDEX(Teams!$A$2:$A$9,MATCH(TRIM($B46),Teams!$B$2:$B$9,0)),"?? CHECK NAME")))</f>
        <v/>
      </c>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c r="AA46" s="36" t="n"/>
      <c r="AB46" s="36" t="n"/>
      <c r="AC46" s="36" t="n"/>
      <c r="AD46" s="36" t="n"/>
      <c r="AE46" s="36" t="n"/>
      <c r="AF46" s="36" t="n"/>
      <c r="AG46" s="36" t="n"/>
      <c r="AH46" s="36" t="n"/>
      <c r="AI46" s="36" t="n"/>
      <c r="AJ46" s="36" t="n"/>
      <c r="AK46" s="36" t="n"/>
      <c r="AL46" s="36" t="n"/>
      <c r="AM46" s="36" t="n"/>
      <c r="AN46" s="36" t="n"/>
      <c r="AO46" s="36" t="n"/>
      <c r="AP46" s="36" t="n"/>
      <c r="AQ46" s="36" t="n"/>
      <c r="AR46" s="36" t="n"/>
      <c r="AS46" s="36" t="n"/>
      <c r="AT46" s="36" t="n"/>
      <c r="AU46" s="36" t="n"/>
      <c r="AV46" s="36" t="n"/>
      <c r="AW46" s="36" t="n"/>
      <c r="AX46" s="36" t="n"/>
      <c r="AY46" s="36" t="n"/>
      <c r="AZ46" s="36" t="n"/>
      <c r="BA46" s="36" t="n"/>
      <c r="BB46" s="36" t="n"/>
      <c r="BC46" s="36" t="n"/>
      <c r="BD46" s="36" t="n"/>
      <c r="BE46" s="36" t="n"/>
      <c r="BF46" s="36" t="n"/>
      <c r="BG46" s="36" t="n"/>
      <c r="BH46" s="36" t="n"/>
      <c r="BI46" s="36" t="n"/>
      <c r="BJ46" s="36" t="n"/>
      <c r="BK46" s="36" t="n"/>
      <c r="BL46" s="36" t="n"/>
      <c r="BM46" s="36" t="n"/>
      <c r="BN46" s="36" t="n"/>
      <c r="BO46" s="36" t="n"/>
      <c r="BP46" s="36" t="n"/>
      <c r="BQ46" s="36" t="n"/>
      <c r="BR46" s="36" t="n"/>
      <c r="BS46" s="36" t="n"/>
      <c r="BT46" s="36" t="n"/>
      <c r="BU46" s="36" t="n"/>
      <c r="BV46" s="36" t="n"/>
      <c r="BW46" s="36" t="n"/>
      <c r="BX46" s="36" t="n"/>
      <c r="BY46" s="36" t="n"/>
      <c r="BZ46" s="36" t="n"/>
      <c r="CA46" s="36" t="n"/>
      <c r="CB46" s="36" t="n"/>
      <c r="CC46" s="36" t="n"/>
      <c r="CD46" s="36" t="n"/>
      <c r="CE46" s="36" t="n"/>
    </row>
    <row r="47" ht="34" customHeight="1">
      <c r="A47" s="37" t="n"/>
      <c r="B47" s="35" t="inlineStr"/>
      <c r="C47" s="26">
        <f>IF(TRIM($B47)="","",IFERROR(INDEX(People!$A$2:$A$199,MATCH(TRIM($B47),People!$B$2:$B$199,0)),IFERROR(INDEX(Teams!$A$2:$A$9,MATCH(TRIM($B47),Teams!$B$2:$B$9,0)),"?? CHECK NAME")))</f>
        <v/>
      </c>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c r="AF47" s="36" t="n"/>
      <c r="AG47" s="36" t="n"/>
      <c r="AH47" s="36" t="n"/>
      <c r="AI47" s="36" t="n"/>
      <c r="AJ47" s="36" t="n"/>
      <c r="AK47" s="36" t="n"/>
      <c r="AL47" s="36" t="n"/>
      <c r="AM47" s="36" t="n"/>
      <c r="AN47" s="36" t="n"/>
      <c r="AO47" s="36" t="n"/>
      <c r="AP47" s="36" t="n"/>
      <c r="AQ47" s="36" t="n"/>
      <c r="AR47" s="36" t="n"/>
      <c r="AS47" s="36" t="n"/>
      <c r="AT47" s="36" t="n"/>
      <c r="AU47" s="36" t="n"/>
      <c r="AV47" s="36" t="n"/>
      <c r="AW47" s="36" t="n"/>
      <c r="AX47" s="36" t="n"/>
      <c r="AY47" s="36" t="n"/>
      <c r="AZ47" s="36" t="n"/>
      <c r="BA47" s="36" t="n"/>
      <c r="BB47" s="36" t="n"/>
      <c r="BC47" s="36" t="n"/>
      <c r="BD47" s="36" t="n"/>
      <c r="BE47" s="36" t="n"/>
      <c r="BF47" s="36" t="n"/>
      <c r="BG47" s="36" t="n"/>
      <c r="BH47" s="36" t="n"/>
      <c r="BI47" s="36" t="n"/>
      <c r="BJ47" s="36" t="n"/>
      <c r="BK47" s="36" t="n"/>
      <c r="BL47" s="36" t="n"/>
      <c r="BM47" s="36" t="n"/>
      <c r="BN47" s="36" t="n"/>
      <c r="BO47" s="36" t="n"/>
      <c r="BP47" s="36" t="n"/>
      <c r="BQ47" s="36" t="n"/>
      <c r="BR47" s="36" t="n"/>
      <c r="BS47" s="36" t="n"/>
      <c r="BT47" s="36" t="n"/>
      <c r="BU47" s="36" t="n"/>
      <c r="BV47" s="36" t="n"/>
      <c r="BW47" s="36" t="n"/>
      <c r="BX47" s="36" t="n"/>
      <c r="BY47" s="36" t="n"/>
      <c r="BZ47" s="36" t="n"/>
      <c r="CA47" s="36" t="n"/>
      <c r="CB47" s="36" t="n"/>
      <c r="CC47" s="36" t="n"/>
      <c r="CD47" s="36" t="n"/>
      <c r="CE47" s="36" t="n"/>
    </row>
    <row r="48" ht="34" customHeight="1">
      <c r="A48" s="38" t="n"/>
      <c r="B48" s="35" t="inlineStr"/>
      <c r="C48" s="26">
        <f>IF(TRIM($B48)="","",IFERROR(INDEX(People!$A$2:$A$199,MATCH(TRIM($B48),People!$B$2:$B$199,0)),IFERROR(INDEX(Teams!$A$2:$A$9,MATCH(TRIM($B48),Teams!$B$2:$B$9,0)),"?? CHECK NAME")))</f>
        <v/>
      </c>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c r="AF48" s="36" t="n"/>
      <c r="AG48" s="36" t="n"/>
      <c r="AH48" s="36" t="n"/>
      <c r="AI48" s="36" t="n"/>
      <c r="AJ48" s="36" t="n"/>
      <c r="AK48" s="36" t="n"/>
      <c r="AL48" s="36" t="n"/>
      <c r="AM48" s="36" t="n"/>
      <c r="AN48" s="36" t="n"/>
      <c r="AO48" s="36" t="n"/>
      <c r="AP48" s="36" t="n"/>
      <c r="AQ48" s="36" t="n"/>
      <c r="AR48" s="36" t="n"/>
      <c r="AS48" s="36" t="n"/>
      <c r="AT48" s="36" t="n"/>
      <c r="AU48" s="36" t="n"/>
      <c r="AV48" s="36" t="n"/>
      <c r="AW48" s="36" t="n"/>
      <c r="AX48" s="36" t="n"/>
      <c r="AY48" s="36" t="n"/>
      <c r="AZ48" s="36" t="n"/>
      <c r="BA48" s="36" t="n"/>
      <c r="BB48" s="36" t="n"/>
      <c r="BC48" s="36" t="n"/>
      <c r="BD48" s="36" t="n"/>
      <c r="BE48" s="36" t="n"/>
      <c r="BF48" s="36" t="n"/>
      <c r="BG48" s="36" t="n"/>
      <c r="BH48" s="36" t="n"/>
      <c r="BI48" s="36" t="n"/>
      <c r="BJ48" s="36" t="n"/>
      <c r="BK48" s="36" t="n"/>
      <c r="BL48" s="36" t="n"/>
      <c r="BM48" s="36" t="n"/>
      <c r="BN48" s="36" t="n"/>
      <c r="BO48" s="36" t="n"/>
      <c r="BP48" s="36" t="n"/>
      <c r="BQ48" s="36" t="n"/>
      <c r="BR48" s="36" t="n"/>
      <c r="BS48" s="36" t="n"/>
      <c r="BT48" s="36" t="n"/>
      <c r="BU48" s="36" t="n"/>
      <c r="BV48" s="36" t="n"/>
      <c r="BW48" s="36" t="n"/>
      <c r="BX48" s="36" t="n"/>
      <c r="BY48" s="36" t="n"/>
      <c r="BZ48" s="36" t="n"/>
      <c r="CA48" s="36" t="n"/>
      <c r="CB48" s="36" t="n"/>
      <c r="CC48" s="36" t="n"/>
      <c r="CD48" s="36" t="n"/>
      <c r="CE48" s="36" t="n"/>
    </row>
    <row r="49" ht="34" customHeight="1">
      <c r="A49" s="16" t="inlineStr">
        <is>
          <t>Judging</t>
        </is>
      </c>
      <c r="B49" s="35" t="inlineStr"/>
      <c r="C49" s="26">
        <f>IF(TRIM($B49)="","",IFERROR(INDEX(People!$A$2:$A$199,MATCH(TRIM($B49),People!$B$2:$B$199,0)),IFERROR(INDEX(Teams!$A$2:$A$9,MATCH(TRIM($B49),Teams!$B$2:$B$9,0)),"?? CHECK NAME")))</f>
        <v/>
      </c>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c r="BL49" s="36" t="n"/>
      <c r="BM49" s="36" t="n"/>
      <c r="BN49" s="36" t="n"/>
      <c r="BO49" s="36" t="n"/>
      <c r="BP49" s="36" t="n"/>
      <c r="BQ49" s="36" t="n"/>
      <c r="BR49" s="36" t="n"/>
      <c r="BS49" s="36" t="n"/>
      <c r="BT49" s="36" t="n"/>
      <c r="BU49" s="36" t="n"/>
      <c r="BV49" s="36" t="n"/>
      <c r="BW49" s="36" t="n"/>
      <c r="BX49" s="36" t="n"/>
      <c r="BY49" s="36" t="n"/>
      <c r="BZ49" s="36" t="n"/>
      <c r="CA49" s="36" t="n"/>
      <c r="CB49" s="36" t="n"/>
      <c r="CC49" s="36" t="n"/>
      <c r="CD49" s="36" t="n"/>
      <c r="CE49" s="36" t="n"/>
    </row>
    <row r="50" ht="34" customHeight="1">
      <c r="A50" s="37" t="n"/>
      <c r="B50" s="35" t="inlineStr"/>
      <c r="C50" s="26">
        <f>IF(TRIM($B50)="","",IFERROR(INDEX(People!$A$2:$A$199,MATCH(TRIM($B50),People!$B$2:$B$199,0)),IFERROR(INDEX(Teams!$A$2:$A$9,MATCH(TRIM($B50),Teams!$B$2:$B$9,0)),"?? CHECK NAME")))</f>
        <v/>
      </c>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c r="AF50" s="36" t="n"/>
      <c r="AG50" s="36" t="n"/>
      <c r="AH50" s="36" t="n"/>
      <c r="AI50" s="36" t="n"/>
      <c r="AJ50" s="36" t="n"/>
      <c r="AK50" s="36" t="n"/>
      <c r="AL50" s="36" t="n"/>
      <c r="AM50" s="36" t="n"/>
      <c r="AN50" s="36" t="n"/>
      <c r="AO50" s="36" t="n"/>
      <c r="AP50" s="36" t="n"/>
      <c r="AQ50" s="36" t="n"/>
      <c r="AR50" s="36" t="n"/>
      <c r="AS50" s="36" t="n"/>
      <c r="AT50" s="36" t="n"/>
      <c r="AU50" s="36" t="n"/>
      <c r="AV50" s="36" t="n"/>
      <c r="AW50" s="36" t="n"/>
      <c r="AX50" s="36" t="n"/>
      <c r="AY50" s="36" t="n"/>
      <c r="AZ50" s="36" t="n"/>
      <c r="BA50" s="36" t="n"/>
      <c r="BB50" s="36" t="n"/>
      <c r="BC50" s="36" t="n"/>
      <c r="BD50" s="36" t="n"/>
      <c r="BE50" s="36" t="n"/>
      <c r="BF50" s="36" t="n"/>
      <c r="BG50" s="36" t="n"/>
      <c r="BH50" s="36" t="n"/>
      <c r="BI50" s="36" t="n"/>
      <c r="BJ50" s="36" t="n"/>
      <c r="BK50" s="36" t="n"/>
      <c r="BL50" s="36" t="n"/>
      <c r="BM50" s="36" t="n"/>
      <c r="BN50" s="36" t="n"/>
      <c r="BO50" s="36" t="n"/>
      <c r="BP50" s="36" t="n"/>
      <c r="BQ50" s="36" t="n"/>
      <c r="BR50" s="36" t="n"/>
      <c r="BS50" s="36" t="n"/>
      <c r="BT50" s="36" t="n"/>
      <c r="BU50" s="36" t="n"/>
      <c r="BV50" s="36" t="n"/>
      <c r="BW50" s="36" t="n"/>
      <c r="BX50" s="36" t="n"/>
      <c r="BY50" s="36" t="n"/>
      <c r="BZ50" s="36" t="n"/>
      <c r="CA50" s="36" t="n"/>
      <c r="CB50" s="36" t="n"/>
      <c r="CC50" s="36" t="n"/>
      <c r="CD50" s="36" t="n"/>
      <c r="CE50" s="36" t="n"/>
    </row>
    <row r="51" ht="34" customHeight="1">
      <c r="A51" s="37" t="n"/>
      <c r="B51" s="35" t="inlineStr"/>
      <c r="C51" s="26">
        <f>IF(TRIM($B51)="","",IFERROR(INDEX(People!$A$2:$A$199,MATCH(TRIM($B51),People!$B$2:$B$199,0)),IFERROR(INDEX(Teams!$A$2:$A$9,MATCH(TRIM($B51),Teams!$B$2:$B$9,0)),"?? CHECK NAME")))</f>
        <v/>
      </c>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6" t="n"/>
      <c r="AL51" s="36" t="n"/>
      <c r="AM51" s="36" t="n"/>
      <c r="AN51" s="36" t="n"/>
      <c r="AO51" s="36" t="n"/>
      <c r="AP51" s="36" t="n"/>
      <c r="AQ51" s="36" t="n"/>
      <c r="AR51" s="36" t="n"/>
      <c r="AS51" s="36" t="n"/>
      <c r="AT51" s="36" t="n"/>
      <c r="AU51" s="36" t="n"/>
      <c r="AV51" s="36" t="n"/>
      <c r="AW51" s="36" t="n"/>
      <c r="AX51" s="36" t="n"/>
      <c r="AY51" s="36" t="n"/>
      <c r="AZ51" s="36" t="n"/>
      <c r="BA51" s="36" t="n"/>
      <c r="BB51" s="36" t="n"/>
      <c r="BC51" s="36" t="n"/>
      <c r="BD51" s="36" t="n"/>
      <c r="BE51" s="36" t="n"/>
      <c r="BF51" s="36" t="n"/>
      <c r="BG51" s="36" t="n"/>
      <c r="BH51" s="36" t="n"/>
      <c r="BI51" s="36" t="n"/>
      <c r="BJ51" s="36" t="n"/>
      <c r="BK51" s="36" t="n"/>
      <c r="BL51" s="36" t="n"/>
      <c r="BM51" s="36" t="n"/>
      <c r="BN51" s="36" t="n"/>
      <c r="BO51" s="36" t="n"/>
      <c r="BP51" s="36" t="n"/>
      <c r="BQ51" s="36" t="n"/>
      <c r="BR51" s="36" t="n"/>
      <c r="BS51" s="36" t="n"/>
      <c r="BT51" s="36" t="n"/>
      <c r="BU51" s="36" t="n"/>
      <c r="BV51" s="36" t="n"/>
      <c r="BW51" s="36" t="n"/>
      <c r="BX51" s="36" t="n"/>
      <c r="BY51" s="36" t="n"/>
      <c r="BZ51" s="36" t="n"/>
      <c r="CA51" s="36" t="n"/>
      <c r="CB51" s="36" t="n"/>
      <c r="CC51" s="36" t="n"/>
      <c r="CD51" s="36" t="n"/>
      <c r="CE51" s="36" t="n"/>
    </row>
    <row r="52" ht="34" customHeight="1">
      <c r="A52" s="37" t="n"/>
      <c r="B52" s="35" t="inlineStr"/>
      <c r="C52" s="26">
        <f>IF(TRIM($B52)="","",IFERROR(INDEX(People!$A$2:$A$199,MATCH(TRIM($B52),People!$B$2:$B$199,0)),IFERROR(INDEX(Teams!$A$2:$A$9,MATCH(TRIM($B52),Teams!$B$2:$B$9,0)),"?? CHECK NAME")))</f>
        <v/>
      </c>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c r="AF52" s="36" t="n"/>
      <c r="AG52" s="36" t="n"/>
      <c r="AH52" s="36" t="n"/>
      <c r="AI52" s="36" t="n"/>
      <c r="AJ52" s="36" t="n"/>
      <c r="AK52" s="36" t="n"/>
      <c r="AL52" s="36" t="n"/>
      <c r="AM52" s="36" t="n"/>
      <c r="AN52" s="36" t="n"/>
      <c r="AO52" s="36" t="n"/>
      <c r="AP52" s="36" t="n"/>
      <c r="AQ52" s="36" t="n"/>
      <c r="AR52" s="36" t="n"/>
      <c r="AS52" s="36" t="n"/>
      <c r="AT52" s="36" t="n"/>
      <c r="AU52" s="36" t="n"/>
      <c r="AV52" s="36" t="n"/>
      <c r="AW52" s="36" t="n"/>
      <c r="AX52" s="36" t="n"/>
      <c r="AY52" s="36" t="n"/>
      <c r="AZ52" s="36" t="n"/>
      <c r="BA52" s="36" t="n"/>
      <c r="BB52" s="36" t="n"/>
      <c r="BC52" s="36" t="n"/>
      <c r="BD52" s="36" t="n"/>
      <c r="BE52" s="36" t="n"/>
      <c r="BF52" s="36" t="n"/>
      <c r="BG52" s="36" t="n"/>
      <c r="BH52" s="36" t="n"/>
      <c r="BI52" s="36" t="n"/>
      <c r="BJ52" s="36" t="n"/>
      <c r="BK52" s="36" t="n"/>
      <c r="BL52" s="36" t="n"/>
      <c r="BM52" s="36" t="n"/>
      <c r="BN52" s="36" t="n"/>
      <c r="BO52" s="36" t="n"/>
      <c r="BP52" s="36" t="n"/>
      <c r="BQ52" s="36" t="n"/>
      <c r="BR52" s="36" t="n"/>
      <c r="BS52" s="36" t="n"/>
      <c r="BT52" s="36" t="n"/>
      <c r="BU52" s="36" t="n"/>
      <c r="BV52" s="36" t="n"/>
      <c r="BW52" s="36" t="n"/>
      <c r="BX52" s="36" t="n"/>
      <c r="BY52" s="36" t="n"/>
      <c r="BZ52" s="36" t="n"/>
      <c r="CA52" s="36" t="n"/>
      <c r="CB52" s="36" t="n"/>
      <c r="CC52" s="36" t="n"/>
      <c r="CD52" s="36" t="n"/>
      <c r="CE52" s="36" t="n"/>
    </row>
    <row r="53" ht="34" customHeight="1">
      <c r="A53" s="38" t="n"/>
      <c r="B53" s="35" t="inlineStr"/>
      <c r="C53" s="26">
        <f>IF(TRIM($B53)="","",IFERROR(INDEX(People!$A$2:$A$199,MATCH(TRIM($B53),People!$B$2:$B$199,0)),IFERROR(INDEX(Teams!$A$2:$A$9,MATCH(TRIM($B53),Teams!$B$2:$B$9,0)),"?? CHECK NAME")))</f>
        <v/>
      </c>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c r="AF53" s="36" t="n"/>
      <c r="AG53" s="36" t="n"/>
      <c r="AH53" s="36" t="n"/>
      <c r="AI53" s="36" t="n"/>
      <c r="AJ53" s="36" t="n"/>
      <c r="AK53" s="36" t="n"/>
      <c r="AL53" s="36" t="n"/>
      <c r="AM53" s="36" t="n"/>
      <c r="AN53" s="36" t="n"/>
      <c r="AO53" s="36" t="n"/>
      <c r="AP53" s="36" t="n"/>
      <c r="AQ53" s="36" t="n"/>
      <c r="AR53" s="36" t="n"/>
      <c r="AS53" s="36" t="n"/>
      <c r="AT53" s="36" t="n"/>
      <c r="AU53" s="36" t="n"/>
      <c r="AV53" s="36" t="n"/>
      <c r="AW53" s="36" t="n"/>
      <c r="AX53" s="36" t="n"/>
      <c r="AY53" s="36" t="n"/>
      <c r="AZ53" s="36" t="n"/>
      <c r="BA53" s="36" t="n"/>
      <c r="BB53" s="36" t="n"/>
      <c r="BC53" s="36" t="n"/>
      <c r="BD53" s="36" t="n"/>
      <c r="BE53" s="36" t="n"/>
      <c r="BF53" s="36" t="n"/>
      <c r="BG53" s="36" t="n"/>
      <c r="BH53" s="36" t="n"/>
      <c r="BI53" s="36" t="n"/>
      <c r="BJ53" s="36" t="n"/>
      <c r="BK53" s="36" t="n"/>
      <c r="BL53" s="36" t="n"/>
      <c r="BM53" s="36" t="n"/>
      <c r="BN53" s="36" t="n"/>
      <c r="BO53" s="36" t="n"/>
      <c r="BP53" s="36" t="n"/>
      <c r="BQ53" s="36" t="n"/>
      <c r="BR53" s="36" t="n"/>
      <c r="BS53" s="36" t="n"/>
      <c r="BT53" s="36" t="n"/>
      <c r="BU53" s="36" t="n"/>
      <c r="BV53" s="36" t="n"/>
      <c r="BW53" s="36" t="n"/>
      <c r="BX53" s="36" t="n"/>
      <c r="BY53" s="36" t="n"/>
      <c r="BZ53" s="36" t="n"/>
      <c r="CA53" s="36" t="n"/>
      <c r="CB53" s="36" t="n"/>
      <c r="CC53" s="36" t="n"/>
      <c r="CD53" s="36" t="n"/>
      <c r="CE53" s="36" t="n"/>
    </row>
    <row r="54" ht="34" customHeight="1">
      <c r="A54" s="16" t="inlineStr">
        <is>
          <t>Fundraising</t>
        </is>
      </c>
      <c r="B54" s="35" t="inlineStr"/>
      <c r="C54" s="26">
        <f>IF(TRIM($B54)="","",IFERROR(INDEX(People!$A$2:$A$199,MATCH(TRIM($B54),People!$B$2:$B$199,0)),IFERROR(INDEX(Teams!$A$2:$A$9,MATCH(TRIM($B54),Teams!$B$2:$B$9,0)),"?? CHECK NAME")))</f>
        <v/>
      </c>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c r="AF54" s="36" t="n"/>
      <c r="AG54" s="36" t="n"/>
      <c r="AH54" s="36" t="n"/>
      <c r="AI54" s="36" t="n"/>
      <c r="AJ54" s="36" t="n"/>
      <c r="AK54" s="36" t="n"/>
      <c r="AL54" s="36" t="n"/>
      <c r="AM54" s="36" t="n"/>
      <c r="AN54" s="36" t="n"/>
      <c r="AO54" s="36" t="n"/>
      <c r="AP54" s="36" t="n"/>
      <c r="AQ54" s="36" t="n"/>
      <c r="AR54" s="36" t="n"/>
      <c r="AS54" s="36" t="n"/>
      <c r="AT54" s="36" t="n"/>
      <c r="AU54" s="36" t="n"/>
      <c r="AV54" s="36" t="n"/>
      <c r="AW54" s="36" t="n"/>
      <c r="AX54" s="36" t="n"/>
      <c r="AY54" s="36" t="n"/>
      <c r="AZ54" s="36" t="n"/>
      <c r="BA54" s="36" t="n"/>
      <c r="BB54" s="36" t="n"/>
      <c r="BC54" s="36" t="n"/>
      <c r="BD54" s="36" t="n"/>
      <c r="BE54" s="36" t="n"/>
      <c r="BF54" s="36" t="n"/>
      <c r="BG54" s="36" t="n"/>
      <c r="BH54" s="36" t="n"/>
      <c r="BI54" s="36" t="n"/>
      <c r="BJ54" s="36" t="n"/>
      <c r="BK54" s="36" t="n"/>
      <c r="BL54" s="36" t="n"/>
      <c r="BM54" s="36" t="n"/>
      <c r="BN54" s="36" t="n"/>
      <c r="BO54" s="36" t="n"/>
      <c r="BP54" s="36" t="n"/>
      <c r="BQ54" s="36" t="n"/>
      <c r="BR54" s="36" t="n"/>
      <c r="BS54" s="36" t="n"/>
      <c r="BT54" s="36" t="n"/>
      <c r="BU54" s="36" t="n"/>
      <c r="BV54" s="36" t="n"/>
      <c r="BW54" s="36" t="n"/>
      <c r="BX54" s="36" t="n"/>
      <c r="BY54" s="36" t="n"/>
      <c r="BZ54" s="36" t="n"/>
      <c r="CA54" s="36" t="n"/>
      <c r="CB54" s="36" t="n"/>
      <c r="CC54" s="36" t="n"/>
      <c r="CD54" s="36" t="n"/>
      <c r="CE54" s="36" t="n"/>
    </row>
    <row r="55" ht="34" customHeight="1">
      <c r="A55" s="37" t="n"/>
      <c r="B55" s="35" t="inlineStr"/>
      <c r="C55" s="26">
        <f>IF(TRIM($B55)="","",IFERROR(INDEX(People!$A$2:$A$199,MATCH(TRIM($B55),People!$B$2:$B$199,0)),IFERROR(INDEX(Teams!$A$2:$A$9,MATCH(TRIM($B55),Teams!$B$2:$B$9,0)),"?? CHECK NAME")))</f>
        <v/>
      </c>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c r="AF55" s="36" t="n"/>
      <c r="AG55" s="36" t="n"/>
      <c r="AH55" s="36" t="n"/>
      <c r="AI55" s="36" t="n"/>
      <c r="AJ55" s="36" t="n"/>
      <c r="AK55" s="36" t="n"/>
      <c r="AL55" s="36" t="n"/>
      <c r="AM55" s="36" t="n"/>
      <c r="AN55" s="36" t="n"/>
      <c r="AO55" s="36" t="n"/>
      <c r="AP55" s="36" t="n"/>
      <c r="AQ55" s="36" t="n"/>
      <c r="AR55" s="36" t="n"/>
      <c r="AS55" s="36" t="n"/>
      <c r="AT55" s="36" t="n"/>
      <c r="AU55" s="36" t="n"/>
      <c r="AV55" s="36" t="n"/>
      <c r="AW55" s="36" t="n"/>
      <c r="AX55" s="36" t="n"/>
      <c r="AY55" s="36" t="n"/>
      <c r="AZ55" s="36" t="n"/>
      <c r="BA55" s="36" t="n"/>
      <c r="BB55" s="36" t="n"/>
      <c r="BC55" s="36" t="n"/>
      <c r="BD55" s="36" t="n"/>
      <c r="BE55" s="36" t="n"/>
      <c r="BF55" s="36" t="n"/>
      <c r="BG55" s="36" t="n"/>
      <c r="BH55" s="36" t="n"/>
      <c r="BI55" s="36" t="n"/>
      <c r="BJ55" s="36" t="n"/>
      <c r="BK55" s="36" t="n"/>
      <c r="BL55" s="36" t="n"/>
      <c r="BM55" s="36" t="n"/>
      <c r="BN55" s="36" t="n"/>
      <c r="BO55" s="36" t="n"/>
      <c r="BP55" s="36" t="n"/>
      <c r="BQ55" s="36" t="n"/>
      <c r="BR55" s="36" t="n"/>
      <c r="BS55" s="36" t="n"/>
      <c r="BT55" s="36" t="n"/>
      <c r="BU55" s="36" t="n"/>
      <c r="BV55" s="36" t="n"/>
      <c r="BW55" s="36" t="n"/>
      <c r="BX55" s="36" t="n"/>
      <c r="BY55" s="36" t="n"/>
      <c r="BZ55" s="36" t="n"/>
      <c r="CA55" s="36" t="n"/>
      <c r="CB55" s="36" t="n"/>
      <c r="CC55" s="36" t="n"/>
      <c r="CD55" s="36" t="n"/>
      <c r="CE55" s="36" t="n"/>
    </row>
    <row r="56" ht="34" customHeight="1">
      <c r="A56" s="37" t="n"/>
      <c r="B56" s="35" t="inlineStr"/>
      <c r="C56" s="26">
        <f>IF(TRIM($B56)="","",IFERROR(INDEX(People!$A$2:$A$199,MATCH(TRIM($B56),People!$B$2:$B$199,0)),IFERROR(INDEX(Teams!$A$2:$A$9,MATCH(TRIM($B56),Teams!$B$2:$B$9,0)),"?? CHECK NAME")))</f>
        <v/>
      </c>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c r="AF56" s="36" t="n"/>
      <c r="AG56" s="36" t="n"/>
      <c r="AH56" s="36" t="n"/>
      <c r="AI56" s="36" t="n"/>
      <c r="AJ56" s="36" t="n"/>
      <c r="AK56" s="36" t="n"/>
      <c r="AL56" s="36" t="n"/>
      <c r="AM56" s="36" t="n"/>
      <c r="AN56" s="36" t="n"/>
      <c r="AO56" s="36" t="n"/>
      <c r="AP56" s="36" t="n"/>
      <c r="AQ56" s="36" t="n"/>
      <c r="AR56" s="36" t="n"/>
      <c r="AS56" s="36" t="n"/>
      <c r="AT56" s="36" t="n"/>
      <c r="AU56" s="36" t="n"/>
      <c r="AV56" s="36" t="n"/>
      <c r="AW56" s="36" t="n"/>
      <c r="AX56" s="36" t="n"/>
      <c r="AY56" s="36" t="n"/>
      <c r="AZ56" s="36" t="n"/>
      <c r="BA56" s="36" t="n"/>
      <c r="BB56" s="36" t="n"/>
      <c r="BC56" s="36" t="n"/>
      <c r="BD56" s="36" t="n"/>
      <c r="BE56" s="36" t="n"/>
      <c r="BF56" s="36" t="n"/>
      <c r="BG56" s="36" t="n"/>
      <c r="BH56" s="36" t="n"/>
      <c r="BI56" s="36" t="n"/>
      <c r="BJ56" s="36" t="n"/>
      <c r="BK56" s="36" t="n"/>
      <c r="BL56" s="36" t="n"/>
      <c r="BM56" s="36" t="n"/>
      <c r="BN56" s="36" t="n"/>
      <c r="BO56" s="36" t="n"/>
      <c r="BP56" s="36" t="n"/>
      <c r="BQ56" s="36" t="n"/>
      <c r="BR56" s="36" t="n"/>
      <c r="BS56" s="36" t="n"/>
      <c r="BT56" s="36" t="n"/>
      <c r="BU56" s="36" t="n"/>
      <c r="BV56" s="36" t="n"/>
      <c r="BW56" s="36" t="n"/>
      <c r="BX56" s="36" t="n"/>
      <c r="BY56" s="36" t="n"/>
      <c r="BZ56" s="36" t="n"/>
      <c r="CA56" s="36" t="n"/>
      <c r="CB56" s="36" t="n"/>
      <c r="CC56" s="36" t="n"/>
      <c r="CD56" s="36" t="n"/>
      <c r="CE56" s="36" t="n"/>
    </row>
    <row r="57" ht="34" customHeight="1">
      <c r="A57" s="37" t="n"/>
      <c r="B57" s="35" t="inlineStr"/>
      <c r="C57" s="26">
        <f>IF(TRIM($B57)="","",IFERROR(INDEX(People!$A$2:$A$199,MATCH(TRIM($B57),People!$B$2:$B$199,0)),IFERROR(INDEX(Teams!$A$2:$A$9,MATCH(TRIM($B57),Teams!$B$2:$B$9,0)),"?? CHECK NAME")))</f>
        <v/>
      </c>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6" t="n"/>
      <c r="AL57" s="36" t="n"/>
      <c r="AM57" s="36" t="n"/>
      <c r="AN57" s="36" t="n"/>
      <c r="AO57" s="36" t="n"/>
      <c r="AP57" s="36" t="n"/>
      <c r="AQ57" s="36" t="n"/>
      <c r="AR57" s="36" t="n"/>
      <c r="AS57" s="36" t="n"/>
      <c r="AT57" s="36" t="n"/>
      <c r="AU57" s="36" t="n"/>
      <c r="AV57" s="36" t="n"/>
      <c r="AW57" s="36" t="n"/>
      <c r="AX57" s="36" t="n"/>
      <c r="AY57" s="36" t="n"/>
      <c r="AZ57" s="36" t="n"/>
      <c r="BA57" s="36" t="n"/>
      <c r="BB57" s="36" t="n"/>
      <c r="BC57" s="36" t="n"/>
      <c r="BD57" s="36" t="n"/>
      <c r="BE57" s="36" t="n"/>
      <c r="BF57" s="36" t="n"/>
      <c r="BG57" s="36" t="n"/>
      <c r="BH57" s="36" t="n"/>
      <c r="BI57" s="36" t="n"/>
      <c r="BJ57" s="36" t="n"/>
      <c r="BK57" s="36" t="n"/>
      <c r="BL57" s="36" t="n"/>
      <c r="BM57" s="36" t="n"/>
      <c r="BN57" s="36" t="n"/>
      <c r="BO57" s="36" t="n"/>
      <c r="BP57" s="36" t="n"/>
      <c r="BQ57" s="36" t="n"/>
      <c r="BR57" s="36" t="n"/>
      <c r="BS57" s="36" t="n"/>
      <c r="BT57" s="36" t="n"/>
      <c r="BU57" s="36" t="n"/>
      <c r="BV57" s="36" t="n"/>
      <c r="BW57" s="36" t="n"/>
      <c r="BX57" s="36" t="n"/>
      <c r="BY57" s="36" t="n"/>
      <c r="BZ57" s="36" t="n"/>
      <c r="CA57" s="36" t="n"/>
      <c r="CB57" s="36" t="n"/>
      <c r="CC57" s="36" t="n"/>
      <c r="CD57" s="36" t="n"/>
      <c r="CE57" s="36" t="n"/>
    </row>
    <row r="58" ht="34" customHeight="1">
      <c r="A58" s="38" t="n"/>
      <c r="B58" s="35" t="inlineStr"/>
      <c r="C58" s="26">
        <f>IF(TRIM($B58)="","",IFERROR(INDEX(People!$A$2:$A$199,MATCH(TRIM($B58),People!$B$2:$B$199,0)),IFERROR(INDEX(Teams!$A$2:$A$9,MATCH(TRIM($B58),Teams!$B$2:$B$9,0)),"?? CHECK NAME")))</f>
        <v/>
      </c>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c r="AF58" s="36" t="n"/>
      <c r="AG58" s="36" t="n"/>
      <c r="AH58" s="36" t="n"/>
      <c r="AI58" s="36" t="n"/>
      <c r="AJ58" s="36" t="n"/>
      <c r="AK58" s="36" t="n"/>
      <c r="AL58" s="36" t="n"/>
      <c r="AM58" s="36" t="n"/>
      <c r="AN58" s="36" t="n"/>
      <c r="AO58" s="36" t="n"/>
      <c r="AP58" s="36" t="n"/>
      <c r="AQ58" s="36" t="n"/>
      <c r="AR58" s="36" t="n"/>
      <c r="AS58" s="36" t="n"/>
      <c r="AT58" s="36" t="n"/>
      <c r="AU58" s="36" t="n"/>
      <c r="AV58" s="36" t="n"/>
      <c r="AW58" s="36" t="n"/>
      <c r="AX58" s="36" t="n"/>
      <c r="AY58" s="36" t="n"/>
      <c r="AZ58" s="36" t="n"/>
      <c r="BA58" s="36" t="n"/>
      <c r="BB58" s="36" t="n"/>
      <c r="BC58" s="36" t="n"/>
      <c r="BD58" s="36" t="n"/>
      <c r="BE58" s="36" t="n"/>
      <c r="BF58" s="36" t="n"/>
      <c r="BG58" s="36" t="n"/>
      <c r="BH58" s="36" t="n"/>
      <c r="BI58" s="36" t="n"/>
      <c r="BJ58" s="36" t="n"/>
      <c r="BK58" s="36" t="n"/>
      <c r="BL58" s="36" t="n"/>
      <c r="BM58" s="36" t="n"/>
      <c r="BN58" s="36" t="n"/>
      <c r="BO58" s="36" t="n"/>
      <c r="BP58" s="36" t="n"/>
      <c r="BQ58" s="36" t="n"/>
      <c r="BR58" s="36" t="n"/>
      <c r="BS58" s="36" t="n"/>
      <c r="BT58" s="36" t="n"/>
      <c r="BU58" s="36" t="n"/>
      <c r="BV58" s="36" t="n"/>
      <c r="BW58" s="36" t="n"/>
      <c r="BX58" s="36" t="n"/>
      <c r="BY58" s="36" t="n"/>
      <c r="BZ58" s="36" t="n"/>
      <c r="CA58" s="36" t="n"/>
      <c r="CB58" s="36" t="n"/>
      <c r="CC58" s="36" t="n"/>
      <c r="CD58" s="36" t="n"/>
      <c r="CE58" s="36" t="n"/>
    </row>
    <row r="59" ht="34" customHeight="1">
      <c r="A59" s="16" t="inlineStr">
        <is>
          <t>Campus Wellness</t>
        </is>
      </c>
      <c r="B59" s="35" t="inlineStr"/>
      <c r="C59" s="26">
        <f>IF(TRIM($B59)="","",IFERROR(INDEX(People!$A$2:$A$199,MATCH(TRIM($B59),People!$B$2:$B$199,0)),IFERROR(INDEX(Teams!$A$2:$A$9,MATCH(TRIM($B59),Teams!$B$2:$B$9,0)),"?? CHECK NAME")))</f>
        <v/>
      </c>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c r="AF59" s="36" t="n"/>
      <c r="AG59" s="36" t="n"/>
      <c r="AH59" s="36" t="n"/>
      <c r="AI59" s="36" t="n"/>
      <c r="AJ59" s="36" t="n"/>
      <c r="AK59" s="36" t="n"/>
      <c r="AL59" s="36" t="n"/>
      <c r="AM59" s="36" t="n"/>
      <c r="AN59" s="36" t="n"/>
      <c r="AO59" s="36" t="n"/>
      <c r="AP59" s="36" t="n"/>
      <c r="AQ59" s="36" t="n"/>
      <c r="AR59" s="36" t="n"/>
      <c r="AS59" s="36" t="n"/>
      <c r="AT59" s="36" t="n"/>
      <c r="AU59" s="36" t="n"/>
      <c r="AV59" s="36" t="n"/>
      <c r="AW59" s="36" t="n"/>
      <c r="AX59" s="36" t="n"/>
      <c r="AY59" s="36" t="n"/>
      <c r="AZ59" s="36" t="n"/>
      <c r="BA59" s="36" t="n"/>
      <c r="BB59" s="36" t="n"/>
      <c r="BC59" s="36" t="n"/>
      <c r="BD59" s="36" t="n"/>
      <c r="BE59" s="36" t="n"/>
      <c r="BF59" s="36" t="n"/>
      <c r="BG59" s="36" t="n"/>
      <c r="BH59" s="36" t="n"/>
      <c r="BI59" s="36" t="n"/>
      <c r="BJ59" s="36" t="n"/>
      <c r="BK59" s="36" t="n"/>
      <c r="BL59" s="36" t="n"/>
      <c r="BM59" s="36" t="n"/>
      <c r="BN59" s="36" t="n"/>
      <c r="BO59" s="36" t="n"/>
      <c r="BP59" s="36" t="n"/>
      <c r="BQ59" s="36" t="n"/>
      <c r="BR59" s="36" t="n"/>
      <c r="BS59" s="36" t="n"/>
      <c r="BT59" s="36" t="n"/>
      <c r="BU59" s="36" t="n"/>
      <c r="BV59" s="36" t="n"/>
      <c r="BW59" s="36" t="n"/>
      <c r="BX59" s="36" t="n"/>
      <c r="BY59" s="36" t="n"/>
      <c r="BZ59" s="36" t="n"/>
      <c r="CA59" s="36" t="n"/>
      <c r="CB59" s="36" t="n"/>
      <c r="CC59" s="36" t="n"/>
      <c r="CD59" s="36" t="n"/>
      <c r="CE59" s="36" t="n"/>
    </row>
    <row r="60" ht="34" customHeight="1">
      <c r="A60" s="37" t="n"/>
      <c r="B60" s="35" t="inlineStr"/>
      <c r="C60" s="26">
        <f>IF(TRIM($B60)="","",IFERROR(INDEX(People!$A$2:$A$199,MATCH(TRIM($B60),People!$B$2:$B$199,0)),IFERROR(INDEX(Teams!$A$2:$A$9,MATCH(TRIM($B60),Teams!$B$2:$B$9,0)),"?? CHECK NAME")))</f>
        <v/>
      </c>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c r="AF60" s="36" t="n"/>
      <c r="AG60" s="36" t="n"/>
      <c r="AH60" s="36" t="n"/>
      <c r="AI60" s="36" t="n"/>
      <c r="AJ60" s="36" t="n"/>
      <c r="AK60" s="36" t="n"/>
      <c r="AL60" s="36" t="n"/>
      <c r="AM60" s="36" t="n"/>
      <c r="AN60" s="36" t="n"/>
      <c r="AO60" s="36" t="n"/>
      <c r="AP60" s="36" t="n"/>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c r="BL60" s="36" t="n"/>
      <c r="BM60" s="36" t="n"/>
      <c r="BN60" s="36" t="n"/>
      <c r="BO60" s="36" t="n"/>
      <c r="BP60" s="36" t="n"/>
      <c r="BQ60" s="36" t="n"/>
      <c r="BR60" s="36" t="n"/>
      <c r="BS60" s="36" t="n"/>
      <c r="BT60" s="36" t="n"/>
      <c r="BU60" s="36" t="n"/>
      <c r="BV60" s="36" t="n"/>
      <c r="BW60" s="36" t="n"/>
      <c r="BX60" s="36" t="n"/>
      <c r="BY60" s="36" t="n"/>
      <c r="BZ60" s="36" t="n"/>
      <c r="CA60" s="36" t="n"/>
      <c r="CB60" s="36" t="n"/>
      <c r="CC60" s="36" t="n"/>
      <c r="CD60" s="36" t="n"/>
      <c r="CE60" s="36" t="n"/>
    </row>
    <row r="61" ht="34" customHeight="1">
      <c r="A61" s="37" t="n"/>
      <c r="B61" s="35" t="inlineStr"/>
      <c r="C61" s="26">
        <f>IF(TRIM($B61)="","",IFERROR(INDEX(People!$A$2:$A$199,MATCH(TRIM($B61),People!$B$2:$B$199,0)),IFERROR(INDEX(Teams!$A$2:$A$9,MATCH(TRIM($B61),Teams!$B$2:$B$9,0)),"?? CHECK NAME")))</f>
        <v/>
      </c>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c r="AF61" s="36" t="n"/>
      <c r="AG61" s="36" t="n"/>
      <c r="AH61" s="36" t="n"/>
      <c r="AI61" s="36" t="n"/>
      <c r="AJ61" s="36" t="n"/>
      <c r="AK61" s="36" t="n"/>
      <c r="AL61" s="36" t="n"/>
      <c r="AM61" s="36" t="n"/>
      <c r="AN61" s="36" t="n"/>
      <c r="AO61" s="36" t="n"/>
      <c r="AP61" s="36" t="n"/>
      <c r="AQ61" s="36" t="n"/>
      <c r="AR61" s="36" t="n"/>
      <c r="AS61" s="36" t="n"/>
      <c r="AT61" s="36" t="n"/>
      <c r="AU61" s="36" t="n"/>
      <c r="AV61" s="36" t="n"/>
      <c r="AW61" s="36" t="n"/>
      <c r="AX61" s="36" t="n"/>
      <c r="AY61" s="36" t="n"/>
      <c r="AZ61" s="36" t="n"/>
      <c r="BA61" s="36" t="n"/>
      <c r="BB61" s="36" t="n"/>
      <c r="BC61" s="36" t="n"/>
      <c r="BD61" s="36" t="n"/>
      <c r="BE61" s="36" t="n"/>
      <c r="BF61" s="36" t="n"/>
      <c r="BG61" s="36" t="n"/>
      <c r="BH61" s="36" t="n"/>
      <c r="BI61" s="36" t="n"/>
      <c r="BJ61" s="36" t="n"/>
      <c r="BK61" s="36" t="n"/>
      <c r="BL61" s="36" t="n"/>
      <c r="BM61" s="36" t="n"/>
      <c r="BN61" s="36" t="n"/>
      <c r="BO61" s="36" t="n"/>
      <c r="BP61" s="36" t="n"/>
      <c r="BQ61" s="36" t="n"/>
      <c r="BR61" s="36" t="n"/>
      <c r="BS61" s="36" t="n"/>
      <c r="BT61" s="36" t="n"/>
      <c r="BU61" s="36" t="n"/>
      <c r="BV61" s="36" t="n"/>
      <c r="BW61" s="36" t="n"/>
      <c r="BX61" s="36" t="n"/>
      <c r="BY61" s="36" t="n"/>
      <c r="BZ61" s="36" t="n"/>
      <c r="CA61" s="36" t="n"/>
      <c r="CB61" s="36" t="n"/>
      <c r="CC61" s="36" t="n"/>
      <c r="CD61" s="36" t="n"/>
      <c r="CE61" s="36" t="n"/>
    </row>
    <row r="62" ht="34" customHeight="1">
      <c r="A62" s="37" t="n"/>
      <c r="B62" s="35" t="inlineStr"/>
      <c r="C62" s="26">
        <f>IF(TRIM($B62)="","",IFERROR(INDEX(People!$A$2:$A$199,MATCH(TRIM($B62),People!$B$2:$B$199,0)),IFERROR(INDEX(Teams!$A$2:$A$9,MATCH(TRIM($B62),Teams!$B$2:$B$9,0)),"?? CHECK NAME")))</f>
        <v/>
      </c>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c r="AF62" s="36" t="n"/>
      <c r="AG62" s="36" t="n"/>
      <c r="AH62" s="36" t="n"/>
      <c r="AI62" s="36" t="n"/>
      <c r="AJ62" s="36" t="n"/>
      <c r="AK62" s="36" t="n"/>
      <c r="AL62" s="36" t="n"/>
      <c r="AM62" s="36" t="n"/>
      <c r="AN62" s="36" t="n"/>
      <c r="AO62" s="36" t="n"/>
      <c r="AP62" s="36" t="n"/>
      <c r="AQ62" s="36" t="n"/>
      <c r="AR62" s="36" t="n"/>
      <c r="AS62" s="36" t="n"/>
      <c r="AT62" s="36" t="n"/>
      <c r="AU62" s="36" t="n"/>
      <c r="AV62" s="36" t="n"/>
      <c r="AW62" s="36" t="n"/>
      <c r="AX62" s="36" t="n"/>
      <c r="AY62" s="36" t="n"/>
      <c r="AZ62" s="36" t="n"/>
      <c r="BA62" s="36" t="n"/>
      <c r="BB62" s="36" t="n"/>
      <c r="BC62" s="36" t="n"/>
      <c r="BD62" s="36" t="n"/>
      <c r="BE62" s="36" t="n"/>
      <c r="BF62" s="36" t="n"/>
      <c r="BG62" s="36" t="n"/>
      <c r="BH62" s="36" t="n"/>
      <c r="BI62" s="36" t="n"/>
      <c r="BJ62" s="36" t="n"/>
      <c r="BK62" s="36" t="n"/>
      <c r="BL62" s="36" t="n"/>
      <c r="BM62" s="36" t="n"/>
      <c r="BN62" s="36" t="n"/>
      <c r="BO62" s="36" t="n"/>
      <c r="BP62" s="36" t="n"/>
      <c r="BQ62" s="36" t="n"/>
      <c r="BR62" s="36" t="n"/>
      <c r="BS62" s="36" t="n"/>
      <c r="BT62" s="36" t="n"/>
      <c r="BU62" s="36" t="n"/>
      <c r="BV62" s="36" t="n"/>
      <c r="BW62" s="36" t="n"/>
      <c r="BX62" s="36" t="n"/>
      <c r="BY62" s="36" t="n"/>
      <c r="BZ62" s="36" t="n"/>
      <c r="CA62" s="36" t="n"/>
      <c r="CB62" s="36" t="n"/>
      <c r="CC62" s="36" t="n"/>
      <c r="CD62" s="36" t="n"/>
      <c r="CE62" s="36" t="n"/>
    </row>
    <row r="63" ht="34" customHeight="1">
      <c r="A63" s="38" t="n"/>
      <c r="B63" s="35" t="inlineStr"/>
      <c r="C63" s="26">
        <f>IF(TRIM($B63)="","",IFERROR(INDEX(People!$A$2:$A$199,MATCH(TRIM($B63),People!$B$2:$B$199,0)),IFERROR(INDEX(Teams!$A$2:$A$9,MATCH(TRIM($B63),Teams!$B$2:$B$9,0)),"?? CHECK NAME")))</f>
        <v/>
      </c>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c r="AF63" s="36" t="n"/>
      <c r="AG63" s="36" t="n"/>
      <c r="AH63" s="36" t="n"/>
      <c r="AI63" s="36" t="n"/>
      <c r="AJ63" s="36" t="n"/>
      <c r="AK63" s="36" t="n"/>
      <c r="AL63" s="36" t="n"/>
      <c r="AM63" s="36" t="n"/>
      <c r="AN63" s="36" t="n"/>
      <c r="AO63" s="36" t="n"/>
      <c r="AP63" s="36" t="n"/>
      <c r="AQ63" s="36" t="n"/>
      <c r="AR63" s="36" t="n"/>
      <c r="AS63" s="36" t="n"/>
      <c r="AT63" s="36" t="n"/>
      <c r="AU63" s="36" t="n"/>
      <c r="AV63" s="36" t="n"/>
      <c r="AW63" s="36" t="n"/>
      <c r="AX63" s="36" t="n"/>
      <c r="AY63" s="36" t="n"/>
      <c r="AZ63" s="36" t="n"/>
      <c r="BA63" s="36" t="n"/>
      <c r="BB63" s="36" t="n"/>
      <c r="BC63" s="36" t="n"/>
      <c r="BD63" s="36" t="n"/>
      <c r="BE63" s="36" t="n"/>
      <c r="BF63" s="36" t="n"/>
      <c r="BG63" s="36" t="n"/>
      <c r="BH63" s="36" t="n"/>
      <c r="BI63" s="36" t="n"/>
      <c r="BJ63" s="36" t="n"/>
      <c r="BK63" s="36" t="n"/>
      <c r="BL63" s="36" t="n"/>
      <c r="BM63" s="36" t="n"/>
      <c r="BN63" s="36" t="n"/>
      <c r="BO63" s="36" t="n"/>
      <c r="BP63" s="36" t="n"/>
      <c r="BQ63" s="36" t="n"/>
      <c r="BR63" s="36" t="n"/>
      <c r="BS63" s="36" t="n"/>
      <c r="BT63" s="36" t="n"/>
      <c r="BU63" s="36" t="n"/>
      <c r="BV63" s="36" t="n"/>
      <c r="BW63" s="36" t="n"/>
      <c r="BX63" s="36" t="n"/>
      <c r="BY63" s="36" t="n"/>
      <c r="BZ63" s="36" t="n"/>
      <c r="CA63" s="36" t="n"/>
      <c r="CB63" s="36" t="n"/>
      <c r="CC63" s="36" t="n"/>
      <c r="CD63" s="36" t="n"/>
      <c r="CE63" s="36" t="n"/>
    </row>
    <row r="64" ht="34" customHeight="1">
      <c r="A64" s="16" t="inlineStr">
        <is>
          <t>FreshReps</t>
        </is>
      </c>
      <c r="B64" s="35" t="inlineStr"/>
      <c r="C64" s="26">
        <f>IF(TRIM($B64)="","",IFERROR(INDEX(People!$A$2:$A$199,MATCH(TRIM($B64),People!$B$2:$B$199,0)),IFERROR(INDEX(Teams!$A$2:$A$9,MATCH(TRIM($B64),Teams!$B$2:$B$9,0)),"?? CHECK NAME")))</f>
        <v/>
      </c>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c r="AF64" s="36" t="n"/>
      <c r="AG64" s="36" t="n"/>
      <c r="AH64" s="36" t="n"/>
      <c r="AI64" s="36" t="n"/>
      <c r="AJ64" s="36" t="n"/>
      <c r="AK64" s="36" t="n"/>
      <c r="AL64" s="36" t="n"/>
      <c r="AM64" s="36" t="n"/>
      <c r="AN64" s="36" t="n"/>
      <c r="AO64" s="36" t="n"/>
      <c r="AP64" s="36" t="n"/>
      <c r="AQ64" s="36" t="n"/>
      <c r="AR64" s="36" t="n"/>
      <c r="AS64" s="36" t="n"/>
      <c r="AT64" s="36" t="n"/>
      <c r="AU64" s="36" t="n"/>
      <c r="AV64" s="36" t="n"/>
      <c r="AW64" s="36" t="n"/>
      <c r="AX64" s="36" t="n"/>
      <c r="AY64" s="36" t="n"/>
      <c r="AZ64" s="36" t="n"/>
      <c r="BA64" s="36" t="n"/>
      <c r="BB64" s="36" t="n"/>
      <c r="BC64" s="36" t="n"/>
      <c r="BD64" s="36" t="n"/>
      <c r="BE64" s="36" t="n"/>
      <c r="BF64" s="36" t="n"/>
      <c r="BG64" s="36" t="n"/>
      <c r="BH64" s="36" t="n"/>
      <c r="BI64" s="36" t="n"/>
      <c r="BJ64" s="36" t="n"/>
      <c r="BK64" s="36" t="n"/>
      <c r="BL64" s="36" t="n"/>
      <c r="BM64" s="36" t="n"/>
      <c r="BN64" s="36" t="n"/>
      <c r="BO64" s="36" t="n"/>
      <c r="BP64" s="36" t="n"/>
      <c r="BQ64" s="36" t="n"/>
      <c r="BR64" s="36" t="n"/>
      <c r="BS64" s="36" t="n"/>
      <c r="BT64" s="36" t="n"/>
      <c r="BU64" s="36" t="n"/>
      <c r="BV64" s="36" t="n"/>
      <c r="BW64" s="36" t="n"/>
      <c r="BX64" s="36" t="n"/>
      <c r="BY64" s="36" t="n"/>
      <c r="BZ64" s="36" t="n"/>
      <c r="CA64" s="36" t="n"/>
      <c r="CB64" s="36" t="n"/>
      <c r="CC64" s="36" t="n"/>
      <c r="CD64" s="36" t="n"/>
      <c r="CE64" s="36" t="n"/>
    </row>
    <row r="65" ht="34" customHeight="1">
      <c r="A65" s="37" t="n"/>
      <c r="B65" s="35" t="inlineStr"/>
      <c r="C65" s="26">
        <f>IF(TRIM($B65)="","",IFERROR(INDEX(People!$A$2:$A$199,MATCH(TRIM($B65),People!$B$2:$B$199,0)),IFERROR(INDEX(Teams!$A$2:$A$9,MATCH(TRIM($B65),Teams!$B$2:$B$9,0)),"?? CHECK NAME")))</f>
        <v/>
      </c>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c r="AF65" s="36" t="n"/>
      <c r="AG65" s="36" t="n"/>
      <c r="AH65" s="36" t="n"/>
      <c r="AI65" s="36" t="n"/>
      <c r="AJ65" s="36" t="n"/>
      <c r="AK65" s="36" t="n"/>
      <c r="AL65" s="36" t="n"/>
      <c r="AM65" s="36" t="n"/>
      <c r="AN65" s="36" t="n"/>
      <c r="AO65" s="36" t="n"/>
      <c r="AP65" s="36" t="n"/>
      <c r="AQ65" s="36" t="n"/>
      <c r="AR65" s="36" t="n"/>
      <c r="AS65" s="36" t="n"/>
      <c r="AT65" s="36" t="n"/>
      <c r="AU65" s="36" t="n"/>
      <c r="AV65" s="36" t="n"/>
      <c r="AW65" s="36" t="n"/>
      <c r="AX65" s="36" t="n"/>
      <c r="AY65" s="36" t="n"/>
      <c r="AZ65" s="36" t="n"/>
      <c r="BA65" s="36" t="n"/>
      <c r="BB65" s="36" t="n"/>
      <c r="BC65" s="36" t="n"/>
      <c r="BD65" s="36" t="n"/>
      <c r="BE65" s="36" t="n"/>
      <c r="BF65" s="36" t="n"/>
      <c r="BG65" s="36" t="n"/>
      <c r="BH65" s="36" t="n"/>
      <c r="BI65" s="36" t="n"/>
      <c r="BJ65" s="36" t="n"/>
      <c r="BK65" s="36" t="n"/>
      <c r="BL65" s="36" t="n"/>
      <c r="BM65" s="36" t="n"/>
      <c r="BN65" s="36" t="n"/>
      <c r="BO65" s="36" t="n"/>
      <c r="BP65" s="36" t="n"/>
      <c r="BQ65" s="36" t="n"/>
      <c r="BR65" s="36" t="n"/>
      <c r="BS65" s="36" t="n"/>
      <c r="BT65" s="36" t="n"/>
      <c r="BU65" s="36" t="n"/>
      <c r="BV65" s="36" t="n"/>
      <c r="BW65" s="36" t="n"/>
      <c r="BX65" s="36" t="n"/>
      <c r="BY65" s="36" t="n"/>
      <c r="BZ65" s="36" t="n"/>
      <c r="CA65" s="36" t="n"/>
      <c r="CB65" s="36" t="n"/>
      <c r="CC65" s="36" t="n"/>
      <c r="CD65" s="36" t="n"/>
      <c r="CE65" s="36" t="n"/>
    </row>
    <row r="66" ht="34" customHeight="1">
      <c r="A66" s="37" t="n"/>
      <c r="B66" s="35" t="inlineStr"/>
      <c r="C66" s="26">
        <f>IF(TRIM($B66)="","",IFERROR(INDEX(People!$A$2:$A$199,MATCH(TRIM($B66),People!$B$2:$B$199,0)),IFERROR(INDEX(Teams!$A$2:$A$9,MATCH(TRIM($B66),Teams!$B$2:$B$9,0)),"?? CHECK NAME")))</f>
        <v/>
      </c>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c r="AF66" s="36" t="n"/>
      <c r="AG66" s="36" t="n"/>
      <c r="AH66" s="36" t="n"/>
      <c r="AI66" s="36" t="n"/>
      <c r="AJ66" s="36" t="n"/>
      <c r="AK66" s="36" t="n"/>
      <c r="AL66" s="36" t="n"/>
      <c r="AM66" s="36" t="n"/>
      <c r="AN66" s="36" t="n"/>
      <c r="AO66" s="36" t="n"/>
      <c r="AP66" s="36" t="n"/>
      <c r="AQ66" s="36" t="n"/>
      <c r="AR66" s="36" t="n"/>
      <c r="AS66" s="36" t="n"/>
      <c r="AT66" s="36" t="n"/>
      <c r="AU66" s="36" t="n"/>
      <c r="AV66" s="36" t="n"/>
      <c r="AW66" s="36" t="n"/>
      <c r="AX66" s="36" t="n"/>
      <c r="AY66" s="36" t="n"/>
      <c r="AZ66" s="36" t="n"/>
      <c r="BA66" s="36" t="n"/>
      <c r="BB66" s="36" t="n"/>
      <c r="BC66" s="36" t="n"/>
      <c r="BD66" s="36" t="n"/>
      <c r="BE66" s="36" t="n"/>
      <c r="BF66" s="36" t="n"/>
      <c r="BG66" s="36" t="n"/>
      <c r="BH66" s="36" t="n"/>
      <c r="BI66" s="36" t="n"/>
      <c r="BJ66" s="36" t="n"/>
      <c r="BK66" s="36" t="n"/>
      <c r="BL66" s="36" t="n"/>
      <c r="BM66" s="36" t="n"/>
      <c r="BN66" s="36" t="n"/>
      <c r="BO66" s="36" t="n"/>
      <c r="BP66" s="36" t="n"/>
      <c r="BQ66" s="36" t="n"/>
      <c r="BR66" s="36" t="n"/>
      <c r="BS66" s="36" t="n"/>
      <c r="BT66" s="36" t="n"/>
      <c r="BU66" s="36" t="n"/>
      <c r="BV66" s="36" t="n"/>
      <c r="BW66" s="36" t="n"/>
      <c r="BX66" s="36" t="n"/>
      <c r="BY66" s="36" t="n"/>
      <c r="BZ66" s="36" t="n"/>
      <c r="CA66" s="36" t="n"/>
      <c r="CB66" s="36" t="n"/>
      <c r="CC66" s="36" t="n"/>
      <c r="CD66" s="36" t="n"/>
      <c r="CE66" s="36" t="n"/>
    </row>
    <row r="67" ht="34" customHeight="1">
      <c r="A67" s="37" t="n"/>
      <c r="B67" s="35" t="inlineStr"/>
      <c r="C67" s="26">
        <f>IF(TRIM($B67)="","",IFERROR(INDEX(People!$A$2:$A$199,MATCH(TRIM($B67),People!$B$2:$B$199,0)),IFERROR(INDEX(Teams!$A$2:$A$9,MATCH(TRIM($B67),Teams!$B$2:$B$9,0)),"?? CHECK NAME")))</f>
        <v/>
      </c>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c r="AF67" s="36" t="n"/>
      <c r="AG67" s="36" t="n"/>
      <c r="AH67" s="36" t="n"/>
      <c r="AI67" s="36" t="n"/>
      <c r="AJ67" s="36" t="n"/>
      <c r="AK67" s="36" t="n"/>
      <c r="AL67" s="36" t="n"/>
      <c r="AM67" s="36" t="n"/>
      <c r="AN67" s="36" t="n"/>
      <c r="AO67" s="36" t="n"/>
      <c r="AP67" s="36" t="n"/>
      <c r="AQ67" s="36" t="n"/>
      <c r="AR67" s="36" t="n"/>
      <c r="AS67" s="36" t="n"/>
      <c r="AT67" s="36" t="n"/>
      <c r="AU67" s="36" t="n"/>
      <c r="AV67" s="36" t="n"/>
      <c r="AW67" s="36" t="n"/>
      <c r="AX67" s="36" t="n"/>
      <c r="AY67" s="36" t="n"/>
      <c r="AZ67" s="36" t="n"/>
      <c r="BA67" s="36" t="n"/>
      <c r="BB67" s="36" t="n"/>
      <c r="BC67" s="36" t="n"/>
      <c r="BD67" s="36" t="n"/>
      <c r="BE67" s="36" t="n"/>
      <c r="BF67" s="36" t="n"/>
      <c r="BG67" s="36" t="n"/>
      <c r="BH67" s="36" t="n"/>
      <c r="BI67" s="36" t="n"/>
      <c r="BJ67" s="36" t="n"/>
      <c r="BK67" s="36" t="n"/>
      <c r="BL67" s="36" t="n"/>
      <c r="BM67" s="36" t="n"/>
      <c r="BN67" s="36" t="n"/>
      <c r="BO67" s="36" t="n"/>
      <c r="BP67" s="36" t="n"/>
      <c r="BQ67" s="36" t="n"/>
      <c r="BR67" s="36" t="n"/>
      <c r="BS67" s="36" t="n"/>
      <c r="BT67" s="36" t="n"/>
      <c r="BU67" s="36" t="n"/>
      <c r="BV67" s="36" t="n"/>
      <c r="BW67" s="36" t="n"/>
      <c r="BX67" s="36" t="n"/>
      <c r="BY67" s="36" t="n"/>
      <c r="BZ67" s="36" t="n"/>
      <c r="CA67" s="36" t="n"/>
      <c r="CB67" s="36" t="n"/>
      <c r="CC67" s="36" t="n"/>
      <c r="CD67" s="36" t="n"/>
      <c r="CE67" s="36" t="n"/>
    </row>
    <row r="68" ht="34" customHeight="1">
      <c r="A68" s="38" t="n"/>
      <c r="B68" s="35" t="inlineStr"/>
      <c r="C68" s="26">
        <f>IF(TRIM($B68)="","",IFERROR(INDEX(People!$A$2:$A$199,MATCH(TRIM($B68),People!$B$2:$B$199,0)),IFERROR(INDEX(Teams!$A$2:$A$9,MATCH(TRIM($B68),Teams!$B$2:$B$9,0)),"?? CHECK NAME")))</f>
        <v/>
      </c>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c r="AF68" s="36" t="n"/>
      <c r="AG68" s="36" t="n"/>
      <c r="AH68" s="36" t="n"/>
      <c r="AI68" s="36" t="n"/>
      <c r="AJ68" s="36" t="n"/>
      <c r="AK68" s="36" t="n"/>
      <c r="AL68" s="36" t="n"/>
      <c r="AM68" s="36" t="n"/>
      <c r="AN68" s="36" t="n"/>
      <c r="AO68" s="36" t="n"/>
      <c r="AP68" s="36" t="n"/>
      <c r="AQ68" s="36" t="n"/>
      <c r="AR68" s="36" t="n"/>
      <c r="AS68" s="36" t="n"/>
      <c r="AT68" s="36" t="n"/>
      <c r="AU68" s="36" t="n"/>
      <c r="AV68" s="36" t="n"/>
      <c r="AW68" s="36" t="n"/>
      <c r="AX68" s="36" t="n"/>
      <c r="AY68" s="36" t="n"/>
      <c r="AZ68" s="36" t="n"/>
      <c r="BA68" s="36" t="n"/>
      <c r="BB68" s="36" t="n"/>
      <c r="BC68" s="36" t="n"/>
      <c r="BD68" s="36" t="n"/>
      <c r="BE68" s="36" t="n"/>
      <c r="BF68" s="36" t="n"/>
      <c r="BG68" s="36" t="n"/>
      <c r="BH68" s="36" t="n"/>
      <c r="BI68" s="36" t="n"/>
      <c r="BJ68" s="36" t="n"/>
      <c r="BK68" s="36" t="n"/>
      <c r="BL68" s="36" t="n"/>
      <c r="BM68" s="36" t="n"/>
      <c r="BN68" s="36" t="n"/>
      <c r="BO68" s="36" t="n"/>
      <c r="BP68" s="36" t="n"/>
      <c r="BQ68" s="36" t="n"/>
      <c r="BR68" s="36" t="n"/>
      <c r="BS68" s="36" t="n"/>
      <c r="BT68" s="36" t="n"/>
      <c r="BU68" s="36" t="n"/>
      <c r="BV68" s="36" t="n"/>
      <c r="BW68" s="36" t="n"/>
      <c r="BX68" s="36" t="n"/>
      <c r="BY68" s="36" t="n"/>
      <c r="BZ68" s="36" t="n"/>
      <c r="CA68" s="36" t="n"/>
      <c r="CB68" s="36" t="n"/>
      <c r="CC68" s="36" t="n"/>
      <c r="CD68" s="36" t="n"/>
      <c r="CE68" s="36" t="n"/>
    </row>
    <row r="69" ht="18" customHeight="1">
      <c r="A69" s="32" t="inlineStr">
        <is>
          <t>TEAMS  —  anything the whole team does goes on its own row</t>
        </is>
      </c>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c r="AA69" s="33" t="n"/>
      <c r="AB69" s="33" t="n"/>
      <c r="AC69" s="33" t="n"/>
      <c r="AD69" s="33" t="n"/>
      <c r="AE69" s="33" t="n"/>
      <c r="AF69" s="33" t="n"/>
      <c r="AG69" s="33" t="n"/>
      <c r="AH69" s="33" t="n"/>
      <c r="AI69" s="33" t="n"/>
      <c r="AJ69" s="33" t="n"/>
      <c r="AK69" s="33" t="n"/>
      <c r="AL69" s="33" t="n"/>
      <c r="AM69" s="33" t="n"/>
      <c r="AN69" s="33" t="n"/>
      <c r="AO69" s="33" t="n"/>
      <c r="AP69" s="33" t="n"/>
      <c r="AQ69" s="33" t="n"/>
      <c r="AR69" s="33" t="n"/>
      <c r="AS69" s="33" t="n"/>
      <c r="AT69" s="33" t="n"/>
      <c r="AU69" s="33" t="n"/>
      <c r="AV69" s="33" t="n"/>
      <c r="AW69" s="33" t="n"/>
      <c r="AX69" s="33" t="n"/>
      <c r="AY69" s="33" t="n"/>
      <c r="AZ69" s="33" t="n"/>
      <c r="BA69" s="33" t="n"/>
      <c r="BB69" s="33" t="n"/>
      <c r="BC69" s="33" t="n"/>
      <c r="BD69" s="33" t="n"/>
      <c r="BE69" s="33" t="n"/>
      <c r="BF69" s="33" t="n"/>
      <c r="BG69" s="33" t="n"/>
      <c r="BH69" s="33" t="n"/>
      <c r="BI69" s="33" t="n"/>
      <c r="BJ69" s="33" t="n"/>
      <c r="BK69" s="33" t="n"/>
      <c r="BL69" s="33" t="n"/>
      <c r="BM69" s="33" t="n"/>
      <c r="BN69" s="33" t="n"/>
      <c r="BO69" s="33" t="n"/>
      <c r="BP69" s="33" t="n"/>
      <c r="BQ69" s="33" t="n"/>
      <c r="BR69" s="33" t="n"/>
      <c r="BS69" s="33" t="n"/>
      <c r="BT69" s="33" t="n"/>
      <c r="BU69" s="33" t="n"/>
      <c r="BV69" s="33" t="n"/>
      <c r="BW69" s="33" t="n"/>
      <c r="BX69" s="33" t="n"/>
      <c r="BY69" s="33" t="n"/>
      <c r="BZ69" s="33" t="n"/>
      <c r="CA69" s="33" t="n"/>
      <c r="CB69" s="33" t="n"/>
      <c r="CC69" s="33" t="n"/>
      <c r="CD69" s="33" t="n"/>
      <c r="CE69" s="34" t="n"/>
    </row>
    <row r="70" ht="34" customHeight="1">
      <c r="A70" s="16" t="inlineStr">
        <is>
          <t>Team</t>
        </is>
      </c>
      <c r="B70" s="39" t="inlineStr">
        <is>
          <t>UNC Taar Heel Raas</t>
        </is>
      </c>
      <c r="C70" s="26">
        <f>IF(TRIM($B70)="","",IFERROR(INDEX(People!$A$2:$A$199,MATCH(TRIM($B70),People!$B$2:$B$199,0)),IFERROR(INDEX(Teams!$A$2:$A$9,MATCH(TRIM($B70),Teams!$B$2:$B$9,0)),"?? CHECK NAME")))</f>
        <v/>
      </c>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c r="AP70" s="40" t="n"/>
      <c r="AQ70" s="40" t="n"/>
      <c r="AR70" s="40" t="n"/>
      <c r="AS70" s="40" t="n"/>
      <c r="AT70" s="40" t="n"/>
      <c r="AU70" s="40" t="n"/>
      <c r="AV70" s="40" t="n"/>
      <c r="AW70" s="40" t="n"/>
      <c r="AX70" s="40" t="n"/>
      <c r="AY70" s="40" t="n"/>
      <c r="AZ70" s="40" t="n"/>
      <c r="BA70" s="40" t="n"/>
      <c r="BB70" s="40" t="n"/>
      <c r="BC70" s="40" t="n"/>
      <c r="BD70" s="40" t="n"/>
      <c r="BE70" s="40" t="n"/>
      <c r="BF70" s="40" t="n"/>
      <c r="BG70" s="40" t="n"/>
      <c r="BH70" s="40" t="n"/>
      <c r="BI70" s="40" t="n"/>
      <c r="BJ70" s="40" t="n"/>
      <c r="BK70" s="40" t="n"/>
      <c r="BL70" s="40" t="n"/>
      <c r="BM70" s="40" t="n"/>
      <c r="BN70" s="40" t="n"/>
      <c r="BO70" s="40" t="n"/>
      <c r="BP70" s="40" t="n"/>
      <c r="BQ70" s="40" t="n"/>
      <c r="BR70" s="40" t="n"/>
      <c r="BS70" s="40" t="n"/>
      <c r="BT70" s="40" t="n"/>
      <c r="BU70" s="40" t="n"/>
      <c r="BV70" s="40" t="n"/>
      <c r="BW70" s="40" t="n"/>
      <c r="BX70" s="40" t="n"/>
      <c r="BY70" s="40" t="n"/>
      <c r="BZ70" s="40" t="n"/>
      <c r="CA70" s="40" t="n"/>
      <c r="CB70" s="40" t="n"/>
      <c r="CC70" s="40" t="n"/>
      <c r="CD70" s="40" t="n"/>
      <c r="CE70" s="40" t="n"/>
    </row>
    <row r="71" ht="34" customHeight="1">
      <c r="A71" s="16" t="inlineStr">
        <is>
          <t>Team</t>
        </is>
      </c>
      <c r="B71" s="39" t="inlineStr">
        <is>
          <t>Illini Raas</t>
        </is>
      </c>
      <c r="C71" s="26">
        <f>IF(TRIM($B71)="","",IFERROR(INDEX(People!$A$2:$A$199,MATCH(TRIM($B71),People!$B$2:$B$199,0)),IFERROR(INDEX(Teams!$A$2:$A$9,MATCH(TRIM($B71),Teams!$B$2:$B$9,0)),"?? CHECK NAME")))</f>
        <v/>
      </c>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c r="AP71" s="40" t="n"/>
      <c r="AQ71" s="40" t="n"/>
      <c r="AR71" s="40" t="n"/>
      <c r="AS71" s="40" t="n"/>
      <c r="AT71" s="40" t="n"/>
      <c r="AU71" s="40" t="n"/>
      <c r="AV71" s="40" t="n"/>
      <c r="AW71" s="40" t="n"/>
      <c r="AX71" s="40" t="n"/>
      <c r="AY71" s="40" t="n"/>
      <c r="AZ71" s="40" t="n"/>
      <c r="BA71" s="40" t="n"/>
      <c r="BB71" s="40" t="n"/>
      <c r="BC71" s="40" t="n"/>
      <c r="BD71" s="40" t="n"/>
      <c r="BE71" s="40" t="n"/>
      <c r="BF71" s="40" t="n"/>
      <c r="BG71" s="40" t="n"/>
      <c r="BH71" s="40" t="n"/>
      <c r="BI71" s="40" t="n"/>
      <c r="BJ71" s="40" t="n"/>
      <c r="BK71" s="40" t="n"/>
      <c r="BL71" s="40" t="n"/>
      <c r="BM71" s="40" t="n"/>
      <c r="BN71" s="40" t="n"/>
      <c r="BO71" s="40" t="n"/>
      <c r="BP71" s="40" t="n"/>
      <c r="BQ71" s="40" t="n"/>
      <c r="BR71" s="40" t="n"/>
      <c r="BS71" s="40" t="n"/>
      <c r="BT71" s="40" t="n"/>
      <c r="BU71" s="40" t="n"/>
      <c r="BV71" s="40" t="n"/>
      <c r="BW71" s="40" t="n"/>
      <c r="BX71" s="40" t="n"/>
      <c r="BY71" s="40" t="n"/>
      <c r="BZ71" s="40" t="n"/>
      <c r="CA71" s="40" t="n"/>
      <c r="CB71" s="40" t="n"/>
      <c r="CC71" s="40" t="n"/>
      <c r="CD71" s="40" t="n"/>
      <c r="CE71" s="40" t="n"/>
    </row>
    <row r="72" ht="34" customHeight="1">
      <c r="A72" s="16" t="inlineStr">
        <is>
          <t>Team</t>
        </is>
      </c>
      <c r="B72" s="39" t="inlineStr">
        <is>
          <t>UTD Taraas</t>
        </is>
      </c>
      <c r="C72" s="26">
        <f>IF(TRIM($B72)="","",IFERROR(INDEX(People!$A$2:$A$199,MATCH(TRIM($B72),People!$B$2:$B$199,0)),IFERROR(INDEX(Teams!$A$2:$A$9,MATCH(TRIM($B72),Teams!$B$2:$B$9,0)),"?? CHECK NAME")))</f>
        <v/>
      </c>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c r="AP72" s="40" t="n"/>
      <c r="AQ72" s="40" t="n"/>
      <c r="AR72" s="40" t="n"/>
      <c r="AS72" s="40" t="n"/>
      <c r="AT72" s="40" t="n"/>
      <c r="AU72" s="40" t="n"/>
      <c r="AV72" s="40" t="n"/>
      <c r="AW72" s="40" t="n"/>
      <c r="AX72" s="40" t="n"/>
      <c r="AY72" s="40" t="n"/>
      <c r="AZ72" s="40" t="n"/>
      <c r="BA72" s="40" t="n"/>
      <c r="BB72" s="40" t="n"/>
      <c r="BC72" s="40" t="n"/>
      <c r="BD72" s="40" t="n"/>
      <c r="BE72" s="40" t="n"/>
      <c r="BF72" s="40" t="n"/>
      <c r="BG72" s="40" t="n"/>
      <c r="BH72" s="40" t="n"/>
      <c r="BI72" s="40" t="n"/>
      <c r="BJ72" s="40" t="n"/>
      <c r="BK72" s="40" t="n"/>
      <c r="BL72" s="40" t="n"/>
      <c r="BM72" s="40" t="n"/>
      <c r="BN72" s="40" t="n"/>
      <c r="BO72" s="40" t="n"/>
      <c r="BP72" s="40" t="n"/>
      <c r="BQ72" s="40" t="n"/>
      <c r="BR72" s="40" t="n"/>
      <c r="BS72" s="40" t="n"/>
      <c r="BT72" s="40" t="n"/>
      <c r="BU72" s="40" t="n"/>
      <c r="BV72" s="40" t="n"/>
      <c r="BW72" s="40" t="n"/>
      <c r="BX72" s="40" t="n"/>
      <c r="BY72" s="40" t="n"/>
      <c r="BZ72" s="40" t="n"/>
      <c r="CA72" s="40" t="n"/>
      <c r="CB72" s="40" t="n"/>
      <c r="CC72" s="40" t="n"/>
      <c r="CD72" s="40" t="n"/>
      <c r="CE72" s="40" t="n"/>
    </row>
    <row r="73" ht="34" customHeight="1">
      <c r="A73" s="16" t="inlineStr">
        <is>
          <t>Team</t>
        </is>
      </c>
      <c r="B73" s="39" t="inlineStr">
        <is>
          <t>UVA Hooraas</t>
        </is>
      </c>
      <c r="C73" s="26">
        <f>IF(TRIM($B73)="","",IFERROR(INDEX(People!$A$2:$A$199,MATCH(TRIM($B73),People!$B$2:$B$199,0)),IFERROR(INDEX(Teams!$A$2:$A$9,MATCH(TRIM($B73),Teams!$B$2:$B$9,0)),"?? CHECK NAME")))</f>
        <v/>
      </c>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c r="AP73" s="40" t="n"/>
      <c r="AQ73" s="40" t="n"/>
      <c r="AR73" s="40" t="n"/>
      <c r="AS73" s="40" t="n"/>
      <c r="AT73" s="40" t="n"/>
      <c r="AU73" s="40" t="n"/>
      <c r="AV73" s="40" t="n"/>
      <c r="AW73" s="40" t="n"/>
      <c r="AX73" s="40" t="n"/>
      <c r="AY73" s="40" t="n"/>
      <c r="AZ73" s="40" t="n"/>
      <c r="BA73" s="40" t="n"/>
      <c r="BB73" s="40" t="n"/>
      <c r="BC73" s="40" t="n"/>
      <c r="BD73" s="40" t="n"/>
      <c r="BE73" s="40" t="n"/>
      <c r="BF73" s="40" t="n"/>
      <c r="BG73" s="40" t="n"/>
      <c r="BH73" s="40" t="n"/>
      <c r="BI73" s="40" t="n"/>
      <c r="BJ73" s="40" t="n"/>
      <c r="BK73" s="40" t="n"/>
      <c r="BL73" s="40" t="n"/>
      <c r="BM73" s="40" t="n"/>
      <c r="BN73" s="40" t="n"/>
      <c r="BO73" s="40" t="n"/>
      <c r="BP73" s="40" t="n"/>
      <c r="BQ73" s="40" t="n"/>
      <c r="BR73" s="40" t="n"/>
      <c r="BS73" s="40" t="n"/>
      <c r="BT73" s="40" t="n"/>
      <c r="BU73" s="40" t="n"/>
      <c r="BV73" s="40" t="n"/>
      <c r="BW73" s="40" t="n"/>
      <c r="BX73" s="40" t="n"/>
      <c r="BY73" s="40" t="n"/>
      <c r="BZ73" s="40" t="n"/>
      <c r="CA73" s="40" t="n"/>
      <c r="CB73" s="40" t="n"/>
      <c r="CC73" s="40" t="n"/>
      <c r="CD73" s="40" t="n"/>
      <c r="CE73" s="40" t="n"/>
    </row>
    <row r="74" ht="34" customHeight="1">
      <c r="A74" s="16" t="inlineStr">
        <is>
          <t>Team</t>
        </is>
      </c>
      <c r="B74" s="39" t="inlineStr">
        <is>
          <t>UMD Entouraas</t>
        </is>
      </c>
      <c r="C74" s="26">
        <f>IF(TRIM($B74)="","",IFERROR(INDEX(People!$A$2:$A$199,MATCH(TRIM($B74),People!$B$2:$B$199,0)),IFERROR(INDEX(Teams!$A$2:$A$9,MATCH(TRIM($B74),Teams!$B$2:$B$9,0)),"?? CHECK NAME")))</f>
        <v/>
      </c>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c r="AP74" s="40" t="n"/>
      <c r="AQ74" s="40" t="n"/>
      <c r="AR74" s="40" t="n"/>
      <c r="AS74" s="40" t="n"/>
      <c r="AT74" s="40" t="n"/>
      <c r="AU74" s="40" t="n"/>
      <c r="AV74" s="40" t="n"/>
      <c r="AW74" s="40" t="n"/>
      <c r="AX74" s="40" t="n"/>
      <c r="AY74" s="40" t="n"/>
      <c r="AZ74" s="40" t="n"/>
      <c r="BA74" s="40" t="n"/>
      <c r="BB74" s="40" t="n"/>
      <c r="BC74" s="40" t="n"/>
      <c r="BD74" s="40" t="n"/>
      <c r="BE74" s="40" t="n"/>
      <c r="BF74" s="40" t="n"/>
      <c r="BG74" s="40" t="n"/>
      <c r="BH74" s="40" t="n"/>
      <c r="BI74" s="40" t="n"/>
      <c r="BJ74" s="40" t="n"/>
      <c r="BK74" s="40" t="n"/>
      <c r="BL74" s="40" t="n"/>
      <c r="BM74" s="40" t="n"/>
      <c r="BN74" s="40" t="n"/>
      <c r="BO74" s="40" t="n"/>
      <c r="BP74" s="40" t="n"/>
      <c r="BQ74" s="40" t="n"/>
      <c r="BR74" s="40" t="n"/>
      <c r="BS74" s="40" t="n"/>
      <c r="BT74" s="40" t="n"/>
      <c r="BU74" s="40" t="n"/>
      <c r="BV74" s="40" t="n"/>
      <c r="BW74" s="40" t="n"/>
      <c r="BX74" s="40" t="n"/>
      <c r="BY74" s="40" t="n"/>
      <c r="BZ74" s="40" t="n"/>
      <c r="CA74" s="40" t="n"/>
      <c r="CB74" s="40" t="n"/>
      <c r="CC74" s="40" t="n"/>
      <c r="CD74" s="40" t="n"/>
      <c r="CE74" s="40" t="n"/>
    </row>
    <row r="75" ht="34" customHeight="1">
      <c r="A75" s="16" t="inlineStr">
        <is>
          <t>Team</t>
        </is>
      </c>
      <c r="B75" s="39" t="inlineStr">
        <is>
          <t>Michigan Wolveraas</t>
        </is>
      </c>
      <c r="C75" s="26">
        <f>IF(TRIM($B75)="","",IFERROR(INDEX(People!$A$2:$A$199,MATCH(TRIM($B75),People!$B$2:$B$199,0)),IFERROR(INDEX(Teams!$A$2:$A$9,MATCH(TRIM($B75),Teams!$B$2:$B$9,0)),"?? CHECK NAME")))</f>
        <v/>
      </c>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c r="AP75" s="40" t="n"/>
      <c r="AQ75" s="40" t="n"/>
      <c r="AR75" s="40" t="n"/>
      <c r="AS75" s="40" t="n"/>
      <c r="AT75" s="40" t="n"/>
      <c r="AU75" s="40" t="n"/>
      <c r="AV75" s="40" t="n"/>
      <c r="AW75" s="40" t="n"/>
      <c r="AX75" s="40" t="n"/>
      <c r="AY75" s="40" t="n"/>
      <c r="AZ75" s="40" t="n"/>
      <c r="BA75" s="40" t="n"/>
      <c r="BB75" s="40" t="n"/>
      <c r="BC75" s="40" t="n"/>
      <c r="BD75" s="40" t="n"/>
      <c r="BE75" s="40" t="n"/>
      <c r="BF75" s="40" t="n"/>
      <c r="BG75" s="40" t="n"/>
      <c r="BH75" s="40" t="n"/>
      <c r="BI75" s="40" t="n"/>
      <c r="BJ75" s="40" t="n"/>
      <c r="BK75" s="40" t="n"/>
      <c r="BL75" s="40" t="n"/>
      <c r="BM75" s="40" t="n"/>
      <c r="BN75" s="40" t="n"/>
      <c r="BO75" s="40" t="n"/>
      <c r="BP75" s="40" t="n"/>
      <c r="BQ75" s="40" t="n"/>
      <c r="BR75" s="40" t="n"/>
      <c r="BS75" s="40" t="n"/>
      <c r="BT75" s="40" t="n"/>
      <c r="BU75" s="40" t="n"/>
      <c r="BV75" s="40" t="n"/>
      <c r="BW75" s="40" t="n"/>
      <c r="BX75" s="40" t="n"/>
      <c r="BY75" s="40" t="n"/>
      <c r="BZ75" s="40" t="n"/>
      <c r="CA75" s="40" t="n"/>
      <c r="CB75" s="40" t="n"/>
      <c r="CC75" s="40" t="n"/>
      <c r="CD75" s="40" t="n"/>
      <c r="CE75" s="40" t="n"/>
    </row>
    <row r="76" ht="34" customHeight="1">
      <c r="A76" s="16" t="inlineStr">
        <is>
          <t>Team</t>
        </is>
      </c>
      <c r="B76" s="39" t="inlineStr">
        <is>
          <t>MSU Raasparty</t>
        </is>
      </c>
      <c r="C76" s="26">
        <f>IF(TRIM($B76)="","",IFERROR(INDEX(People!$A$2:$A$199,MATCH(TRIM($B76),People!$B$2:$B$199,0)),IFERROR(INDEX(Teams!$A$2:$A$9,MATCH(TRIM($B76),Teams!$B$2:$B$9,0)),"?? CHECK NAME")))</f>
        <v/>
      </c>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c r="AP76" s="40" t="n"/>
      <c r="AQ76" s="40" t="n"/>
      <c r="AR76" s="40" t="n"/>
      <c r="AS76" s="40" t="n"/>
      <c r="AT76" s="40" t="n"/>
      <c r="AU76" s="40" t="n"/>
      <c r="AV76" s="40" t="n"/>
      <c r="AW76" s="40" t="n"/>
      <c r="AX76" s="40" t="n"/>
      <c r="AY76" s="40" t="n"/>
      <c r="AZ76" s="40" t="n"/>
      <c r="BA76" s="40" t="n"/>
      <c r="BB76" s="40" t="n"/>
      <c r="BC76" s="40" t="n"/>
      <c r="BD76" s="40" t="n"/>
      <c r="BE76" s="40" t="n"/>
      <c r="BF76" s="40" t="n"/>
      <c r="BG76" s="40" t="n"/>
      <c r="BH76" s="40" t="n"/>
      <c r="BI76" s="40" t="n"/>
      <c r="BJ76" s="40" t="n"/>
      <c r="BK76" s="40" t="n"/>
      <c r="BL76" s="40" t="n"/>
      <c r="BM76" s="40" t="n"/>
      <c r="BN76" s="40" t="n"/>
      <c r="BO76" s="40" t="n"/>
      <c r="BP76" s="40" t="n"/>
      <c r="BQ76" s="40" t="n"/>
      <c r="BR76" s="40" t="n"/>
      <c r="BS76" s="40" t="n"/>
      <c r="BT76" s="40" t="n"/>
      <c r="BU76" s="40" t="n"/>
      <c r="BV76" s="40" t="n"/>
      <c r="BW76" s="40" t="n"/>
      <c r="BX76" s="40" t="n"/>
      <c r="BY76" s="40" t="n"/>
      <c r="BZ76" s="40" t="n"/>
      <c r="CA76" s="40" t="n"/>
      <c r="CB76" s="40" t="n"/>
      <c r="CC76" s="40" t="n"/>
      <c r="CD76" s="40" t="n"/>
      <c r="CE76" s="40" t="n"/>
    </row>
    <row r="77" ht="34" customHeight="1">
      <c r="A77" s="16" t="inlineStr">
        <is>
          <t>Team</t>
        </is>
      </c>
      <c r="B77" s="39" t="inlineStr">
        <is>
          <t>GT Ramblin Raas</t>
        </is>
      </c>
      <c r="C77" s="26">
        <f>IF(TRIM($B77)="","",IFERROR(INDEX(People!$A$2:$A$199,MATCH(TRIM($B77),People!$B$2:$B$199,0)),IFERROR(INDEX(Teams!$A$2:$A$9,MATCH(TRIM($B77),Teams!$B$2:$B$9,0)),"?? CHECK NAME")))</f>
        <v/>
      </c>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c r="AP77" s="40" t="n"/>
      <c r="AQ77" s="40" t="n"/>
      <c r="AR77" s="40" t="n"/>
      <c r="AS77" s="40" t="n"/>
      <c r="AT77" s="40" t="n"/>
      <c r="AU77" s="40" t="n"/>
      <c r="AV77" s="40" t="n"/>
      <c r="AW77" s="40" t="n"/>
      <c r="AX77" s="40" t="n"/>
      <c r="AY77" s="40" t="n"/>
      <c r="AZ77" s="40" t="n"/>
      <c r="BA77" s="40" t="n"/>
      <c r="BB77" s="40" t="n"/>
      <c r="BC77" s="40" t="n"/>
      <c r="BD77" s="40" t="n"/>
      <c r="BE77" s="40" t="n"/>
      <c r="BF77" s="40" t="n"/>
      <c r="BG77" s="40" t="n"/>
      <c r="BH77" s="40" t="n"/>
      <c r="BI77" s="40" t="n"/>
      <c r="BJ77" s="40" t="n"/>
      <c r="BK77" s="40" t="n"/>
      <c r="BL77" s="40" t="n"/>
      <c r="BM77" s="40" t="n"/>
      <c r="BN77" s="40" t="n"/>
      <c r="BO77" s="40" t="n"/>
      <c r="BP77" s="40" t="n"/>
      <c r="BQ77" s="40" t="n"/>
      <c r="BR77" s="40" t="n"/>
      <c r="BS77" s="40" t="n"/>
      <c r="BT77" s="40" t="n"/>
      <c r="BU77" s="40" t="n"/>
      <c r="BV77" s="40" t="n"/>
      <c r="BW77" s="40" t="n"/>
      <c r="BX77" s="40" t="n"/>
      <c r="BY77" s="40" t="n"/>
      <c r="BZ77" s="40" t="n"/>
      <c r="CA77" s="40" t="n"/>
      <c r="CB77" s="40" t="n"/>
      <c r="CC77" s="40" t="n"/>
      <c r="CD77" s="40" t="n"/>
      <c r="CE77" s="40" t="n"/>
    </row>
    <row r="78" ht="18" customHeight="1">
      <c r="A78" s="32" t="inlineStr">
        <is>
          <t>JUDGES, VIDEOGRAPHERS &amp; RAS REPS</t>
        </is>
      </c>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c r="AA78" s="33" t="n"/>
      <c r="AB78" s="33" t="n"/>
      <c r="AC78" s="33" t="n"/>
      <c r="AD78" s="33" t="n"/>
      <c r="AE78" s="33" t="n"/>
      <c r="AF78" s="33" t="n"/>
      <c r="AG78" s="33" t="n"/>
      <c r="AH78" s="33" t="n"/>
      <c r="AI78" s="33" t="n"/>
      <c r="AJ78" s="33" t="n"/>
      <c r="AK78" s="33" t="n"/>
      <c r="AL78" s="33" t="n"/>
      <c r="AM78" s="33" t="n"/>
      <c r="AN78" s="33" t="n"/>
      <c r="AO78" s="33" t="n"/>
      <c r="AP78" s="33" t="n"/>
      <c r="AQ78" s="33" t="n"/>
      <c r="AR78" s="33" t="n"/>
      <c r="AS78" s="33" t="n"/>
      <c r="AT78" s="33" t="n"/>
      <c r="AU78" s="33" t="n"/>
      <c r="AV78" s="33" t="n"/>
      <c r="AW78" s="33" t="n"/>
      <c r="AX78" s="33" t="n"/>
      <c r="AY78" s="33" t="n"/>
      <c r="AZ78" s="33" t="n"/>
      <c r="BA78" s="33" t="n"/>
      <c r="BB78" s="33" t="n"/>
      <c r="BC78" s="33" t="n"/>
      <c r="BD78" s="33" t="n"/>
      <c r="BE78" s="33" t="n"/>
      <c r="BF78" s="33" t="n"/>
      <c r="BG78" s="33" t="n"/>
      <c r="BH78" s="33" t="n"/>
      <c r="BI78" s="33" t="n"/>
      <c r="BJ78" s="33" t="n"/>
      <c r="BK78" s="33" t="n"/>
      <c r="BL78" s="33" t="n"/>
      <c r="BM78" s="33" t="n"/>
      <c r="BN78" s="33" t="n"/>
      <c r="BO78" s="33" t="n"/>
      <c r="BP78" s="33" t="n"/>
      <c r="BQ78" s="33" t="n"/>
      <c r="BR78" s="33" t="n"/>
      <c r="BS78" s="33" t="n"/>
      <c r="BT78" s="33" t="n"/>
      <c r="BU78" s="33" t="n"/>
      <c r="BV78" s="33" t="n"/>
      <c r="BW78" s="33" t="n"/>
      <c r="BX78" s="33" t="n"/>
      <c r="BY78" s="33" t="n"/>
      <c r="BZ78" s="33" t="n"/>
      <c r="CA78" s="33" t="n"/>
      <c r="CB78" s="33" t="n"/>
      <c r="CC78" s="33" t="n"/>
      <c r="CD78" s="33" t="n"/>
      <c r="CE78" s="34" t="n"/>
    </row>
    <row r="79" ht="34" customHeight="1">
      <c r="A79" s="16" t="inlineStr">
        <is>
          <t>Judges</t>
        </is>
      </c>
      <c r="B79" s="17" t="inlineStr">
        <is>
          <t>All Judges</t>
        </is>
      </c>
      <c r="C79" s="26" t="inlineStr">
        <is>
          <t>ROLE-JUDGES</t>
        </is>
      </c>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c r="AP79" s="40" t="n"/>
      <c r="AQ79" s="40" t="n"/>
      <c r="AR79" s="40" t="n"/>
      <c r="AS79" s="40" t="n"/>
      <c r="AT79" s="40" t="n"/>
      <c r="AU79" s="40" t="n"/>
      <c r="AV79" s="40" t="n"/>
      <c r="AW79" s="40" t="n"/>
      <c r="AX79" s="40" t="n"/>
      <c r="AY79" s="40" t="n"/>
      <c r="AZ79" s="40" t="n"/>
      <c r="BA79" s="40" t="n"/>
      <c r="BB79" s="40" t="n"/>
      <c r="BC79" s="40" t="n"/>
      <c r="BD79" s="40" t="n"/>
      <c r="BE79" s="40" t="n"/>
      <c r="BF79" s="40" t="n"/>
      <c r="BG79" s="40" t="n"/>
      <c r="BH79" s="40" t="n"/>
      <c r="BI79" s="40" t="n"/>
      <c r="BJ79" s="40" t="n"/>
      <c r="BK79" s="40" t="n"/>
      <c r="BL79" s="40" t="n"/>
      <c r="BM79" s="40" t="n"/>
      <c r="BN79" s="40" t="n"/>
      <c r="BO79" s="40" t="n"/>
      <c r="BP79" s="40" t="n"/>
      <c r="BQ79" s="40" t="n"/>
      <c r="BR79" s="40" t="n"/>
      <c r="BS79" s="40" t="n"/>
      <c r="BT79" s="40" t="n"/>
      <c r="BU79" s="40" t="n"/>
      <c r="BV79" s="40" t="n"/>
      <c r="BW79" s="40" t="n"/>
      <c r="BX79" s="40" t="n"/>
      <c r="BY79" s="40" t="n"/>
      <c r="BZ79" s="40" t="n"/>
      <c r="CA79" s="40" t="n"/>
      <c r="CB79" s="40" t="n"/>
      <c r="CC79" s="40" t="n"/>
      <c r="CD79" s="40" t="n"/>
      <c r="CE79" s="40" t="n"/>
    </row>
    <row r="80" ht="34" customHeight="1">
      <c r="A80" s="16" t="inlineStr">
        <is>
          <t>Videographers</t>
        </is>
      </c>
      <c r="B80" s="17" t="inlineStr">
        <is>
          <t>All Videographers</t>
        </is>
      </c>
      <c r="C80" s="26" t="inlineStr">
        <is>
          <t>ROLE-VIDEO</t>
        </is>
      </c>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c r="AP80" s="40" t="n"/>
      <c r="AQ80" s="40" t="n"/>
      <c r="AR80" s="40" t="n"/>
      <c r="AS80" s="40" t="n"/>
      <c r="AT80" s="40" t="n"/>
      <c r="AU80" s="40" t="n"/>
      <c r="AV80" s="40" t="n"/>
      <c r="AW80" s="40" t="n"/>
      <c r="AX80" s="40" t="n"/>
      <c r="AY80" s="40" t="n"/>
      <c r="AZ80" s="40" t="n"/>
      <c r="BA80" s="40" t="n"/>
      <c r="BB80" s="40" t="n"/>
      <c r="BC80" s="40" t="n"/>
      <c r="BD80" s="40" t="n"/>
      <c r="BE80" s="40" t="n"/>
      <c r="BF80" s="40" t="n"/>
      <c r="BG80" s="40" t="n"/>
      <c r="BH80" s="40" t="n"/>
      <c r="BI80" s="40" t="n"/>
      <c r="BJ80" s="40" t="n"/>
      <c r="BK80" s="40" t="n"/>
      <c r="BL80" s="40" t="n"/>
      <c r="BM80" s="40" t="n"/>
      <c r="BN80" s="40" t="n"/>
      <c r="BO80" s="40" t="n"/>
      <c r="BP80" s="40" t="n"/>
      <c r="BQ80" s="40" t="n"/>
      <c r="BR80" s="40" t="n"/>
      <c r="BS80" s="40" t="n"/>
      <c r="BT80" s="40" t="n"/>
      <c r="BU80" s="40" t="n"/>
      <c r="BV80" s="40" t="n"/>
      <c r="BW80" s="40" t="n"/>
      <c r="BX80" s="40" t="n"/>
      <c r="BY80" s="40" t="n"/>
      <c r="BZ80" s="40" t="n"/>
      <c r="CA80" s="40" t="n"/>
      <c r="CB80" s="40" t="n"/>
      <c r="CC80" s="40" t="n"/>
      <c r="CD80" s="40" t="n"/>
      <c r="CE80" s="40" t="n"/>
    </row>
    <row r="81" ht="34" customHeight="1">
      <c r="A81" s="16" t="inlineStr">
        <is>
          <t>RAS Reps</t>
        </is>
      </c>
      <c r="B81" s="35" t="inlineStr"/>
      <c r="C81" s="26">
        <f>IF(TRIM($B81)="","",IFERROR(INDEX(People!$A$2:$A$199,MATCH(TRIM($B81),People!$B$2:$B$199,0)),IFERROR(INDEX(Teams!$A$2:$A$9,MATCH(TRIM($B81),Teams!$B$2:$B$9,0)),"?? CHECK NAME")))</f>
        <v/>
      </c>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c r="AF81" s="36" t="n"/>
      <c r="AG81" s="36" t="n"/>
      <c r="AH81" s="36" t="n"/>
      <c r="AI81" s="36" t="n"/>
      <c r="AJ81" s="36" t="n"/>
      <c r="AK81" s="36" t="n"/>
      <c r="AL81" s="36" t="n"/>
      <c r="AM81" s="36" t="n"/>
      <c r="AN81" s="36" t="n"/>
      <c r="AO81" s="36" t="n"/>
      <c r="AP81" s="36" t="n"/>
      <c r="AQ81" s="36" t="n"/>
      <c r="AR81" s="36" t="n"/>
      <c r="AS81" s="36" t="n"/>
      <c r="AT81" s="36" t="n"/>
      <c r="AU81" s="36" t="n"/>
      <c r="AV81" s="36" t="n"/>
      <c r="AW81" s="36" t="n"/>
      <c r="AX81" s="36" t="n"/>
      <c r="AY81" s="36" t="n"/>
      <c r="AZ81" s="36" t="n"/>
      <c r="BA81" s="36" t="n"/>
      <c r="BB81" s="36" t="n"/>
      <c r="BC81" s="36" t="n"/>
      <c r="BD81" s="36" t="n"/>
      <c r="BE81" s="36" t="n"/>
      <c r="BF81" s="36" t="n"/>
      <c r="BG81" s="36" t="n"/>
      <c r="BH81" s="36" t="n"/>
      <c r="BI81" s="36" t="n"/>
      <c r="BJ81" s="36" t="n"/>
      <c r="BK81" s="36" t="n"/>
      <c r="BL81" s="36" t="n"/>
      <c r="BM81" s="36" t="n"/>
      <c r="BN81" s="36" t="n"/>
      <c r="BO81" s="36" t="n"/>
      <c r="BP81" s="36" t="n"/>
      <c r="BQ81" s="36" t="n"/>
      <c r="BR81" s="36" t="n"/>
      <c r="BS81" s="36" t="n"/>
      <c r="BT81" s="36" t="n"/>
      <c r="BU81" s="36" t="n"/>
      <c r="BV81" s="36" t="n"/>
      <c r="BW81" s="36" t="n"/>
      <c r="BX81" s="36" t="n"/>
      <c r="BY81" s="36" t="n"/>
      <c r="BZ81" s="36" t="n"/>
      <c r="CA81" s="36" t="n"/>
      <c r="CB81" s="36" t="n"/>
      <c r="CC81" s="36" t="n"/>
      <c r="CD81" s="36" t="n"/>
      <c r="CE81" s="36" t="n"/>
    </row>
    <row r="82" ht="34" customHeight="1">
      <c r="A82" s="37" t="n"/>
      <c r="B82" s="35" t="inlineStr"/>
      <c r="C82" s="26">
        <f>IF(TRIM($B82)="","",IFERROR(INDEX(People!$A$2:$A$199,MATCH(TRIM($B82),People!$B$2:$B$199,0)),IFERROR(INDEX(Teams!$A$2:$A$9,MATCH(TRIM($B82),Teams!$B$2:$B$9,0)),"?? CHECK NAME")))</f>
        <v/>
      </c>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c r="AF82" s="36" t="n"/>
      <c r="AG82" s="36" t="n"/>
      <c r="AH82" s="36" t="n"/>
      <c r="AI82" s="36" t="n"/>
      <c r="AJ82" s="36" t="n"/>
      <c r="AK82" s="36" t="n"/>
      <c r="AL82" s="36" t="n"/>
      <c r="AM82" s="36" t="n"/>
      <c r="AN82" s="36" t="n"/>
      <c r="AO82" s="36" t="n"/>
      <c r="AP82" s="36" t="n"/>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c r="BL82" s="36" t="n"/>
      <c r="BM82" s="36" t="n"/>
      <c r="BN82" s="36" t="n"/>
      <c r="BO82" s="36" t="n"/>
      <c r="BP82" s="36" t="n"/>
      <c r="BQ82" s="36" t="n"/>
      <c r="BR82" s="36" t="n"/>
      <c r="BS82" s="36" t="n"/>
      <c r="BT82" s="36" t="n"/>
      <c r="BU82" s="36" t="n"/>
      <c r="BV82" s="36" t="n"/>
      <c r="BW82" s="36" t="n"/>
      <c r="BX82" s="36" t="n"/>
      <c r="BY82" s="36" t="n"/>
      <c r="BZ82" s="36" t="n"/>
      <c r="CA82" s="36" t="n"/>
      <c r="CB82" s="36" t="n"/>
      <c r="CC82" s="36" t="n"/>
      <c r="CD82" s="36" t="n"/>
      <c r="CE82" s="36" t="n"/>
    </row>
    <row r="83" ht="34" customHeight="1">
      <c r="A83" s="37" t="n"/>
      <c r="B83" s="35" t="inlineStr"/>
      <c r="C83" s="26">
        <f>IF(TRIM($B83)="","",IFERROR(INDEX(People!$A$2:$A$199,MATCH(TRIM($B83),People!$B$2:$B$199,0)),IFERROR(INDEX(Teams!$A$2:$A$9,MATCH(TRIM($B83),Teams!$B$2:$B$9,0)),"?? CHECK NAME")))</f>
        <v/>
      </c>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c r="AF83" s="36" t="n"/>
      <c r="AG83" s="36" t="n"/>
      <c r="AH83" s="36" t="n"/>
      <c r="AI83" s="36" t="n"/>
      <c r="AJ83" s="36" t="n"/>
      <c r="AK83" s="36" t="n"/>
      <c r="AL83" s="36" t="n"/>
      <c r="AM83" s="36" t="n"/>
      <c r="AN83" s="36" t="n"/>
      <c r="AO83" s="36" t="n"/>
      <c r="AP83" s="36" t="n"/>
      <c r="AQ83" s="36" t="n"/>
      <c r="AR83" s="36" t="n"/>
      <c r="AS83" s="36" t="n"/>
      <c r="AT83" s="36" t="n"/>
      <c r="AU83" s="36" t="n"/>
      <c r="AV83" s="36" t="n"/>
      <c r="AW83" s="36" t="n"/>
      <c r="AX83" s="36" t="n"/>
      <c r="AY83" s="36" t="n"/>
      <c r="AZ83" s="36" t="n"/>
      <c r="BA83" s="36" t="n"/>
      <c r="BB83" s="36" t="n"/>
      <c r="BC83" s="36" t="n"/>
      <c r="BD83" s="36" t="n"/>
      <c r="BE83" s="36" t="n"/>
      <c r="BF83" s="36" t="n"/>
      <c r="BG83" s="36" t="n"/>
      <c r="BH83" s="36" t="n"/>
      <c r="BI83" s="36" t="n"/>
      <c r="BJ83" s="36" t="n"/>
      <c r="BK83" s="36" t="n"/>
      <c r="BL83" s="36" t="n"/>
      <c r="BM83" s="36" t="n"/>
      <c r="BN83" s="36" t="n"/>
      <c r="BO83" s="36" t="n"/>
      <c r="BP83" s="36" t="n"/>
      <c r="BQ83" s="36" t="n"/>
      <c r="BR83" s="36" t="n"/>
      <c r="BS83" s="36" t="n"/>
      <c r="BT83" s="36" t="n"/>
      <c r="BU83" s="36" t="n"/>
      <c r="BV83" s="36" t="n"/>
      <c r="BW83" s="36" t="n"/>
      <c r="BX83" s="36" t="n"/>
      <c r="BY83" s="36" t="n"/>
      <c r="BZ83" s="36" t="n"/>
      <c r="CA83" s="36" t="n"/>
      <c r="CB83" s="36" t="n"/>
      <c r="CC83" s="36" t="n"/>
      <c r="CD83" s="36" t="n"/>
      <c r="CE83" s="36" t="n"/>
    </row>
    <row r="84" ht="34" customHeight="1">
      <c r="A84" s="37" t="n"/>
      <c r="B84" s="35" t="inlineStr"/>
      <c r="C84" s="26">
        <f>IF(TRIM($B84)="","",IFERROR(INDEX(People!$A$2:$A$199,MATCH(TRIM($B84),People!$B$2:$B$199,0)),IFERROR(INDEX(Teams!$A$2:$A$9,MATCH(TRIM($B84),Teams!$B$2:$B$9,0)),"?? CHECK NAME")))</f>
        <v/>
      </c>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c r="AF84" s="36" t="n"/>
      <c r="AG84" s="36" t="n"/>
      <c r="AH84" s="36" t="n"/>
      <c r="AI84" s="36" t="n"/>
      <c r="AJ84" s="36" t="n"/>
      <c r="AK84" s="36" t="n"/>
      <c r="AL84" s="36" t="n"/>
      <c r="AM84" s="36" t="n"/>
      <c r="AN84" s="36" t="n"/>
      <c r="AO84" s="36" t="n"/>
      <c r="AP84" s="36" t="n"/>
      <c r="AQ84" s="36" t="n"/>
      <c r="AR84" s="36" t="n"/>
      <c r="AS84" s="36" t="n"/>
      <c r="AT84" s="36" t="n"/>
      <c r="AU84" s="36" t="n"/>
      <c r="AV84" s="36" t="n"/>
      <c r="AW84" s="36" t="n"/>
      <c r="AX84" s="36" t="n"/>
      <c r="AY84" s="36" t="n"/>
      <c r="AZ84" s="36" t="n"/>
      <c r="BA84" s="36" t="n"/>
      <c r="BB84" s="36" t="n"/>
      <c r="BC84" s="36" t="n"/>
      <c r="BD84" s="36" t="n"/>
      <c r="BE84" s="36" t="n"/>
      <c r="BF84" s="36" t="n"/>
      <c r="BG84" s="36" t="n"/>
      <c r="BH84" s="36" t="n"/>
      <c r="BI84" s="36" t="n"/>
      <c r="BJ84" s="36" t="n"/>
      <c r="BK84" s="36" t="n"/>
      <c r="BL84" s="36" t="n"/>
      <c r="BM84" s="36" t="n"/>
      <c r="BN84" s="36" t="n"/>
      <c r="BO84" s="36" t="n"/>
      <c r="BP84" s="36" t="n"/>
      <c r="BQ84" s="36" t="n"/>
      <c r="BR84" s="36" t="n"/>
      <c r="BS84" s="36" t="n"/>
      <c r="BT84" s="36" t="n"/>
      <c r="BU84" s="36" t="n"/>
      <c r="BV84" s="36" t="n"/>
      <c r="BW84" s="36" t="n"/>
      <c r="BX84" s="36" t="n"/>
      <c r="BY84" s="36" t="n"/>
      <c r="BZ84" s="36" t="n"/>
      <c r="CA84" s="36" t="n"/>
      <c r="CB84" s="36" t="n"/>
      <c r="CC84" s="36" t="n"/>
      <c r="CD84" s="36" t="n"/>
      <c r="CE84" s="36" t="n"/>
    </row>
    <row r="85" ht="34" customHeight="1">
      <c r="A85" s="38" t="n"/>
      <c r="B85" s="35" t="inlineStr"/>
      <c r="C85" s="26">
        <f>IF(TRIM($B85)="","",IFERROR(INDEX(People!$A$2:$A$199,MATCH(TRIM($B85),People!$B$2:$B$199,0)),IFERROR(INDEX(Teams!$A$2:$A$9,MATCH(TRIM($B85),Teams!$B$2:$B$9,0)),"?? CHECK NAME")))</f>
        <v/>
      </c>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c r="AF85" s="36" t="n"/>
      <c r="AG85" s="36" t="n"/>
      <c r="AH85" s="36" t="n"/>
      <c r="AI85" s="36" t="n"/>
      <c r="AJ85" s="36" t="n"/>
      <c r="AK85" s="36" t="n"/>
      <c r="AL85" s="36" t="n"/>
      <c r="AM85" s="36" t="n"/>
      <c r="AN85" s="36" t="n"/>
      <c r="AO85" s="36" t="n"/>
      <c r="AP85" s="36" t="n"/>
      <c r="AQ85" s="36" t="n"/>
      <c r="AR85" s="36" t="n"/>
      <c r="AS85" s="36" t="n"/>
      <c r="AT85" s="36" t="n"/>
      <c r="AU85" s="36" t="n"/>
      <c r="AV85" s="36" t="n"/>
      <c r="AW85" s="36" t="n"/>
      <c r="AX85" s="36" t="n"/>
      <c r="AY85" s="36" t="n"/>
      <c r="AZ85" s="36" t="n"/>
      <c r="BA85" s="36" t="n"/>
      <c r="BB85" s="36" t="n"/>
      <c r="BC85" s="36" t="n"/>
      <c r="BD85" s="36" t="n"/>
      <c r="BE85" s="36" t="n"/>
      <c r="BF85" s="36" t="n"/>
      <c r="BG85" s="36" t="n"/>
      <c r="BH85" s="36" t="n"/>
      <c r="BI85" s="36" t="n"/>
      <c r="BJ85" s="36" t="n"/>
      <c r="BK85" s="36" t="n"/>
      <c r="BL85" s="36" t="n"/>
      <c r="BM85" s="36" t="n"/>
      <c r="BN85" s="36" t="n"/>
      <c r="BO85" s="36" t="n"/>
      <c r="BP85" s="36" t="n"/>
      <c r="BQ85" s="36" t="n"/>
      <c r="BR85" s="36" t="n"/>
      <c r="BS85" s="36" t="n"/>
      <c r="BT85" s="36" t="n"/>
      <c r="BU85" s="36" t="n"/>
      <c r="BV85" s="36" t="n"/>
      <c r="BW85" s="36" t="n"/>
      <c r="BX85" s="36" t="n"/>
      <c r="BY85" s="36" t="n"/>
      <c r="BZ85" s="36" t="n"/>
      <c r="CA85" s="36" t="n"/>
      <c r="CB85" s="36" t="n"/>
      <c r="CC85" s="36" t="n"/>
      <c r="CD85" s="36" t="n"/>
      <c r="CE85" s="36" t="n"/>
    </row>
    <row r="86" ht="18" customHeight="1">
      <c r="A86" s="32" t="inlineStr">
        <is>
          <t>LIAISONS  —  names come from the People tab, not typed here</t>
        </is>
      </c>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c r="AA86" s="33" t="n"/>
      <c r="AB86" s="33" t="n"/>
      <c r="AC86" s="33" t="n"/>
      <c r="AD86" s="33" t="n"/>
      <c r="AE86" s="33" t="n"/>
      <c r="AF86" s="33" t="n"/>
      <c r="AG86" s="33" t="n"/>
      <c r="AH86" s="33" t="n"/>
      <c r="AI86" s="33" t="n"/>
      <c r="AJ86" s="33" t="n"/>
      <c r="AK86" s="33" t="n"/>
      <c r="AL86" s="33" t="n"/>
      <c r="AM86" s="33" t="n"/>
      <c r="AN86" s="33" t="n"/>
      <c r="AO86" s="33" t="n"/>
      <c r="AP86" s="33" t="n"/>
      <c r="AQ86" s="33" t="n"/>
      <c r="AR86" s="33" t="n"/>
      <c r="AS86" s="33" t="n"/>
      <c r="AT86" s="33" t="n"/>
      <c r="AU86" s="33" t="n"/>
      <c r="AV86" s="33" t="n"/>
      <c r="AW86" s="33" t="n"/>
      <c r="AX86" s="33" t="n"/>
      <c r="AY86" s="33" t="n"/>
      <c r="AZ86" s="33" t="n"/>
      <c r="BA86" s="33" t="n"/>
      <c r="BB86" s="33" t="n"/>
      <c r="BC86" s="33" t="n"/>
      <c r="BD86" s="33" t="n"/>
      <c r="BE86" s="33" t="n"/>
      <c r="BF86" s="33" t="n"/>
      <c r="BG86" s="33" t="n"/>
      <c r="BH86" s="33" t="n"/>
      <c r="BI86" s="33" t="n"/>
      <c r="BJ86" s="33" t="n"/>
      <c r="BK86" s="33" t="n"/>
      <c r="BL86" s="33" t="n"/>
      <c r="BM86" s="33" t="n"/>
      <c r="BN86" s="33" t="n"/>
      <c r="BO86" s="33" t="n"/>
      <c r="BP86" s="33" t="n"/>
      <c r="BQ86" s="33" t="n"/>
      <c r="BR86" s="33" t="n"/>
      <c r="BS86" s="33" t="n"/>
      <c r="BT86" s="33" t="n"/>
      <c r="BU86" s="33" t="n"/>
      <c r="BV86" s="33" t="n"/>
      <c r="BW86" s="33" t="n"/>
      <c r="BX86" s="33" t="n"/>
      <c r="BY86" s="33" t="n"/>
      <c r="BZ86" s="33" t="n"/>
      <c r="CA86" s="33" t="n"/>
      <c r="CB86" s="33" t="n"/>
      <c r="CC86" s="33" t="n"/>
      <c r="CD86" s="33" t="n"/>
      <c r="CE86" s="34" t="n"/>
    </row>
    <row r="87" ht="34" customHeight="1">
      <c r="A87" s="41" t="inlineStr">
        <is>
          <t>UNC Taar Heel Raas</t>
        </is>
      </c>
      <c r="B87" s="42">
        <f>IFERROR(INDEX(People!$B$2:$B$199,MATCH($A$87&amp;"#"&amp;1,People!$H$2:$H$199,0)),"")</f>
        <v/>
      </c>
      <c r="C87" s="26">
        <f>IF(TRIM($B87)="","",IFERROR(INDEX(People!$A$2:$A$199,MATCH(TRIM($B87),People!$B$2:$B$199,0)),"?? CHECK NAME"))</f>
        <v/>
      </c>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c r="AF87" s="36" t="n"/>
      <c r="AG87" s="36" t="n"/>
      <c r="AH87" s="36" t="n"/>
      <c r="AI87" s="36" t="n"/>
      <c r="AJ87" s="36" t="n"/>
      <c r="AK87" s="36" t="n"/>
      <c r="AL87" s="36" t="n"/>
      <c r="AM87" s="36" t="n"/>
      <c r="AN87" s="36" t="n"/>
      <c r="AO87" s="36" t="n"/>
      <c r="AP87" s="36" t="n"/>
      <c r="AQ87" s="36" t="n"/>
      <c r="AR87" s="36" t="n"/>
      <c r="AS87" s="36" t="n"/>
      <c r="AT87" s="36" t="n"/>
      <c r="AU87" s="36" t="n"/>
      <c r="AV87" s="36" t="n"/>
      <c r="AW87" s="36" t="n"/>
      <c r="AX87" s="36" t="n"/>
      <c r="AY87" s="36" t="n"/>
      <c r="AZ87" s="36" t="n"/>
      <c r="BA87" s="36" t="n"/>
      <c r="BB87" s="36" t="n"/>
      <c r="BC87" s="36" t="n"/>
      <c r="BD87" s="36" t="n"/>
      <c r="BE87" s="36" t="n"/>
      <c r="BF87" s="36" t="n"/>
      <c r="BG87" s="36" t="n"/>
      <c r="BH87" s="36" t="n"/>
      <c r="BI87" s="36" t="n"/>
      <c r="BJ87" s="36" t="n"/>
      <c r="BK87" s="36" t="n"/>
      <c r="BL87" s="36" t="n"/>
      <c r="BM87" s="36" t="n"/>
      <c r="BN87" s="36" t="n"/>
      <c r="BO87" s="36" t="n"/>
      <c r="BP87" s="36" t="n"/>
      <c r="BQ87" s="36" t="n"/>
      <c r="BR87" s="36" t="n"/>
      <c r="BS87" s="36" t="n"/>
      <c r="BT87" s="36" t="n"/>
      <c r="BU87" s="36" t="n"/>
      <c r="BV87" s="36" t="n"/>
      <c r="BW87" s="36" t="n"/>
      <c r="BX87" s="36" t="n"/>
      <c r="BY87" s="36" t="n"/>
      <c r="BZ87" s="36" t="n"/>
      <c r="CA87" s="36" t="n"/>
      <c r="CB87" s="36" t="n"/>
      <c r="CC87" s="36" t="n"/>
      <c r="CD87" s="36" t="n"/>
      <c r="CE87" s="36" t="n"/>
    </row>
    <row r="88" ht="34" customHeight="1">
      <c r="A88" s="37" t="n"/>
      <c r="B88" s="42">
        <f>IFERROR(INDEX(People!$B$2:$B$199,MATCH($A$87&amp;"#"&amp;2,People!$H$2:$H$199,0)),"")</f>
        <v/>
      </c>
      <c r="C88" s="26">
        <f>IF(TRIM($B88)="","",IFERROR(INDEX(People!$A$2:$A$199,MATCH(TRIM($B88),People!$B$2:$B$199,0)),"?? CHECK NAME"))</f>
        <v/>
      </c>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c r="AF88" s="36" t="n"/>
      <c r="AG88" s="36" t="n"/>
      <c r="AH88" s="36" t="n"/>
      <c r="AI88" s="36" t="n"/>
      <c r="AJ88" s="36" t="n"/>
      <c r="AK88" s="36" t="n"/>
      <c r="AL88" s="36" t="n"/>
      <c r="AM88" s="36" t="n"/>
      <c r="AN88" s="36" t="n"/>
      <c r="AO88" s="36" t="n"/>
      <c r="AP88" s="36" t="n"/>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c r="BP88" s="36" t="n"/>
      <c r="BQ88" s="36" t="n"/>
      <c r="BR88" s="36" t="n"/>
      <c r="BS88" s="36" t="n"/>
      <c r="BT88" s="36" t="n"/>
      <c r="BU88" s="36" t="n"/>
      <c r="BV88" s="36" t="n"/>
      <c r="BW88" s="36" t="n"/>
      <c r="BX88" s="36" t="n"/>
      <c r="BY88" s="36" t="n"/>
      <c r="BZ88" s="36" t="n"/>
      <c r="CA88" s="36" t="n"/>
      <c r="CB88" s="36" t="n"/>
      <c r="CC88" s="36" t="n"/>
      <c r="CD88" s="36" t="n"/>
      <c r="CE88" s="36" t="n"/>
    </row>
    <row r="89" ht="34" customHeight="1">
      <c r="A89" s="37" t="n"/>
      <c r="B89" s="42">
        <f>IFERROR(INDEX(People!$B$2:$B$199,MATCH($A$87&amp;"#"&amp;3,People!$H$2:$H$199,0)),"")</f>
        <v/>
      </c>
      <c r="C89" s="26">
        <f>IF(TRIM($B89)="","",IFERROR(INDEX(People!$A$2:$A$199,MATCH(TRIM($B89),People!$B$2:$B$199,0)),"?? CHECK NAME"))</f>
        <v/>
      </c>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c r="BP89" s="36" t="n"/>
      <c r="BQ89" s="36" t="n"/>
      <c r="BR89" s="36" t="n"/>
      <c r="BS89" s="36" t="n"/>
      <c r="BT89" s="36" t="n"/>
      <c r="BU89" s="36" t="n"/>
      <c r="BV89" s="36" t="n"/>
      <c r="BW89" s="36" t="n"/>
      <c r="BX89" s="36" t="n"/>
      <c r="BY89" s="36" t="n"/>
      <c r="BZ89" s="36" t="n"/>
      <c r="CA89" s="36" t="n"/>
      <c r="CB89" s="36" t="n"/>
      <c r="CC89" s="36" t="n"/>
      <c r="CD89" s="36" t="n"/>
      <c r="CE89" s="36" t="n"/>
    </row>
    <row r="90" ht="34" customHeight="1">
      <c r="A90" s="37" t="n"/>
      <c r="B90" s="42">
        <f>IFERROR(INDEX(People!$B$2:$B$199,MATCH($A$87&amp;"#"&amp;4,People!$H$2:$H$199,0)),"")</f>
        <v/>
      </c>
      <c r="C90" s="26">
        <f>IF(TRIM($B90)="","",IFERROR(INDEX(People!$A$2:$A$199,MATCH(TRIM($B90),People!$B$2:$B$199,0)),"?? CHECK NAME"))</f>
        <v/>
      </c>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c r="AF90" s="36" t="n"/>
      <c r="AG90" s="36" t="n"/>
      <c r="AH90" s="36" t="n"/>
      <c r="AI90" s="36" t="n"/>
      <c r="AJ90" s="36" t="n"/>
      <c r="AK90" s="36" t="n"/>
      <c r="AL90" s="36" t="n"/>
      <c r="AM90" s="36" t="n"/>
      <c r="AN90" s="36" t="n"/>
      <c r="AO90" s="36" t="n"/>
      <c r="AP90" s="36" t="n"/>
      <c r="AQ90" s="36" t="n"/>
      <c r="AR90" s="36" t="n"/>
      <c r="AS90" s="36" t="n"/>
      <c r="AT90" s="36" t="n"/>
      <c r="AU90" s="36" t="n"/>
      <c r="AV90" s="36" t="n"/>
      <c r="AW90" s="36" t="n"/>
      <c r="AX90" s="36" t="n"/>
      <c r="AY90" s="36" t="n"/>
      <c r="AZ90" s="36" t="n"/>
      <c r="BA90" s="36" t="n"/>
      <c r="BB90" s="36" t="n"/>
      <c r="BC90" s="36" t="n"/>
      <c r="BD90" s="36" t="n"/>
      <c r="BE90" s="36" t="n"/>
      <c r="BF90" s="36" t="n"/>
      <c r="BG90" s="36" t="n"/>
      <c r="BH90" s="36" t="n"/>
      <c r="BI90" s="36" t="n"/>
      <c r="BJ90" s="36" t="n"/>
      <c r="BK90" s="36" t="n"/>
      <c r="BL90" s="36" t="n"/>
      <c r="BM90" s="36" t="n"/>
      <c r="BN90" s="36" t="n"/>
      <c r="BO90" s="36" t="n"/>
      <c r="BP90" s="36" t="n"/>
      <c r="BQ90" s="36" t="n"/>
      <c r="BR90" s="36" t="n"/>
      <c r="BS90" s="36" t="n"/>
      <c r="BT90" s="36" t="n"/>
      <c r="BU90" s="36" t="n"/>
      <c r="BV90" s="36" t="n"/>
      <c r="BW90" s="36" t="n"/>
      <c r="BX90" s="36" t="n"/>
      <c r="BY90" s="36" t="n"/>
      <c r="BZ90" s="36" t="n"/>
      <c r="CA90" s="36" t="n"/>
      <c r="CB90" s="36" t="n"/>
      <c r="CC90" s="36" t="n"/>
      <c r="CD90" s="36" t="n"/>
      <c r="CE90" s="36" t="n"/>
    </row>
    <row r="91" ht="34" customHeight="1">
      <c r="A91" s="38" t="n"/>
      <c r="B91" s="42">
        <f>IFERROR(INDEX(People!$B$2:$B$199,MATCH($A$87&amp;"#"&amp;5,People!$H$2:$H$199,0)),"")</f>
        <v/>
      </c>
      <c r="C91" s="26">
        <f>IF(TRIM($B91)="","",IFERROR(INDEX(People!$A$2:$A$199,MATCH(TRIM($B91),People!$B$2:$B$199,0)),"?? CHECK NAME"))</f>
        <v/>
      </c>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c r="BP91" s="36" t="n"/>
      <c r="BQ91" s="36" t="n"/>
      <c r="BR91" s="36" t="n"/>
      <c r="BS91" s="36" t="n"/>
      <c r="BT91" s="36" t="n"/>
      <c r="BU91" s="36" t="n"/>
      <c r="BV91" s="36" t="n"/>
      <c r="BW91" s="36" t="n"/>
      <c r="BX91" s="36" t="n"/>
      <c r="BY91" s="36" t="n"/>
      <c r="BZ91" s="36" t="n"/>
      <c r="CA91" s="36" t="n"/>
      <c r="CB91" s="36" t="n"/>
      <c r="CC91" s="36" t="n"/>
      <c r="CD91" s="36" t="n"/>
      <c r="CE91" s="36" t="n"/>
    </row>
    <row r="92" ht="34" customHeight="1">
      <c r="A92" s="41" t="inlineStr">
        <is>
          <t>Illini Raas</t>
        </is>
      </c>
      <c r="B92" s="42">
        <f>IFERROR(INDEX(People!$B$2:$B$199,MATCH($A$92&amp;"#"&amp;1,People!$H$2:$H$199,0)),"")</f>
        <v/>
      </c>
      <c r="C92" s="26">
        <f>IF(TRIM($B92)="","",IFERROR(INDEX(People!$A$2:$A$199,MATCH(TRIM($B92),People!$B$2:$B$199,0)),"?? CHECK NAME"))</f>
        <v/>
      </c>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c r="AF92" s="36" t="n"/>
      <c r="AG92" s="36" t="n"/>
      <c r="AH92" s="36" t="n"/>
      <c r="AI92" s="36" t="n"/>
      <c r="AJ92" s="36" t="n"/>
      <c r="AK92" s="36" t="n"/>
      <c r="AL92" s="36" t="n"/>
      <c r="AM92" s="36" t="n"/>
      <c r="AN92" s="36" t="n"/>
      <c r="AO92" s="36" t="n"/>
      <c r="AP92" s="36" t="n"/>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c r="BL92" s="36" t="n"/>
      <c r="BM92" s="36" t="n"/>
      <c r="BN92" s="36" t="n"/>
      <c r="BO92" s="36" t="n"/>
      <c r="BP92" s="36" t="n"/>
      <c r="BQ92" s="36" t="n"/>
      <c r="BR92" s="36" t="n"/>
      <c r="BS92" s="36" t="n"/>
      <c r="BT92" s="36" t="n"/>
      <c r="BU92" s="36" t="n"/>
      <c r="BV92" s="36" t="n"/>
      <c r="BW92" s="36" t="n"/>
      <c r="BX92" s="36" t="n"/>
      <c r="BY92" s="36" t="n"/>
      <c r="BZ92" s="36" t="n"/>
      <c r="CA92" s="36" t="n"/>
      <c r="CB92" s="36" t="n"/>
      <c r="CC92" s="36" t="n"/>
      <c r="CD92" s="36" t="n"/>
      <c r="CE92" s="36" t="n"/>
    </row>
    <row r="93" ht="34" customHeight="1">
      <c r="A93" s="37" t="n"/>
      <c r="B93" s="42">
        <f>IFERROR(INDEX(People!$B$2:$B$199,MATCH($A$92&amp;"#"&amp;2,People!$H$2:$H$199,0)),"")</f>
        <v/>
      </c>
      <c r="C93" s="26">
        <f>IF(TRIM($B93)="","",IFERROR(INDEX(People!$A$2:$A$199,MATCH(TRIM($B93),People!$B$2:$B$199,0)),"?? CHECK NAME"))</f>
        <v/>
      </c>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c r="AF93" s="36" t="n"/>
      <c r="AG93" s="36" t="n"/>
      <c r="AH93" s="36" t="n"/>
      <c r="AI93" s="36" t="n"/>
      <c r="AJ93" s="36" t="n"/>
      <c r="AK93" s="36" t="n"/>
      <c r="AL93" s="36" t="n"/>
      <c r="AM93" s="36" t="n"/>
      <c r="AN93" s="36" t="n"/>
      <c r="AO93" s="36" t="n"/>
      <c r="AP93" s="36" t="n"/>
      <c r="AQ93" s="36" t="n"/>
      <c r="AR93" s="36" t="n"/>
      <c r="AS93" s="36" t="n"/>
      <c r="AT93" s="36" t="n"/>
      <c r="AU93" s="36" t="n"/>
      <c r="AV93" s="36" t="n"/>
      <c r="AW93" s="36" t="n"/>
      <c r="AX93" s="36" t="n"/>
      <c r="AY93" s="36" t="n"/>
      <c r="AZ93" s="36" t="n"/>
      <c r="BA93" s="36" t="n"/>
      <c r="BB93" s="36" t="n"/>
      <c r="BC93" s="36" t="n"/>
      <c r="BD93" s="36" t="n"/>
      <c r="BE93" s="36" t="n"/>
      <c r="BF93" s="36" t="n"/>
      <c r="BG93" s="36" t="n"/>
      <c r="BH93" s="36" t="n"/>
      <c r="BI93" s="36" t="n"/>
      <c r="BJ93" s="36" t="n"/>
      <c r="BK93" s="36" t="n"/>
      <c r="BL93" s="36" t="n"/>
      <c r="BM93" s="36" t="n"/>
      <c r="BN93" s="36" t="n"/>
      <c r="BO93" s="36" t="n"/>
      <c r="BP93" s="36" t="n"/>
      <c r="BQ93" s="36" t="n"/>
      <c r="BR93" s="36" t="n"/>
      <c r="BS93" s="36" t="n"/>
      <c r="BT93" s="36" t="n"/>
      <c r="BU93" s="36" t="n"/>
      <c r="BV93" s="36" t="n"/>
      <c r="BW93" s="36" t="n"/>
      <c r="BX93" s="36" t="n"/>
      <c r="BY93" s="36" t="n"/>
      <c r="BZ93" s="36" t="n"/>
      <c r="CA93" s="36" t="n"/>
      <c r="CB93" s="36" t="n"/>
      <c r="CC93" s="36" t="n"/>
      <c r="CD93" s="36" t="n"/>
      <c r="CE93" s="36" t="n"/>
    </row>
    <row r="94" ht="34" customHeight="1">
      <c r="A94" s="37" t="n"/>
      <c r="B94" s="42">
        <f>IFERROR(INDEX(People!$B$2:$B$199,MATCH($A$92&amp;"#"&amp;3,People!$H$2:$H$199,0)),"")</f>
        <v/>
      </c>
      <c r="C94" s="26">
        <f>IF(TRIM($B94)="","",IFERROR(INDEX(People!$A$2:$A$199,MATCH(TRIM($B94),People!$B$2:$B$199,0)),"?? CHECK NAME"))</f>
        <v/>
      </c>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c r="AF94" s="36" t="n"/>
      <c r="AG94" s="36" t="n"/>
      <c r="AH94" s="36" t="n"/>
      <c r="AI94" s="36" t="n"/>
      <c r="AJ94" s="36" t="n"/>
      <c r="AK94" s="36" t="n"/>
      <c r="AL94" s="36" t="n"/>
      <c r="AM94" s="36" t="n"/>
      <c r="AN94" s="36" t="n"/>
      <c r="AO94" s="36" t="n"/>
      <c r="AP94" s="36" t="n"/>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c r="BP94" s="36" t="n"/>
      <c r="BQ94" s="36" t="n"/>
      <c r="BR94" s="36" t="n"/>
      <c r="BS94" s="36" t="n"/>
      <c r="BT94" s="36" t="n"/>
      <c r="BU94" s="36" t="n"/>
      <c r="BV94" s="36" t="n"/>
      <c r="BW94" s="36" t="n"/>
      <c r="BX94" s="36" t="n"/>
      <c r="BY94" s="36" t="n"/>
      <c r="BZ94" s="36" t="n"/>
      <c r="CA94" s="36" t="n"/>
      <c r="CB94" s="36" t="n"/>
      <c r="CC94" s="36" t="n"/>
      <c r="CD94" s="36" t="n"/>
      <c r="CE94" s="36" t="n"/>
    </row>
    <row r="95" ht="34" customHeight="1">
      <c r="A95" s="37" t="n"/>
      <c r="B95" s="42">
        <f>IFERROR(INDEX(People!$B$2:$B$199,MATCH($A$92&amp;"#"&amp;4,People!$H$2:$H$199,0)),"")</f>
        <v/>
      </c>
      <c r="C95" s="26">
        <f>IF(TRIM($B95)="","",IFERROR(INDEX(People!$A$2:$A$199,MATCH(TRIM($B95),People!$B$2:$B$199,0)),"?? CHECK NAME"))</f>
        <v/>
      </c>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c r="AF95" s="36" t="n"/>
      <c r="AG95" s="36" t="n"/>
      <c r="AH95" s="36" t="n"/>
      <c r="AI95" s="36" t="n"/>
      <c r="AJ95" s="36" t="n"/>
      <c r="AK95" s="36" t="n"/>
      <c r="AL95" s="36" t="n"/>
      <c r="AM95" s="36" t="n"/>
      <c r="AN95" s="36" t="n"/>
      <c r="AO95" s="36" t="n"/>
      <c r="AP95" s="36" t="n"/>
      <c r="AQ95" s="36" t="n"/>
      <c r="AR95" s="36" t="n"/>
      <c r="AS95" s="36" t="n"/>
      <c r="AT95" s="36" t="n"/>
      <c r="AU95" s="36" t="n"/>
      <c r="AV95" s="36" t="n"/>
      <c r="AW95" s="36" t="n"/>
      <c r="AX95" s="36" t="n"/>
      <c r="AY95" s="36" t="n"/>
      <c r="AZ95" s="36" t="n"/>
      <c r="BA95" s="36" t="n"/>
      <c r="BB95" s="36" t="n"/>
      <c r="BC95" s="36" t="n"/>
      <c r="BD95" s="36" t="n"/>
      <c r="BE95" s="36" t="n"/>
      <c r="BF95" s="36" t="n"/>
      <c r="BG95" s="36" t="n"/>
      <c r="BH95" s="36" t="n"/>
      <c r="BI95" s="36" t="n"/>
      <c r="BJ95" s="36" t="n"/>
      <c r="BK95" s="36" t="n"/>
      <c r="BL95" s="36" t="n"/>
      <c r="BM95" s="36" t="n"/>
      <c r="BN95" s="36" t="n"/>
      <c r="BO95" s="36" t="n"/>
      <c r="BP95" s="36" t="n"/>
      <c r="BQ95" s="36" t="n"/>
      <c r="BR95" s="36" t="n"/>
      <c r="BS95" s="36" t="n"/>
      <c r="BT95" s="36" t="n"/>
      <c r="BU95" s="36" t="n"/>
      <c r="BV95" s="36" t="n"/>
      <c r="BW95" s="36" t="n"/>
      <c r="BX95" s="36" t="n"/>
      <c r="BY95" s="36" t="n"/>
      <c r="BZ95" s="36" t="n"/>
      <c r="CA95" s="36" t="n"/>
      <c r="CB95" s="36" t="n"/>
      <c r="CC95" s="36" t="n"/>
      <c r="CD95" s="36" t="n"/>
      <c r="CE95" s="36" t="n"/>
    </row>
    <row r="96" ht="34" customHeight="1">
      <c r="A96" s="38" t="n"/>
      <c r="B96" s="42">
        <f>IFERROR(INDEX(People!$B$2:$B$199,MATCH($A$92&amp;"#"&amp;5,People!$H$2:$H$199,0)),"")</f>
        <v/>
      </c>
      <c r="C96" s="26">
        <f>IF(TRIM($B96)="","",IFERROR(INDEX(People!$A$2:$A$199,MATCH(TRIM($B96),People!$B$2:$B$199,0)),"?? CHECK NAME"))</f>
        <v/>
      </c>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c r="AF96" s="36" t="n"/>
      <c r="AG96" s="36" t="n"/>
      <c r="AH96" s="36" t="n"/>
      <c r="AI96" s="36" t="n"/>
      <c r="AJ96" s="36" t="n"/>
      <c r="AK96" s="36" t="n"/>
      <c r="AL96" s="36" t="n"/>
      <c r="AM96" s="36" t="n"/>
      <c r="AN96" s="36" t="n"/>
      <c r="AO96" s="36" t="n"/>
      <c r="AP96" s="36" t="n"/>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c r="BL96" s="36" t="n"/>
      <c r="BM96" s="36" t="n"/>
      <c r="BN96" s="36" t="n"/>
      <c r="BO96" s="36" t="n"/>
      <c r="BP96" s="36" t="n"/>
      <c r="BQ96" s="36" t="n"/>
      <c r="BR96" s="36" t="n"/>
      <c r="BS96" s="36" t="n"/>
      <c r="BT96" s="36" t="n"/>
      <c r="BU96" s="36" t="n"/>
      <c r="BV96" s="36" t="n"/>
      <c r="BW96" s="36" t="n"/>
      <c r="BX96" s="36" t="n"/>
      <c r="BY96" s="36" t="n"/>
      <c r="BZ96" s="36" t="n"/>
      <c r="CA96" s="36" t="n"/>
      <c r="CB96" s="36" t="n"/>
      <c r="CC96" s="36" t="n"/>
      <c r="CD96" s="36" t="n"/>
      <c r="CE96" s="36" t="n"/>
    </row>
    <row r="97" ht="34" customHeight="1">
      <c r="A97" s="41" t="inlineStr">
        <is>
          <t>UTD Taraas</t>
        </is>
      </c>
      <c r="B97" s="42">
        <f>IFERROR(INDEX(People!$B$2:$B$199,MATCH($A$97&amp;"#"&amp;1,People!$H$2:$H$199,0)),"")</f>
        <v/>
      </c>
      <c r="C97" s="26">
        <f>IF(TRIM($B97)="","",IFERROR(INDEX(People!$A$2:$A$199,MATCH(TRIM($B97),People!$B$2:$B$199,0)),"?? CHECK NAME"))</f>
        <v/>
      </c>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c r="AF97" s="36" t="n"/>
      <c r="AG97" s="36" t="n"/>
      <c r="AH97" s="36" t="n"/>
      <c r="AI97" s="36" t="n"/>
      <c r="AJ97" s="36" t="n"/>
      <c r="AK97" s="36" t="n"/>
      <c r="AL97" s="36" t="n"/>
      <c r="AM97" s="36" t="n"/>
      <c r="AN97" s="36" t="n"/>
      <c r="AO97" s="36" t="n"/>
      <c r="AP97" s="36" t="n"/>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c r="BP97" s="36" t="n"/>
      <c r="BQ97" s="36" t="n"/>
      <c r="BR97" s="36" t="n"/>
      <c r="BS97" s="36" t="n"/>
      <c r="BT97" s="36" t="n"/>
      <c r="BU97" s="36" t="n"/>
      <c r="BV97" s="36" t="n"/>
      <c r="BW97" s="36" t="n"/>
      <c r="BX97" s="36" t="n"/>
      <c r="BY97" s="36" t="n"/>
      <c r="BZ97" s="36" t="n"/>
      <c r="CA97" s="36" t="n"/>
      <c r="CB97" s="36" t="n"/>
      <c r="CC97" s="36" t="n"/>
      <c r="CD97" s="36" t="n"/>
      <c r="CE97" s="36" t="n"/>
    </row>
    <row r="98" ht="34" customHeight="1">
      <c r="A98" s="37" t="n"/>
      <c r="B98" s="42">
        <f>IFERROR(INDEX(People!$B$2:$B$199,MATCH($A$97&amp;"#"&amp;2,People!$H$2:$H$199,0)),"")</f>
        <v/>
      </c>
      <c r="C98" s="26">
        <f>IF(TRIM($B98)="","",IFERROR(INDEX(People!$A$2:$A$199,MATCH(TRIM($B98),People!$B$2:$B$199,0)),"?? CHECK NAME"))</f>
        <v/>
      </c>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c r="BL98" s="36" t="n"/>
      <c r="BM98" s="36" t="n"/>
      <c r="BN98" s="36" t="n"/>
      <c r="BO98" s="36" t="n"/>
      <c r="BP98" s="36" t="n"/>
      <c r="BQ98" s="36" t="n"/>
      <c r="BR98" s="36" t="n"/>
      <c r="BS98" s="36" t="n"/>
      <c r="BT98" s="36" t="n"/>
      <c r="BU98" s="36" t="n"/>
      <c r="BV98" s="36" t="n"/>
      <c r="BW98" s="36" t="n"/>
      <c r="BX98" s="36" t="n"/>
      <c r="BY98" s="36" t="n"/>
      <c r="BZ98" s="36" t="n"/>
      <c r="CA98" s="36" t="n"/>
      <c r="CB98" s="36" t="n"/>
      <c r="CC98" s="36" t="n"/>
      <c r="CD98" s="36" t="n"/>
      <c r="CE98" s="36" t="n"/>
    </row>
    <row r="99" ht="34" customHeight="1">
      <c r="A99" s="37" t="n"/>
      <c r="B99" s="42">
        <f>IFERROR(INDEX(People!$B$2:$B$199,MATCH($A$97&amp;"#"&amp;3,People!$H$2:$H$199,0)),"")</f>
        <v/>
      </c>
      <c r="C99" s="26">
        <f>IF(TRIM($B99)="","",IFERROR(INDEX(People!$A$2:$A$199,MATCH(TRIM($B99),People!$B$2:$B$199,0)),"?? CHECK NAME"))</f>
        <v/>
      </c>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c r="AF99" s="36" t="n"/>
      <c r="AG99" s="36" t="n"/>
      <c r="AH99" s="36" t="n"/>
      <c r="AI99" s="36" t="n"/>
      <c r="AJ99" s="36" t="n"/>
      <c r="AK99" s="36" t="n"/>
      <c r="AL99" s="36" t="n"/>
      <c r="AM99" s="36" t="n"/>
      <c r="AN99" s="36" t="n"/>
      <c r="AO99" s="36" t="n"/>
      <c r="AP99" s="36" t="n"/>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c r="BL99" s="36" t="n"/>
      <c r="BM99" s="36" t="n"/>
      <c r="BN99" s="36" t="n"/>
      <c r="BO99" s="36" t="n"/>
      <c r="BP99" s="36" t="n"/>
      <c r="BQ99" s="36" t="n"/>
      <c r="BR99" s="36" t="n"/>
      <c r="BS99" s="36" t="n"/>
      <c r="BT99" s="36" t="n"/>
      <c r="BU99" s="36" t="n"/>
      <c r="BV99" s="36" t="n"/>
      <c r="BW99" s="36" t="n"/>
      <c r="BX99" s="36" t="n"/>
      <c r="BY99" s="36" t="n"/>
      <c r="BZ99" s="36" t="n"/>
      <c r="CA99" s="36" t="n"/>
      <c r="CB99" s="36" t="n"/>
      <c r="CC99" s="36" t="n"/>
      <c r="CD99" s="36" t="n"/>
      <c r="CE99" s="36" t="n"/>
    </row>
    <row r="100" ht="34" customHeight="1">
      <c r="A100" s="37" t="n"/>
      <c r="B100" s="42">
        <f>IFERROR(INDEX(People!$B$2:$B$199,MATCH($A$97&amp;"#"&amp;4,People!$H$2:$H$199,0)),"")</f>
        <v/>
      </c>
      <c r="C100" s="26">
        <f>IF(TRIM($B100)="","",IFERROR(INDEX(People!$A$2:$A$199,MATCH(TRIM($B100),People!$B$2:$B$199,0)),"?? CHECK NAME"))</f>
        <v/>
      </c>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c r="AF100" s="36" t="n"/>
      <c r="AG100" s="36" t="n"/>
      <c r="AH100" s="36" t="n"/>
      <c r="AI100" s="36" t="n"/>
      <c r="AJ100" s="36" t="n"/>
      <c r="AK100" s="36" t="n"/>
      <c r="AL100" s="36" t="n"/>
      <c r="AM100" s="36" t="n"/>
      <c r="AN100" s="36" t="n"/>
      <c r="AO100" s="36" t="n"/>
      <c r="AP100" s="36" t="n"/>
      <c r="AQ100" s="36" t="n"/>
      <c r="AR100" s="36" t="n"/>
      <c r="AS100" s="36" t="n"/>
      <c r="AT100" s="36" t="n"/>
      <c r="AU100" s="36" t="n"/>
      <c r="AV100" s="36" t="n"/>
      <c r="AW100" s="36" t="n"/>
      <c r="AX100" s="36" t="n"/>
      <c r="AY100" s="36" t="n"/>
      <c r="AZ100" s="36" t="n"/>
      <c r="BA100" s="36" t="n"/>
      <c r="BB100" s="36" t="n"/>
      <c r="BC100" s="36" t="n"/>
      <c r="BD100" s="36" t="n"/>
      <c r="BE100" s="36" t="n"/>
      <c r="BF100" s="36" t="n"/>
      <c r="BG100" s="36" t="n"/>
      <c r="BH100" s="36" t="n"/>
      <c r="BI100" s="36" t="n"/>
      <c r="BJ100" s="36" t="n"/>
      <c r="BK100" s="36" t="n"/>
      <c r="BL100" s="36" t="n"/>
      <c r="BM100" s="36" t="n"/>
      <c r="BN100" s="36" t="n"/>
      <c r="BO100" s="36" t="n"/>
      <c r="BP100" s="36" t="n"/>
      <c r="BQ100" s="36" t="n"/>
      <c r="BR100" s="36" t="n"/>
      <c r="BS100" s="36" t="n"/>
      <c r="BT100" s="36" t="n"/>
      <c r="BU100" s="36" t="n"/>
      <c r="BV100" s="36" t="n"/>
      <c r="BW100" s="36" t="n"/>
      <c r="BX100" s="36" t="n"/>
      <c r="BY100" s="36" t="n"/>
      <c r="BZ100" s="36" t="n"/>
      <c r="CA100" s="36" t="n"/>
      <c r="CB100" s="36" t="n"/>
      <c r="CC100" s="36" t="n"/>
      <c r="CD100" s="36" t="n"/>
      <c r="CE100" s="36" t="n"/>
    </row>
    <row r="101" ht="34" customHeight="1">
      <c r="A101" s="38" t="n"/>
      <c r="B101" s="42">
        <f>IFERROR(INDEX(People!$B$2:$B$199,MATCH($A$97&amp;"#"&amp;5,People!$H$2:$H$199,0)),"")</f>
        <v/>
      </c>
      <c r="C101" s="26">
        <f>IF(TRIM($B101)="","",IFERROR(INDEX(People!$A$2:$A$199,MATCH(TRIM($B101),People!$B$2:$B$199,0)),"?? CHECK NAME"))</f>
        <v/>
      </c>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c r="AF101" s="36" t="n"/>
      <c r="AG101" s="36" t="n"/>
      <c r="AH101" s="36" t="n"/>
      <c r="AI101" s="36" t="n"/>
      <c r="AJ101" s="36" t="n"/>
      <c r="AK101" s="36" t="n"/>
      <c r="AL101" s="36" t="n"/>
      <c r="AM101" s="36" t="n"/>
      <c r="AN101" s="36" t="n"/>
      <c r="AO101" s="36" t="n"/>
      <c r="AP101" s="36" t="n"/>
      <c r="AQ101" s="36" t="n"/>
      <c r="AR101" s="36" t="n"/>
      <c r="AS101" s="36" t="n"/>
      <c r="AT101" s="36" t="n"/>
      <c r="AU101" s="36" t="n"/>
      <c r="AV101" s="36" t="n"/>
      <c r="AW101" s="36" t="n"/>
      <c r="AX101" s="36" t="n"/>
      <c r="AY101" s="36" t="n"/>
      <c r="AZ101" s="36" t="n"/>
      <c r="BA101" s="36" t="n"/>
      <c r="BB101" s="36" t="n"/>
      <c r="BC101" s="36" t="n"/>
      <c r="BD101" s="36" t="n"/>
      <c r="BE101" s="36" t="n"/>
      <c r="BF101" s="36" t="n"/>
      <c r="BG101" s="36" t="n"/>
      <c r="BH101" s="36" t="n"/>
      <c r="BI101" s="36" t="n"/>
      <c r="BJ101" s="36" t="n"/>
      <c r="BK101" s="36" t="n"/>
      <c r="BL101" s="36" t="n"/>
      <c r="BM101" s="36" t="n"/>
      <c r="BN101" s="36" t="n"/>
      <c r="BO101" s="36" t="n"/>
      <c r="BP101" s="36" t="n"/>
      <c r="BQ101" s="36" t="n"/>
      <c r="BR101" s="36" t="n"/>
      <c r="BS101" s="36" t="n"/>
      <c r="BT101" s="36" t="n"/>
      <c r="BU101" s="36" t="n"/>
      <c r="BV101" s="36" t="n"/>
      <c r="BW101" s="36" t="n"/>
      <c r="BX101" s="36" t="n"/>
      <c r="BY101" s="36" t="n"/>
      <c r="BZ101" s="36" t="n"/>
      <c r="CA101" s="36" t="n"/>
      <c r="CB101" s="36" t="n"/>
      <c r="CC101" s="36" t="n"/>
      <c r="CD101" s="36" t="n"/>
      <c r="CE101" s="36" t="n"/>
    </row>
    <row r="102" ht="34" customHeight="1">
      <c r="A102" s="41" t="inlineStr">
        <is>
          <t>UVA Hooraas</t>
        </is>
      </c>
      <c r="B102" s="42">
        <f>IFERROR(INDEX(People!$B$2:$B$199,MATCH($A$102&amp;"#"&amp;1,People!$H$2:$H$199,0)),"")</f>
        <v/>
      </c>
      <c r="C102" s="26">
        <f>IF(TRIM($B102)="","",IFERROR(INDEX(People!$A$2:$A$199,MATCH(TRIM($B102),People!$B$2:$B$199,0)),"?? CHECK NAME"))</f>
        <v/>
      </c>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c r="AF102" s="36" t="n"/>
      <c r="AG102" s="36" t="n"/>
      <c r="AH102" s="36" t="n"/>
      <c r="AI102" s="36" t="n"/>
      <c r="AJ102" s="36" t="n"/>
      <c r="AK102" s="36" t="n"/>
      <c r="AL102" s="36" t="n"/>
      <c r="AM102" s="36" t="n"/>
      <c r="AN102" s="36" t="n"/>
      <c r="AO102" s="36" t="n"/>
      <c r="AP102" s="36" t="n"/>
      <c r="AQ102" s="36" t="n"/>
      <c r="AR102" s="36" t="n"/>
      <c r="AS102" s="36" t="n"/>
      <c r="AT102" s="36" t="n"/>
      <c r="AU102" s="36" t="n"/>
      <c r="AV102" s="36" t="n"/>
      <c r="AW102" s="36" t="n"/>
      <c r="AX102" s="36" t="n"/>
      <c r="AY102" s="36" t="n"/>
      <c r="AZ102" s="36" t="n"/>
      <c r="BA102" s="36" t="n"/>
      <c r="BB102" s="36" t="n"/>
      <c r="BC102" s="36" t="n"/>
      <c r="BD102" s="36" t="n"/>
      <c r="BE102" s="36" t="n"/>
      <c r="BF102" s="36" t="n"/>
      <c r="BG102" s="36" t="n"/>
      <c r="BH102" s="36" t="n"/>
      <c r="BI102" s="36" t="n"/>
      <c r="BJ102" s="36" t="n"/>
      <c r="BK102" s="36" t="n"/>
      <c r="BL102" s="36" t="n"/>
      <c r="BM102" s="36" t="n"/>
      <c r="BN102" s="36" t="n"/>
      <c r="BO102" s="36" t="n"/>
      <c r="BP102" s="36" t="n"/>
      <c r="BQ102" s="36" t="n"/>
      <c r="BR102" s="36" t="n"/>
      <c r="BS102" s="36" t="n"/>
      <c r="BT102" s="36" t="n"/>
      <c r="BU102" s="36" t="n"/>
      <c r="BV102" s="36" t="n"/>
      <c r="BW102" s="36" t="n"/>
      <c r="BX102" s="36" t="n"/>
      <c r="BY102" s="36" t="n"/>
      <c r="BZ102" s="36" t="n"/>
      <c r="CA102" s="36" t="n"/>
      <c r="CB102" s="36" t="n"/>
      <c r="CC102" s="36" t="n"/>
      <c r="CD102" s="36" t="n"/>
      <c r="CE102" s="36" t="n"/>
    </row>
    <row r="103" ht="34" customHeight="1">
      <c r="A103" s="37" t="n"/>
      <c r="B103" s="42">
        <f>IFERROR(INDEX(People!$B$2:$B$199,MATCH($A$102&amp;"#"&amp;2,People!$H$2:$H$199,0)),"")</f>
        <v/>
      </c>
      <c r="C103" s="26">
        <f>IF(TRIM($B103)="","",IFERROR(INDEX(People!$A$2:$A$199,MATCH(TRIM($B103),People!$B$2:$B$199,0)),"?? CHECK NAME"))</f>
        <v/>
      </c>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c r="AF103" s="36" t="n"/>
      <c r="AG103" s="36" t="n"/>
      <c r="AH103" s="36" t="n"/>
      <c r="AI103" s="36" t="n"/>
      <c r="AJ103" s="36" t="n"/>
      <c r="AK103" s="36" t="n"/>
      <c r="AL103" s="36" t="n"/>
      <c r="AM103" s="36" t="n"/>
      <c r="AN103" s="36" t="n"/>
      <c r="AO103" s="36" t="n"/>
      <c r="AP103" s="36" t="n"/>
      <c r="AQ103" s="36" t="n"/>
      <c r="AR103" s="36" t="n"/>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c r="BL103" s="36" t="n"/>
      <c r="BM103" s="36" t="n"/>
      <c r="BN103" s="36" t="n"/>
      <c r="BO103" s="36" t="n"/>
      <c r="BP103" s="36" t="n"/>
      <c r="BQ103" s="36" t="n"/>
      <c r="BR103" s="36" t="n"/>
      <c r="BS103" s="36" t="n"/>
      <c r="BT103" s="36" t="n"/>
      <c r="BU103" s="36" t="n"/>
      <c r="BV103" s="36" t="n"/>
      <c r="BW103" s="36" t="n"/>
      <c r="BX103" s="36" t="n"/>
      <c r="BY103" s="36" t="n"/>
      <c r="BZ103" s="36" t="n"/>
      <c r="CA103" s="36" t="n"/>
      <c r="CB103" s="36" t="n"/>
      <c r="CC103" s="36" t="n"/>
      <c r="CD103" s="36" t="n"/>
      <c r="CE103" s="36" t="n"/>
    </row>
    <row r="104" ht="34" customHeight="1">
      <c r="A104" s="37" t="n"/>
      <c r="B104" s="42">
        <f>IFERROR(INDEX(People!$B$2:$B$199,MATCH($A$102&amp;"#"&amp;3,People!$H$2:$H$199,0)),"")</f>
        <v/>
      </c>
      <c r="C104" s="26">
        <f>IF(TRIM($B104)="","",IFERROR(INDEX(People!$A$2:$A$199,MATCH(TRIM($B104),People!$B$2:$B$199,0)),"?? CHECK NAME"))</f>
        <v/>
      </c>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c r="AF104" s="36" t="n"/>
      <c r="AG104" s="36" t="n"/>
      <c r="AH104" s="36" t="n"/>
      <c r="AI104" s="36" t="n"/>
      <c r="AJ104" s="36" t="n"/>
      <c r="AK104" s="36" t="n"/>
      <c r="AL104" s="36" t="n"/>
      <c r="AM104" s="36" t="n"/>
      <c r="AN104" s="36" t="n"/>
      <c r="AO104" s="36" t="n"/>
      <c r="AP104" s="36" t="n"/>
      <c r="AQ104" s="36" t="n"/>
      <c r="AR104" s="36" t="n"/>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c r="BL104" s="36" t="n"/>
      <c r="BM104" s="36" t="n"/>
      <c r="BN104" s="36" t="n"/>
      <c r="BO104" s="36" t="n"/>
      <c r="BP104" s="36" t="n"/>
      <c r="BQ104" s="36" t="n"/>
      <c r="BR104" s="36" t="n"/>
      <c r="BS104" s="36" t="n"/>
      <c r="BT104" s="36" t="n"/>
      <c r="BU104" s="36" t="n"/>
      <c r="BV104" s="36" t="n"/>
      <c r="BW104" s="36" t="n"/>
      <c r="BX104" s="36" t="n"/>
      <c r="BY104" s="36" t="n"/>
      <c r="BZ104" s="36" t="n"/>
      <c r="CA104" s="36" t="n"/>
      <c r="CB104" s="36" t="n"/>
      <c r="CC104" s="36" t="n"/>
      <c r="CD104" s="36" t="n"/>
      <c r="CE104" s="36" t="n"/>
    </row>
    <row r="105" ht="34" customHeight="1">
      <c r="A105" s="37" t="n"/>
      <c r="B105" s="42">
        <f>IFERROR(INDEX(People!$B$2:$B$199,MATCH($A$102&amp;"#"&amp;4,People!$H$2:$H$199,0)),"")</f>
        <v/>
      </c>
      <c r="C105" s="26">
        <f>IF(TRIM($B105)="","",IFERROR(INDEX(People!$A$2:$A$199,MATCH(TRIM($B105),People!$B$2:$B$199,0)),"?? CHECK NAME"))</f>
        <v/>
      </c>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c r="AF105" s="36" t="n"/>
      <c r="AG105" s="36" t="n"/>
      <c r="AH105" s="36" t="n"/>
      <c r="AI105" s="36" t="n"/>
      <c r="AJ105" s="36" t="n"/>
      <c r="AK105" s="36" t="n"/>
      <c r="AL105" s="36" t="n"/>
      <c r="AM105" s="36" t="n"/>
      <c r="AN105" s="36" t="n"/>
      <c r="AO105" s="36" t="n"/>
      <c r="AP105" s="36" t="n"/>
      <c r="AQ105" s="36" t="n"/>
      <c r="AR105" s="36" t="n"/>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c r="BL105" s="36" t="n"/>
      <c r="BM105" s="36" t="n"/>
      <c r="BN105" s="36" t="n"/>
      <c r="BO105" s="36" t="n"/>
      <c r="BP105" s="36" t="n"/>
      <c r="BQ105" s="36" t="n"/>
      <c r="BR105" s="36" t="n"/>
      <c r="BS105" s="36" t="n"/>
      <c r="BT105" s="36" t="n"/>
      <c r="BU105" s="36" t="n"/>
      <c r="BV105" s="36" t="n"/>
      <c r="BW105" s="36" t="n"/>
      <c r="BX105" s="36" t="n"/>
      <c r="BY105" s="36" t="n"/>
      <c r="BZ105" s="36" t="n"/>
      <c r="CA105" s="36" t="n"/>
      <c r="CB105" s="36" t="n"/>
      <c r="CC105" s="36" t="n"/>
      <c r="CD105" s="36" t="n"/>
      <c r="CE105" s="36" t="n"/>
    </row>
    <row r="106" ht="34" customHeight="1">
      <c r="A106" s="38" t="n"/>
      <c r="B106" s="42">
        <f>IFERROR(INDEX(People!$B$2:$B$199,MATCH($A$102&amp;"#"&amp;5,People!$H$2:$H$199,0)),"")</f>
        <v/>
      </c>
      <c r="C106" s="26">
        <f>IF(TRIM($B106)="","",IFERROR(INDEX(People!$A$2:$A$199,MATCH(TRIM($B106),People!$B$2:$B$199,0)),"?? CHECK NAME"))</f>
        <v/>
      </c>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c r="AF106" s="36" t="n"/>
      <c r="AG106" s="36" t="n"/>
      <c r="AH106" s="36" t="n"/>
      <c r="AI106" s="36" t="n"/>
      <c r="AJ106" s="36" t="n"/>
      <c r="AK106" s="36" t="n"/>
      <c r="AL106" s="36" t="n"/>
      <c r="AM106" s="36" t="n"/>
      <c r="AN106" s="36" t="n"/>
      <c r="AO106" s="36" t="n"/>
      <c r="AP106" s="36" t="n"/>
      <c r="AQ106" s="36" t="n"/>
      <c r="AR106" s="36" t="n"/>
      <c r="AS106" s="36" t="n"/>
      <c r="AT106" s="36" t="n"/>
      <c r="AU106" s="36" t="n"/>
      <c r="AV106" s="36" t="n"/>
      <c r="AW106" s="36" t="n"/>
      <c r="AX106" s="36" t="n"/>
      <c r="AY106" s="36" t="n"/>
      <c r="AZ106" s="36" t="n"/>
      <c r="BA106" s="36" t="n"/>
      <c r="BB106" s="36" t="n"/>
      <c r="BC106" s="36" t="n"/>
      <c r="BD106" s="36" t="n"/>
      <c r="BE106" s="36" t="n"/>
      <c r="BF106" s="36" t="n"/>
      <c r="BG106" s="36" t="n"/>
      <c r="BH106" s="36" t="n"/>
      <c r="BI106" s="36" t="n"/>
      <c r="BJ106" s="36" t="n"/>
      <c r="BK106" s="36" t="n"/>
      <c r="BL106" s="36" t="n"/>
      <c r="BM106" s="36" t="n"/>
      <c r="BN106" s="36" t="n"/>
      <c r="BO106" s="36" t="n"/>
      <c r="BP106" s="36" t="n"/>
      <c r="BQ106" s="36" t="n"/>
      <c r="BR106" s="36" t="n"/>
      <c r="BS106" s="36" t="n"/>
      <c r="BT106" s="36" t="n"/>
      <c r="BU106" s="36" t="n"/>
      <c r="BV106" s="36" t="n"/>
      <c r="BW106" s="36" t="n"/>
      <c r="BX106" s="36" t="n"/>
      <c r="BY106" s="36" t="n"/>
      <c r="BZ106" s="36" t="n"/>
      <c r="CA106" s="36" t="n"/>
      <c r="CB106" s="36" t="n"/>
      <c r="CC106" s="36" t="n"/>
      <c r="CD106" s="36" t="n"/>
      <c r="CE106" s="36" t="n"/>
    </row>
    <row r="107" ht="34" customHeight="1">
      <c r="A107" s="41" t="inlineStr">
        <is>
          <t>UMD Entouraas</t>
        </is>
      </c>
      <c r="B107" s="42">
        <f>IFERROR(INDEX(People!$B$2:$B$199,MATCH($A$107&amp;"#"&amp;1,People!$H$2:$H$199,0)),"")</f>
        <v/>
      </c>
      <c r="C107" s="26">
        <f>IF(TRIM($B107)="","",IFERROR(INDEX(People!$A$2:$A$199,MATCH(TRIM($B107),People!$B$2:$B$199,0)),"?? CHECK NAME"))</f>
        <v/>
      </c>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c r="AF107" s="36" t="n"/>
      <c r="AG107" s="36" t="n"/>
      <c r="AH107" s="36" t="n"/>
      <c r="AI107" s="36" t="n"/>
      <c r="AJ107" s="36" t="n"/>
      <c r="AK107" s="36" t="n"/>
      <c r="AL107" s="36" t="n"/>
      <c r="AM107" s="36" t="n"/>
      <c r="AN107" s="36" t="n"/>
      <c r="AO107" s="36" t="n"/>
      <c r="AP107" s="36" t="n"/>
      <c r="AQ107" s="36" t="n"/>
      <c r="AR107" s="36" t="n"/>
      <c r="AS107" s="36" t="n"/>
      <c r="AT107" s="36" t="n"/>
      <c r="AU107" s="36" t="n"/>
      <c r="AV107" s="36" t="n"/>
      <c r="AW107" s="36" t="n"/>
      <c r="AX107" s="36" t="n"/>
      <c r="AY107" s="36" t="n"/>
      <c r="AZ107" s="36" t="n"/>
      <c r="BA107" s="36" t="n"/>
      <c r="BB107" s="36" t="n"/>
      <c r="BC107" s="36" t="n"/>
      <c r="BD107" s="36" t="n"/>
      <c r="BE107" s="36" t="n"/>
      <c r="BF107" s="36" t="n"/>
      <c r="BG107" s="36" t="n"/>
      <c r="BH107" s="36" t="n"/>
      <c r="BI107" s="36" t="n"/>
      <c r="BJ107" s="36" t="n"/>
      <c r="BK107" s="36" t="n"/>
      <c r="BL107" s="36" t="n"/>
      <c r="BM107" s="36" t="n"/>
      <c r="BN107" s="36" t="n"/>
      <c r="BO107" s="36" t="n"/>
      <c r="BP107" s="36" t="n"/>
      <c r="BQ107" s="36" t="n"/>
      <c r="BR107" s="36" t="n"/>
      <c r="BS107" s="36" t="n"/>
      <c r="BT107" s="36" t="n"/>
      <c r="BU107" s="36" t="n"/>
      <c r="BV107" s="36" t="n"/>
      <c r="BW107" s="36" t="n"/>
      <c r="BX107" s="36" t="n"/>
      <c r="BY107" s="36" t="n"/>
      <c r="BZ107" s="36" t="n"/>
      <c r="CA107" s="36" t="n"/>
      <c r="CB107" s="36" t="n"/>
      <c r="CC107" s="36" t="n"/>
      <c r="CD107" s="36" t="n"/>
      <c r="CE107" s="36" t="n"/>
    </row>
    <row r="108" ht="34" customHeight="1">
      <c r="A108" s="37" t="n"/>
      <c r="B108" s="42">
        <f>IFERROR(INDEX(People!$B$2:$B$199,MATCH($A$107&amp;"#"&amp;2,People!$H$2:$H$199,0)),"")</f>
        <v/>
      </c>
      <c r="C108" s="26">
        <f>IF(TRIM($B108)="","",IFERROR(INDEX(People!$A$2:$A$199,MATCH(TRIM($B108),People!$B$2:$B$199,0)),"?? CHECK NAME"))</f>
        <v/>
      </c>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c r="AF108" s="36" t="n"/>
      <c r="AG108" s="36" t="n"/>
      <c r="AH108" s="36" t="n"/>
      <c r="AI108" s="36" t="n"/>
      <c r="AJ108" s="36" t="n"/>
      <c r="AK108" s="36" t="n"/>
      <c r="AL108" s="36" t="n"/>
      <c r="AM108" s="36" t="n"/>
      <c r="AN108" s="36" t="n"/>
      <c r="AO108" s="36" t="n"/>
      <c r="AP108" s="36" t="n"/>
      <c r="AQ108" s="36" t="n"/>
      <c r="AR108" s="36" t="n"/>
      <c r="AS108" s="36" t="n"/>
      <c r="AT108" s="36" t="n"/>
      <c r="AU108" s="36" t="n"/>
      <c r="AV108" s="36" t="n"/>
      <c r="AW108" s="36" t="n"/>
      <c r="AX108" s="36" t="n"/>
      <c r="AY108" s="36" t="n"/>
      <c r="AZ108" s="36" t="n"/>
      <c r="BA108" s="36" t="n"/>
      <c r="BB108" s="36" t="n"/>
      <c r="BC108" s="36" t="n"/>
      <c r="BD108" s="36" t="n"/>
      <c r="BE108" s="36" t="n"/>
      <c r="BF108" s="36" t="n"/>
      <c r="BG108" s="36" t="n"/>
      <c r="BH108" s="36" t="n"/>
      <c r="BI108" s="36" t="n"/>
      <c r="BJ108" s="36" t="n"/>
      <c r="BK108" s="36" t="n"/>
      <c r="BL108" s="36" t="n"/>
      <c r="BM108" s="36" t="n"/>
      <c r="BN108" s="36" t="n"/>
      <c r="BO108" s="36" t="n"/>
      <c r="BP108" s="36" t="n"/>
      <c r="BQ108" s="36" t="n"/>
      <c r="BR108" s="36" t="n"/>
      <c r="BS108" s="36" t="n"/>
      <c r="BT108" s="36" t="n"/>
      <c r="BU108" s="36" t="n"/>
      <c r="BV108" s="36" t="n"/>
      <c r="BW108" s="36" t="n"/>
      <c r="BX108" s="36" t="n"/>
      <c r="BY108" s="36" t="n"/>
      <c r="BZ108" s="36" t="n"/>
      <c r="CA108" s="36" t="n"/>
      <c r="CB108" s="36" t="n"/>
      <c r="CC108" s="36" t="n"/>
      <c r="CD108" s="36" t="n"/>
      <c r="CE108" s="36" t="n"/>
    </row>
    <row r="109" ht="34" customHeight="1">
      <c r="A109" s="37" t="n"/>
      <c r="B109" s="42">
        <f>IFERROR(INDEX(People!$B$2:$B$199,MATCH($A$107&amp;"#"&amp;3,People!$H$2:$H$199,0)),"")</f>
        <v/>
      </c>
      <c r="C109" s="26">
        <f>IF(TRIM($B109)="","",IFERROR(INDEX(People!$A$2:$A$199,MATCH(TRIM($B109),People!$B$2:$B$199,0)),"?? CHECK NAME"))</f>
        <v/>
      </c>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c r="AF109" s="36" t="n"/>
      <c r="AG109" s="36" t="n"/>
      <c r="AH109" s="36" t="n"/>
      <c r="AI109" s="36" t="n"/>
      <c r="AJ109" s="36" t="n"/>
      <c r="AK109" s="36" t="n"/>
      <c r="AL109" s="36" t="n"/>
      <c r="AM109" s="36" t="n"/>
      <c r="AN109" s="36" t="n"/>
      <c r="AO109" s="36" t="n"/>
      <c r="AP109" s="36" t="n"/>
      <c r="AQ109" s="36" t="n"/>
      <c r="AR109" s="36" t="n"/>
      <c r="AS109" s="36" t="n"/>
      <c r="AT109" s="36" t="n"/>
      <c r="AU109" s="36" t="n"/>
      <c r="AV109" s="36" t="n"/>
      <c r="AW109" s="36" t="n"/>
      <c r="AX109" s="36" t="n"/>
      <c r="AY109" s="36" t="n"/>
      <c r="AZ109" s="36" t="n"/>
      <c r="BA109" s="36" t="n"/>
      <c r="BB109" s="36" t="n"/>
      <c r="BC109" s="36" t="n"/>
      <c r="BD109" s="36" t="n"/>
      <c r="BE109" s="36" t="n"/>
      <c r="BF109" s="36" t="n"/>
      <c r="BG109" s="36" t="n"/>
      <c r="BH109" s="36" t="n"/>
      <c r="BI109" s="36" t="n"/>
      <c r="BJ109" s="36" t="n"/>
      <c r="BK109" s="36" t="n"/>
      <c r="BL109" s="36" t="n"/>
      <c r="BM109" s="36" t="n"/>
      <c r="BN109" s="36" t="n"/>
      <c r="BO109" s="36" t="n"/>
      <c r="BP109" s="36" t="n"/>
      <c r="BQ109" s="36" t="n"/>
      <c r="BR109" s="36" t="n"/>
      <c r="BS109" s="36" t="n"/>
      <c r="BT109" s="36" t="n"/>
      <c r="BU109" s="36" t="n"/>
      <c r="BV109" s="36" t="n"/>
      <c r="BW109" s="36" t="n"/>
      <c r="BX109" s="36" t="n"/>
      <c r="BY109" s="36" t="n"/>
      <c r="BZ109" s="36" t="n"/>
      <c r="CA109" s="36" t="n"/>
      <c r="CB109" s="36" t="n"/>
      <c r="CC109" s="36" t="n"/>
      <c r="CD109" s="36" t="n"/>
      <c r="CE109" s="36" t="n"/>
    </row>
    <row r="110" ht="34" customHeight="1">
      <c r="A110" s="37" t="n"/>
      <c r="B110" s="42">
        <f>IFERROR(INDEX(People!$B$2:$B$199,MATCH($A$107&amp;"#"&amp;4,People!$H$2:$H$199,0)),"")</f>
        <v/>
      </c>
      <c r="C110" s="26">
        <f>IF(TRIM($B110)="","",IFERROR(INDEX(People!$A$2:$A$199,MATCH(TRIM($B110),People!$B$2:$B$199,0)),"?? CHECK NAME"))</f>
        <v/>
      </c>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c r="AF110" s="36" t="n"/>
      <c r="AG110" s="36" t="n"/>
      <c r="AH110" s="36" t="n"/>
      <c r="AI110" s="36" t="n"/>
      <c r="AJ110" s="36" t="n"/>
      <c r="AK110" s="36" t="n"/>
      <c r="AL110" s="36" t="n"/>
      <c r="AM110" s="36" t="n"/>
      <c r="AN110" s="36" t="n"/>
      <c r="AO110" s="36" t="n"/>
      <c r="AP110" s="36" t="n"/>
      <c r="AQ110" s="36" t="n"/>
      <c r="AR110" s="36" t="n"/>
      <c r="AS110" s="36" t="n"/>
      <c r="AT110" s="36" t="n"/>
      <c r="AU110" s="36" t="n"/>
      <c r="AV110" s="36" t="n"/>
      <c r="AW110" s="36" t="n"/>
      <c r="AX110" s="36" t="n"/>
      <c r="AY110" s="36" t="n"/>
      <c r="AZ110" s="36" t="n"/>
      <c r="BA110" s="36" t="n"/>
      <c r="BB110" s="36" t="n"/>
      <c r="BC110" s="36" t="n"/>
      <c r="BD110" s="36" t="n"/>
      <c r="BE110" s="36" t="n"/>
      <c r="BF110" s="36" t="n"/>
      <c r="BG110" s="36" t="n"/>
      <c r="BH110" s="36" t="n"/>
      <c r="BI110" s="36" t="n"/>
      <c r="BJ110" s="36" t="n"/>
      <c r="BK110" s="36" t="n"/>
      <c r="BL110" s="36" t="n"/>
      <c r="BM110" s="36" t="n"/>
      <c r="BN110" s="36" t="n"/>
      <c r="BO110" s="36" t="n"/>
      <c r="BP110" s="36" t="n"/>
      <c r="BQ110" s="36" t="n"/>
      <c r="BR110" s="36" t="n"/>
      <c r="BS110" s="36" t="n"/>
      <c r="BT110" s="36" t="n"/>
      <c r="BU110" s="36" t="n"/>
      <c r="BV110" s="36" t="n"/>
      <c r="BW110" s="36" t="n"/>
      <c r="BX110" s="36" t="n"/>
      <c r="BY110" s="36" t="n"/>
      <c r="BZ110" s="36" t="n"/>
      <c r="CA110" s="36" t="n"/>
      <c r="CB110" s="36" t="n"/>
      <c r="CC110" s="36" t="n"/>
      <c r="CD110" s="36" t="n"/>
      <c r="CE110" s="36" t="n"/>
    </row>
    <row r="111" ht="34" customHeight="1">
      <c r="A111" s="38" t="n"/>
      <c r="B111" s="42">
        <f>IFERROR(INDEX(People!$B$2:$B$199,MATCH($A$107&amp;"#"&amp;5,People!$H$2:$H$199,0)),"")</f>
        <v/>
      </c>
      <c r="C111" s="26">
        <f>IF(TRIM($B111)="","",IFERROR(INDEX(People!$A$2:$A$199,MATCH(TRIM($B111),People!$B$2:$B$199,0)),"?? CHECK NAME"))</f>
        <v/>
      </c>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c r="AF111" s="36" t="n"/>
      <c r="AG111" s="36" t="n"/>
      <c r="AH111" s="36" t="n"/>
      <c r="AI111" s="36" t="n"/>
      <c r="AJ111" s="36" t="n"/>
      <c r="AK111" s="36" t="n"/>
      <c r="AL111" s="36" t="n"/>
      <c r="AM111" s="36" t="n"/>
      <c r="AN111" s="36" t="n"/>
      <c r="AO111" s="36" t="n"/>
      <c r="AP111" s="36" t="n"/>
      <c r="AQ111" s="36" t="n"/>
      <c r="AR111" s="36" t="n"/>
      <c r="AS111" s="36" t="n"/>
      <c r="AT111" s="36" t="n"/>
      <c r="AU111" s="36" t="n"/>
      <c r="AV111" s="36" t="n"/>
      <c r="AW111" s="36" t="n"/>
      <c r="AX111" s="36" t="n"/>
      <c r="AY111" s="36" t="n"/>
      <c r="AZ111" s="36" t="n"/>
      <c r="BA111" s="36" t="n"/>
      <c r="BB111" s="36" t="n"/>
      <c r="BC111" s="36" t="n"/>
      <c r="BD111" s="36" t="n"/>
      <c r="BE111" s="36" t="n"/>
      <c r="BF111" s="36" t="n"/>
      <c r="BG111" s="36" t="n"/>
      <c r="BH111" s="36" t="n"/>
      <c r="BI111" s="36" t="n"/>
      <c r="BJ111" s="36" t="n"/>
      <c r="BK111" s="36" t="n"/>
      <c r="BL111" s="36" t="n"/>
      <c r="BM111" s="36" t="n"/>
      <c r="BN111" s="36" t="n"/>
      <c r="BO111" s="36" t="n"/>
      <c r="BP111" s="36" t="n"/>
      <c r="BQ111" s="36" t="n"/>
      <c r="BR111" s="36" t="n"/>
      <c r="BS111" s="36" t="n"/>
      <c r="BT111" s="36" t="n"/>
      <c r="BU111" s="36" t="n"/>
      <c r="BV111" s="36" t="n"/>
      <c r="BW111" s="36" t="n"/>
      <c r="BX111" s="36" t="n"/>
      <c r="BY111" s="36" t="n"/>
      <c r="BZ111" s="36" t="n"/>
      <c r="CA111" s="36" t="n"/>
      <c r="CB111" s="36" t="n"/>
      <c r="CC111" s="36" t="n"/>
      <c r="CD111" s="36" t="n"/>
      <c r="CE111" s="36" t="n"/>
    </row>
    <row r="112" ht="34" customHeight="1">
      <c r="A112" s="41" t="inlineStr">
        <is>
          <t>Michigan Wolveraas</t>
        </is>
      </c>
      <c r="B112" s="42">
        <f>IFERROR(INDEX(People!$B$2:$B$199,MATCH($A$112&amp;"#"&amp;1,People!$H$2:$H$199,0)),"")</f>
        <v/>
      </c>
      <c r="C112" s="26">
        <f>IF(TRIM($B112)="","",IFERROR(INDEX(People!$A$2:$A$199,MATCH(TRIM($B112),People!$B$2:$B$199,0)),"?? CHECK NAME"))</f>
        <v/>
      </c>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c r="AF112" s="36" t="n"/>
      <c r="AG112" s="36" t="n"/>
      <c r="AH112" s="36" t="n"/>
      <c r="AI112" s="36" t="n"/>
      <c r="AJ112" s="36" t="n"/>
      <c r="AK112" s="36" t="n"/>
      <c r="AL112" s="36" t="n"/>
      <c r="AM112" s="36" t="n"/>
      <c r="AN112" s="36" t="n"/>
      <c r="AO112" s="36" t="n"/>
      <c r="AP112" s="36" t="n"/>
      <c r="AQ112" s="36" t="n"/>
      <c r="AR112" s="36" t="n"/>
      <c r="AS112" s="36" t="n"/>
      <c r="AT112" s="36" t="n"/>
      <c r="AU112" s="36" t="n"/>
      <c r="AV112" s="36" t="n"/>
      <c r="AW112" s="36" t="n"/>
      <c r="AX112" s="36" t="n"/>
      <c r="AY112" s="36" t="n"/>
      <c r="AZ112" s="36" t="n"/>
      <c r="BA112" s="36" t="n"/>
      <c r="BB112" s="36" t="n"/>
      <c r="BC112" s="36" t="n"/>
      <c r="BD112" s="36" t="n"/>
      <c r="BE112" s="36" t="n"/>
      <c r="BF112" s="36" t="n"/>
      <c r="BG112" s="36" t="n"/>
      <c r="BH112" s="36" t="n"/>
      <c r="BI112" s="36" t="n"/>
      <c r="BJ112" s="36" t="n"/>
      <c r="BK112" s="36" t="n"/>
      <c r="BL112" s="36" t="n"/>
      <c r="BM112" s="36" t="n"/>
      <c r="BN112" s="36" t="n"/>
      <c r="BO112" s="36" t="n"/>
      <c r="BP112" s="36" t="n"/>
      <c r="BQ112" s="36" t="n"/>
      <c r="BR112" s="36" t="n"/>
      <c r="BS112" s="36" t="n"/>
      <c r="BT112" s="36" t="n"/>
      <c r="BU112" s="36" t="n"/>
      <c r="BV112" s="36" t="n"/>
      <c r="BW112" s="36" t="n"/>
      <c r="BX112" s="36" t="n"/>
      <c r="BY112" s="36" t="n"/>
      <c r="BZ112" s="36" t="n"/>
      <c r="CA112" s="36" t="n"/>
      <c r="CB112" s="36" t="n"/>
      <c r="CC112" s="36" t="n"/>
      <c r="CD112" s="36" t="n"/>
      <c r="CE112" s="36" t="n"/>
    </row>
    <row r="113" ht="34" customHeight="1">
      <c r="A113" s="37" t="n"/>
      <c r="B113" s="42">
        <f>IFERROR(INDEX(People!$B$2:$B$199,MATCH($A$112&amp;"#"&amp;2,People!$H$2:$H$199,0)),"")</f>
        <v/>
      </c>
      <c r="C113" s="26">
        <f>IF(TRIM($B113)="","",IFERROR(INDEX(People!$A$2:$A$199,MATCH(TRIM($B113),People!$B$2:$B$199,0)),"?? CHECK NAME"))</f>
        <v/>
      </c>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c r="AF113" s="36" t="n"/>
      <c r="AG113" s="36" t="n"/>
      <c r="AH113" s="36" t="n"/>
      <c r="AI113" s="36" t="n"/>
      <c r="AJ113" s="36" t="n"/>
      <c r="AK113" s="36" t="n"/>
      <c r="AL113" s="36" t="n"/>
      <c r="AM113" s="36" t="n"/>
      <c r="AN113" s="36" t="n"/>
      <c r="AO113" s="36" t="n"/>
      <c r="AP113" s="36" t="n"/>
      <c r="AQ113" s="36" t="n"/>
      <c r="AR113" s="36" t="n"/>
      <c r="AS113" s="36" t="n"/>
      <c r="AT113" s="36" t="n"/>
      <c r="AU113" s="36" t="n"/>
      <c r="AV113" s="36" t="n"/>
      <c r="AW113" s="36" t="n"/>
      <c r="AX113" s="36" t="n"/>
      <c r="AY113" s="36" t="n"/>
      <c r="AZ113" s="36" t="n"/>
      <c r="BA113" s="36" t="n"/>
      <c r="BB113" s="36" t="n"/>
      <c r="BC113" s="36" t="n"/>
      <c r="BD113" s="36" t="n"/>
      <c r="BE113" s="36" t="n"/>
      <c r="BF113" s="36" t="n"/>
      <c r="BG113" s="36" t="n"/>
      <c r="BH113" s="36" t="n"/>
      <c r="BI113" s="36" t="n"/>
      <c r="BJ113" s="36" t="n"/>
      <c r="BK113" s="36" t="n"/>
      <c r="BL113" s="36" t="n"/>
      <c r="BM113" s="36" t="n"/>
      <c r="BN113" s="36" t="n"/>
      <c r="BO113" s="36" t="n"/>
      <c r="BP113" s="36" t="n"/>
      <c r="BQ113" s="36" t="n"/>
      <c r="BR113" s="36" t="n"/>
      <c r="BS113" s="36" t="n"/>
      <c r="BT113" s="36" t="n"/>
      <c r="BU113" s="36" t="n"/>
      <c r="BV113" s="36" t="n"/>
      <c r="BW113" s="36" t="n"/>
      <c r="BX113" s="36" t="n"/>
      <c r="BY113" s="36" t="n"/>
      <c r="BZ113" s="36" t="n"/>
      <c r="CA113" s="36" t="n"/>
      <c r="CB113" s="36" t="n"/>
      <c r="CC113" s="36" t="n"/>
      <c r="CD113" s="36" t="n"/>
      <c r="CE113" s="36" t="n"/>
    </row>
    <row r="114" ht="34" customHeight="1">
      <c r="A114" s="37" t="n"/>
      <c r="B114" s="42">
        <f>IFERROR(INDEX(People!$B$2:$B$199,MATCH($A$112&amp;"#"&amp;3,People!$H$2:$H$199,0)),"")</f>
        <v/>
      </c>
      <c r="C114" s="26">
        <f>IF(TRIM($B114)="","",IFERROR(INDEX(People!$A$2:$A$199,MATCH(TRIM($B114),People!$B$2:$B$199,0)),"?? CHECK NAME"))</f>
        <v/>
      </c>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c r="AF114" s="36" t="n"/>
      <c r="AG114" s="36" t="n"/>
      <c r="AH114" s="36" t="n"/>
      <c r="AI114" s="36" t="n"/>
      <c r="AJ114" s="36" t="n"/>
      <c r="AK114" s="36" t="n"/>
      <c r="AL114" s="36" t="n"/>
      <c r="AM114" s="36" t="n"/>
      <c r="AN114" s="36" t="n"/>
      <c r="AO114" s="36" t="n"/>
      <c r="AP114" s="36" t="n"/>
      <c r="AQ114" s="36" t="n"/>
      <c r="AR114" s="36" t="n"/>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c r="BL114" s="36" t="n"/>
      <c r="BM114" s="36" t="n"/>
      <c r="BN114" s="36" t="n"/>
      <c r="BO114" s="36" t="n"/>
      <c r="BP114" s="36" t="n"/>
      <c r="BQ114" s="36" t="n"/>
      <c r="BR114" s="36" t="n"/>
      <c r="BS114" s="36" t="n"/>
      <c r="BT114" s="36" t="n"/>
      <c r="BU114" s="36" t="n"/>
      <c r="BV114" s="36" t="n"/>
      <c r="BW114" s="36" t="n"/>
      <c r="BX114" s="36" t="n"/>
      <c r="BY114" s="36" t="n"/>
      <c r="BZ114" s="36" t="n"/>
      <c r="CA114" s="36" t="n"/>
      <c r="CB114" s="36" t="n"/>
      <c r="CC114" s="36" t="n"/>
      <c r="CD114" s="36" t="n"/>
      <c r="CE114" s="36" t="n"/>
    </row>
    <row r="115" ht="34" customHeight="1">
      <c r="A115" s="37" t="n"/>
      <c r="B115" s="42">
        <f>IFERROR(INDEX(People!$B$2:$B$199,MATCH($A$112&amp;"#"&amp;4,People!$H$2:$H$199,0)),"")</f>
        <v/>
      </c>
      <c r="C115" s="26">
        <f>IF(TRIM($B115)="","",IFERROR(INDEX(People!$A$2:$A$199,MATCH(TRIM($B115),People!$B$2:$B$199,0)),"?? CHECK NAME"))</f>
        <v/>
      </c>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c r="AF115" s="36" t="n"/>
      <c r="AG115" s="36" t="n"/>
      <c r="AH115" s="36" t="n"/>
      <c r="AI115" s="36" t="n"/>
      <c r="AJ115" s="36" t="n"/>
      <c r="AK115" s="36" t="n"/>
      <c r="AL115" s="36" t="n"/>
      <c r="AM115" s="36" t="n"/>
      <c r="AN115" s="36" t="n"/>
      <c r="AO115" s="36" t="n"/>
      <c r="AP115" s="36" t="n"/>
      <c r="AQ115" s="36" t="n"/>
      <c r="AR115" s="36" t="n"/>
      <c r="AS115" s="36" t="n"/>
      <c r="AT115" s="36" t="n"/>
      <c r="AU115" s="36" t="n"/>
      <c r="AV115" s="36" t="n"/>
      <c r="AW115" s="36" t="n"/>
      <c r="AX115" s="36" t="n"/>
      <c r="AY115" s="36" t="n"/>
      <c r="AZ115" s="36" t="n"/>
      <c r="BA115" s="36" t="n"/>
      <c r="BB115" s="36" t="n"/>
      <c r="BC115" s="36" t="n"/>
      <c r="BD115" s="36" t="n"/>
      <c r="BE115" s="36" t="n"/>
      <c r="BF115" s="36" t="n"/>
      <c r="BG115" s="36" t="n"/>
      <c r="BH115" s="36" t="n"/>
      <c r="BI115" s="36" t="n"/>
      <c r="BJ115" s="36" t="n"/>
      <c r="BK115" s="36" t="n"/>
      <c r="BL115" s="36" t="n"/>
      <c r="BM115" s="36" t="n"/>
      <c r="BN115" s="36" t="n"/>
      <c r="BO115" s="36" t="n"/>
      <c r="BP115" s="36" t="n"/>
      <c r="BQ115" s="36" t="n"/>
      <c r="BR115" s="36" t="n"/>
      <c r="BS115" s="36" t="n"/>
      <c r="BT115" s="36" t="n"/>
      <c r="BU115" s="36" t="n"/>
      <c r="BV115" s="36" t="n"/>
      <c r="BW115" s="36" t="n"/>
      <c r="BX115" s="36" t="n"/>
      <c r="BY115" s="36" t="n"/>
      <c r="BZ115" s="36" t="n"/>
      <c r="CA115" s="36" t="n"/>
      <c r="CB115" s="36" t="n"/>
      <c r="CC115" s="36" t="n"/>
      <c r="CD115" s="36" t="n"/>
      <c r="CE115" s="36" t="n"/>
    </row>
    <row r="116" ht="34" customHeight="1">
      <c r="A116" s="38" t="n"/>
      <c r="B116" s="42">
        <f>IFERROR(INDEX(People!$B$2:$B$199,MATCH($A$112&amp;"#"&amp;5,People!$H$2:$H$199,0)),"")</f>
        <v/>
      </c>
      <c r="C116" s="26">
        <f>IF(TRIM($B116)="","",IFERROR(INDEX(People!$A$2:$A$199,MATCH(TRIM($B116),People!$B$2:$B$199,0)),"?? CHECK NAME"))</f>
        <v/>
      </c>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c r="AF116" s="36" t="n"/>
      <c r="AG116" s="36" t="n"/>
      <c r="AH116" s="36" t="n"/>
      <c r="AI116" s="36" t="n"/>
      <c r="AJ116" s="36" t="n"/>
      <c r="AK116" s="36" t="n"/>
      <c r="AL116" s="36" t="n"/>
      <c r="AM116" s="36" t="n"/>
      <c r="AN116" s="36" t="n"/>
      <c r="AO116" s="36" t="n"/>
      <c r="AP116" s="36" t="n"/>
      <c r="AQ116" s="36" t="n"/>
      <c r="AR116" s="36" t="n"/>
      <c r="AS116" s="36" t="n"/>
      <c r="AT116" s="36" t="n"/>
      <c r="AU116" s="36" t="n"/>
      <c r="AV116" s="36" t="n"/>
      <c r="AW116" s="36" t="n"/>
      <c r="AX116" s="36" t="n"/>
      <c r="AY116" s="36" t="n"/>
      <c r="AZ116" s="36" t="n"/>
      <c r="BA116" s="36" t="n"/>
      <c r="BB116" s="36" t="n"/>
      <c r="BC116" s="36" t="n"/>
      <c r="BD116" s="36" t="n"/>
      <c r="BE116" s="36" t="n"/>
      <c r="BF116" s="36" t="n"/>
      <c r="BG116" s="36" t="n"/>
      <c r="BH116" s="36" t="n"/>
      <c r="BI116" s="36" t="n"/>
      <c r="BJ116" s="36" t="n"/>
      <c r="BK116" s="36" t="n"/>
      <c r="BL116" s="36" t="n"/>
      <c r="BM116" s="36" t="n"/>
      <c r="BN116" s="36" t="n"/>
      <c r="BO116" s="36" t="n"/>
      <c r="BP116" s="36" t="n"/>
      <c r="BQ116" s="36" t="n"/>
      <c r="BR116" s="36" t="n"/>
      <c r="BS116" s="36" t="n"/>
      <c r="BT116" s="36" t="n"/>
      <c r="BU116" s="36" t="n"/>
      <c r="BV116" s="36" t="n"/>
      <c r="BW116" s="36" t="n"/>
      <c r="BX116" s="36" t="n"/>
      <c r="BY116" s="36" t="n"/>
      <c r="BZ116" s="36" t="n"/>
      <c r="CA116" s="36" t="n"/>
      <c r="CB116" s="36" t="n"/>
      <c r="CC116" s="36" t="n"/>
      <c r="CD116" s="36" t="n"/>
      <c r="CE116" s="36" t="n"/>
    </row>
    <row r="117" ht="34" customHeight="1">
      <c r="A117" s="41" t="inlineStr">
        <is>
          <t>MSU Raasparty</t>
        </is>
      </c>
      <c r="B117" s="42">
        <f>IFERROR(INDEX(People!$B$2:$B$199,MATCH($A$117&amp;"#"&amp;1,People!$H$2:$H$199,0)),"")</f>
        <v/>
      </c>
      <c r="C117" s="26">
        <f>IF(TRIM($B117)="","",IFERROR(INDEX(People!$A$2:$A$199,MATCH(TRIM($B117),People!$B$2:$B$199,0)),"?? CHECK NAME"))</f>
        <v/>
      </c>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c r="AF117" s="36" t="n"/>
      <c r="AG117" s="36" t="n"/>
      <c r="AH117" s="36" t="n"/>
      <c r="AI117" s="36" t="n"/>
      <c r="AJ117" s="36" t="n"/>
      <c r="AK117" s="36" t="n"/>
      <c r="AL117" s="36" t="n"/>
      <c r="AM117" s="36" t="n"/>
      <c r="AN117" s="36" t="n"/>
      <c r="AO117" s="36" t="n"/>
      <c r="AP117" s="36" t="n"/>
      <c r="AQ117" s="36" t="n"/>
      <c r="AR117" s="36" t="n"/>
      <c r="AS117" s="36" t="n"/>
      <c r="AT117" s="36" t="n"/>
      <c r="AU117" s="36" t="n"/>
      <c r="AV117" s="36" t="n"/>
      <c r="AW117" s="36" t="n"/>
      <c r="AX117" s="36" t="n"/>
      <c r="AY117" s="36" t="n"/>
      <c r="AZ117" s="36" t="n"/>
      <c r="BA117" s="36" t="n"/>
      <c r="BB117" s="36" t="n"/>
      <c r="BC117" s="36" t="n"/>
      <c r="BD117" s="36" t="n"/>
      <c r="BE117" s="36" t="n"/>
      <c r="BF117" s="36" t="n"/>
      <c r="BG117" s="36" t="n"/>
      <c r="BH117" s="36" t="n"/>
      <c r="BI117" s="36" t="n"/>
      <c r="BJ117" s="36" t="n"/>
      <c r="BK117" s="36" t="n"/>
      <c r="BL117" s="36" t="n"/>
      <c r="BM117" s="36" t="n"/>
      <c r="BN117" s="36" t="n"/>
      <c r="BO117" s="36" t="n"/>
      <c r="BP117" s="36" t="n"/>
      <c r="BQ117" s="36" t="n"/>
      <c r="BR117" s="36" t="n"/>
      <c r="BS117" s="36" t="n"/>
      <c r="BT117" s="36" t="n"/>
      <c r="BU117" s="36" t="n"/>
      <c r="BV117" s="36" t="n"/>
      <c r="BW117" s="36" t="n"/>
      <c r="BX117" s="36" t="n"/>
      <c r="BY117" s="36" t="n"/>
      <c r="BZ117" s="36" t="n"/>
      <c r="CA117" s="36" t="n"/>
      <c r="CB117" s="36" t="n"/>
      <c r="CC117" s="36" t="n"/>
      <c r="CD117" s="36" t="n"/>
      <c r="CE117" s="36" t="n"/>
    </row>
    <row r="118" ht="34" customHeight="1">
      <c r="A118" s="37" t="n"/>
      <c r="B118" s="42">
        <f>IFERROR(INDEX(People!$B$2:$B$199,MATCH($A$117&amp;"#"&amp;2,People!$H$2:$H$199,0)),"")</f>
        <v/>
      </c>
      <c r="C118" s="26">
        <f>IF(TRIM($B118)="","",IFERROR(INDEX(People!$A$2:$A$199,MATCH(TRIM($B118),People!$B$2:$B$199,0)),"?? CHECK NAME"))</f>
        <v/>
      </c>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c r="AF118" s="36" t="n"/>
      <c r="AG118" s="36" t="n"/>
      <c r="AH118" s="36" t="n"/>
      <c r="AI118" s="36" t="n"/>
      <c r="AJ118" s="36" t="n"/>
      <c r="AK118" s="36" t="n"/>
      <c r="AL118" s="36" t="n"/>
      <c r="AM118" s="36" t="n"/>
      <c r="AN118" s="36" t="n"/>
      <c r="AO118" s="36" t="n"/>
      <c r="AP118" s="36" t="n"/>
      <c r="AQ118" s="36" t="n"/>
      <c r="AR118" s="36" t="n"/>
      <c r="AS118" s="36" t="n"/>
      <c r="AT118" s="36" t="n"/>
      <c r="AU118" s="36" t="n"/>
      <c r="AV118" s="36" t="n"/>
      <c r="AW118" s="36" t="n"/>
      <c r="AX118" s="36" t="n"/>
      <c r="AY118" s="36" t="n"/>
      <c r="AZ118" s="36" t="n"/>
      <c r="BA118" s="36" t="n"/>
      <c r="BB118" s="36" t="n"/>
      <c r="BC118" s="36" t="n"/>
      <c r="BD118" s="36" t="n"/>
      <c r="BE118" s="36" t="n"/>
      <c r="BF118" s="36" t="n"/>
      <c r="BG118" s="36" t="n"/>
      <c r="BH118" s="36" t="n"/>
      <c r="BI118" s="36" t="n"/>
      <c r="BJ118" s="36" t="n"/>
      <c r="BK118" s="36" t="n"/>
      <c r="BL118" s="36" t="n"/>
      <c r="BM118" s="36" t="n"/>
      <c r="BN118" s="36" t="n"/>
      <c r="BO118" s="36" t="n"/>
      <c r="BP118" s="36" t="n"/>
      <c r="BQ118" s="36" t="n"/>
      <c r="BR118" s="36" t="n"/>
      <c r="BS118" s="36" t="n"/>
      <c r="BT118" s="36" t="n"/>
      <c r="BU118" s="36" t="n"/>
      <c r="BV118" s="36" t="n"/>
      <c r="BW118" s="36" t="n"/>
      <c r="BX118" s="36" t="n"/>
      <c r="BY118" s="36" t="n"/>
      <c r="BZ118" s="36" t="n"/>
      <c r="CA118" s="36" t="n"/>
      <c r="CB118" s="36" t="n"/>
      <c r="CC118" s="36" t="n"/>
      <c r="CD118" s="36" t="n"/>
      <c r="CE118" s="36" t="n"/>
    </row>
    <row r="119" ht="34" customHeight="1">
      <c r="A119" s="37" t="n"/>
      <c r="B119" s="42">
        <f>IFERROR(INDEX(People!$B$2:$B$199,MATCH($A$117&amp;"#"&amp;3,People!$H$2:$H$199,0)),"")</f>
        <v/>
      </c>
      <c r="C119" s="26">
        <f>IF(TRIM($B119)="","",IFERROR(INDEX(People!$A$2:$A$199,MATCH(TRIM($B119),People!$B$2:$B$199,0)),"?? CHECK NAME"))</f>
        <v/>
      </c>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c r="AF119" s="36" t="n"/>
      <c r="AG119" s="36" t="n"/>
      <c r="AH119" s="36" t="n"/>
      <c r="AI119" s="36" t="n"/>
      <c r="AJ119" s="36" t="n"/>
      <c r="AK119" s="36" t="n"/>
      <c r="AL119" s="36" t="n"/>
      <c r="AM119" s="36" t="n"/>
      <c r="AN119" s="36" t="n"/>
      <c r="AO119" s="36" t="n"/>
      <c r="AP119" s="36" t="n"/>
      <c r="AQ119" s="36" t="n"/>
      <c r="AR119" s="36" t="n"/>
      <c r="AS119" s="36" t="n"/>
      <c r="AT119" s="36" t="n"/>
      <c r="AU119" s="36" t="n"/>
      <c r="AV119" s="36" t="n"/>
      <c r="AW119" s="36" t="n"/>
      <c r="AX119" s="36" t="n"/>
      <c r="AY119" s="36" t="n"/>
      <c r="AZ119" s="36" t="n"/>
      <c r="BA119" s="36" t="n"/>
      <c r="BB119" s="36" t="n"/>
      <c r="BC119" s="36" t="n"/>
      <c r="BD119" s="36" t="n"/>
      <c r="BE119" s="36" t="n"/>
      <c r="BF119" s="36" t="n"/>
      <c r="BG119" s="36" t="n"/>
      <c r="BH119" s="36" t="n"/>
      <c r="BI119" s="36" t="n"/>
      <c r="BJ119" s="36" t="n"/>
      <c r="BK119" s="36" t="n"/>
      <c r="BL119" s="36" t="n"/>
      <c r="BM119" s="36" t="n"/>
      <c r="BN119" s="36" t="n"/>
      <c r="BO119" s="36" t="n"/>
      <c r="BP119" s="36" t="n"/>
      <c r="BQ119" s="36" t="n"/>
      <c r="BR119" s="36" t="n"/>
      <c r="BS119" s="36" t="n"/>
      <c r="BT119" s="36" t="n"/>
      <c r="BU119" s="36" t="n"/>
      <c r="BV119" s="36" t="n"/>
      <c r="BW119" s="36" t="n"/>
      <c r="BX119" s="36" t="n"/>
      <c r="BY119" s="36" t="n"/>
      <c r="BZ119" s="36" t="n"/>
      <c r="CA119" s="36" t="n"/>
      <c r="CB119" s="36" t="n"/>
      <c r="CC119" s="36" t="n"/>
      <c r="CD119" s="36" t="n"/>
      <c r="CE119" s="36" t="n"/>
    </row>
    <row r="120" ht="34" customHeight="1">
      <c r="A120" s="37" t="n"/>
      <c r="B120" s="42">
        <f>IFERROR(INDEX(People!$B$2:$B$199,MATCH($A$117&amp;"#"&amp;4,People!$H$2:$H$199,0)),"")</f>
        <v/>
      </c>
      <c r="C120" s="26">
        <f>IF(TRIM($B120)="","",IFERROR(INDEX(People!$A$2:$A$199,MATCH(TRIM($B120),People!$B$2:$B$199,0)),"?? CHECK NAME"))</f>
        <v/>
      </c>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c r="AF120" s="36" t="n"/>
      <c r="AG120" s="36" t="n"/>
      <c r="AH120" s="36" t="n"/>
      <c r="AI120" s="36" t="n"/>
      <c r="AJ120" s="36" t="n"/>
      <c r="AK120" s="36" t="n"/>
      <c r="AL120" s="36" t="n"/>
      <c r="AM120" s="36" t="n"/>
      <c r="AN120" s="36" t="n"/>
      <c r="AO120" s="36" t="n"/>
      <c r="AP120" s="36" t="n"/>
      <c r="AQ120" s="36" t="n"/>
      <c r="AR120" s="36" t="n"/>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c r="BT120" s="36" t="n"/>
      <c r="BU120" s="36" t="n"/>
      <c r="BV120" s="36" t="n"/>
      <c r="BW120" s="36" t="n"/>
      <c r="BX120" s="36" t="n"/>
      <c r="BY120" s="36" t="n"/>
      <c r="BZ120" s="36" t="n"/>
      <c r="CA120" s="36" t="n"/>
      <c r="CB120" s="36" t="n"/>
      <c r="CC120" s="36" t="n"/>
      <c r="CD120" s="36" t="n"/>
      <c r="CE120" s="36" t="n"/>
    </row>
    <row r="121" ht="34" customHeight="1">
      <c r="A121" s="38" t="n"/>
      <c r="B121" s="42">
        <f>IFERROR(INDEX(People!$B$2:$B$199,MATCH($A$117&amp;"#"&amp;5,People!$H$2:$H$199,0)),"")</f>
        <v/>
      </c>
      <c r="C121" s="26">
        <f>IF(TRIM($B121)="","",IFERROR(INDEX(People!$A$2:$A$199,MATCH(TRIM($B121),People!$B$2:$B$199,0)),"?? CHECK NAME"))</f>
        <v/>
      </c>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c r="AF121" s="36" t="n"/>
      <c r="AG121" s="36" t="n"/>
      <c r="AH121" s="36" t="n"/>
      <c r="AI121" s="36" t="n"/>
      <c r="AJ121" s="36" t="n"/>
      <c r="AK121" s="36" t="n"/>
      <c r="AL121" s="36" t="n"/>
      <c r="AM121" s="36" t="n"/>
      <c r="AN121" s="36" t="n"/>
      <c r="AO121" s="36" t="n"/>
      <c r="AP121" s="36" t="n"/>
      <c r="AQ121" s="36" t="n"/>
      <c r="AR121" s="36" t="n"/>
      <c r="AS121" s="36" t="n"/>
      <c r="AT121" s="36" t="n"/>
      <c r="AU121" s="36" t="n"/>
      <c r="AV121" s="36" t="n"/>
      <c r="AW121" s="36" t="n"/>
      <c r="AX121" s="36" t="n"/>
      <c r="AY121" s="36" t="n"/>
      <c r="AZ121" s="36" t="n"/>
      <c r="BA121" s="36" t="n"/>
      <c r="BB121" s="36" t="n"/>
      <c r="BC121" s="36" t="n"/>
      <c r="BD121" s="36" t="n"/>
      <c r="BE121" s="36" t="n"/>
      <c r="BF121" s="36" t="n"/>
      <c r="BG121" s="36" t="n"/>
      <c r="BH121" s="36" t="n"/>
      <c r="BI121" s="36" t="n"/>
      <c r="BJ121" s="36" t="n"/>
      <c r="BK121" s="36" t="n"/>
      <c r="BL121" s="36" t="n"/>
      <c r="BM121" s="36" t="n"/>
      <c r="BN121" s="36" t="n"/>
      <c r="BO121" s="36" t="n"/>
      <c r="BP121" s="36" t="n"/>
      <c r="BQ121" s="36" t="n"/>
      <c r="BR121" s="36" t="n"/>
      <c r="BS121" s="36" t="n"/>
      <c r="BT121" s="36" t="n"/>
      <c r="BU121" s="36" t="n"/>
      <c r="BV121" s="36" t="n"/>
      <c r="BW121" s="36" t="n"/>
      <c r="BX121" s="36" t="n"/>
      <c r="BY121" s="36" t="n"/>
      <c r="BZ121" s="36" t="n"/>
      <c r="CA121" s="36" t="n"/>
      <c r="CB121" s="36" t="n"/>
      <c r="CC121" s="36" t="n"/>
      <c r="CD121" s="36" t="n"/>
      <c r="CE121" s="36" t="n"/>
    </row>
    <row r="122" ht="34" customHeight="1">
      <c r="A122" s="41" t="inlineStr">
        <is>
          <t>GT Ramblin Raas</t>
        </is>
      </c>
      <c r="B122" s="42">
        <f>IFERROR(INDEX(People!$B$2:$B$199,MATCH($A$122&amp;"#"&amp;1,People!$H$2:$H$199,0)),"")</f>
        <v/>
      </c>
      <c r="C122" s="26">
        <f>IF(TRIM($B122)="","",IFERROR(INDEX(People!$A$2:$A$199,MATCH(TRIM($B122),People!$B$2:$B$199,0)),"?? CHECK NAME"))</f>
        <v/>
      </c>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c r="AF122" s="36" t="n"/>
      <c r="AG122" s="36" t="n"/>
      <c r="AH122" s="36" t="n"/>
      <c r="AI122" s="36" t="n"/>
      <c r="AJ122" s="36" t="n"/>
      <c r="AK122" s="36" t="n"/>
      <c r="AL122" s="36" t="n"/>
      <c r="AM122" s="36" t="n"/>
      <c r="AN122" s="36" t="n"/>
      <c r="AO122" s="36" t="n"/>
      <c r="AP122" s="36" t="n"/>
      <c r="AQ122" s="36" t="n"/>
      <c r="AR122" s="36" t="n"/>
      <c r="AS122" s="36" t="n"/>
      <c r="AT122" s="36" t="n"/>
      <c r="AU122" s="36" t="n"/>
      <c r="AV122" s="36" t="n"/>
      <c r="AW122" s="36" t="n"/>
      <c r="AX122" s="36" t="n"/>
      <c r="AY122" s="36" t="n"/>
      <c r="AZ122" s="36" t="n"/>
      <c r="BA122" s="36" t="n"/>
      <c r="BB122" s="36" t="n"/>
      <c r="BC122" s="36" t="n"/>
      <c r="BD122" s="36" t="n"/>
      <c r="BE122" s="36" t="n"/>
      <c r="BF122" s="36" t="n"/>
      <c r="BG122" s="36" t="n"/>
      <c r="BH122" s="36" t="n"/>
      <c r="BI122" s="36" t="n"/>
      <c r="BJ122" s="36" t="n"/>
      <c r="BK122" s="36" t="n"/>
      <c r="BL122" s="36" t="n"/>
      <c r="BM122" s="36" t="n"/>
      <c r="BN122" s="36" t="n"/>
      <c r="BO122" s="36" t="n"/>
      <c r="BP122" s="36" t="n"/>
      <c r="BQ122" s="36" t="n"/>
      <c r="BR122" s="36" t="n"/>
      <c r="BS122" s="36" t="n"/>
      <c r="BT122" s="36" t="n"/>
      <c r="BU122" s="36" t="n"/>
      <c r="BV122" s="36" t="n"/>
      <c r="BW122" s="36" t="n"/>
      <c r="BX122" s="36" t="n"/>
      <c r="BY122" s="36" t="n"/>
      <c r="BZ122" s="36" t="n"/>
      <c r="CA122" s="36" t="n"/>
      <c r="CB122" s="36" t="n"/>
      <c r="CC122" s="36" t="n"/>
      <c r="CD122" s="36" t="n"/>
      <c r="CE122" s="36" t="n"/>
    </row>
    <row r="123" ht="34" customHeight="1">
      <c r="A123" s="37" t="n"/>
      <c r="B123" s="42">
        <f>IFERROR(INDEX(People!$B$2:$B$199,MATCH($A$122&amp;"#"&amp;2,People!$H$2:$H$199,0)),"")</f>
        <v/>
      </c>
      <c r="C123" s="26">
        <f>IF(TRIM($B123)="","",IFERROR(INDEX(People!$A$2:$A$199,MATCH(TRIM($B123),People!$B$2:$B$199,0)),"?? CHECK NAME"))</f>
        <v/>
      </c>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c r="AF123" s="36" t="n"/>
      <c r="AG123" s="36" t="n"/>
      <c r="AH123" s="36" t="n"/>
      <c r="AI123" s="36" t="n"/>
      <c r="AJ123" s="36" t="n"/>
      <c r="AK123" s="36" t="n"/>
      <c r="AL123" s="36" t="n"/>
      <c r="AM123" s="36" t="n"/>
      <c r="AN123" s="36" t="n"/>
      <c r="AO123" s="36" t="n"/>
      <c r="AP123" s="36" t="n"/>
      <c r="AQ123" s="36" t="n"/>
      <c r="AR123" s="36" t="n"/>
      <c r="AS123" s="36" t="n"/>
      <c r="AT123" s="36" t="n"/>
      <c r="AU123" s="36" t="n"/>
      <c r="AV123" s="36" t="n"/>
      <c r="AW123" s="36" t="n"/>
      <c r="AX123" s="36" t="n"/>
      <c r="AY123" s="36" t="n"/>
      <c r="AZ123" s="36" t="n"/>
      <c r="BA123" s="36" t="n"/>
      <c r="BB123" s="36" t="n"/>
      <c r="BC123" s="36" t="n"/>
      <c r="BD123" s="36" t="n"/>
      <c r="BE123" s="36" t="n"/>
      <c r="BF123" s="36" t="n"/>
      <c r="BG123" s="36" t="n"/>
      <c r="BH123" s="36" t="n"/>
      <c r="BI123" s="36" t="n"/>
      <c r="BJ123" s="36" t="n"/>
      <c r="BK123" s="36" t="n"/>
      <c r="BL123" s="36" t="n"/>
      <c r="BM123" s="36" t="n"/>
      <c r="BN123" s="36" t="n"/>
      <c r="BO123" s="36" t="n"/>
      <c r="BP123" s="36" t="n"/>
      <c r="BQ123" s="36" t="n"/>
      <c r="BR123" s="36" t="n"/>
      <c r="BS123" s="36" t="n"/>
      <c r="BT123" s="36" t="n"/>
      <c r="BU123" s="36" t="n"/>
      <c r="BV123" s="36" t="n"/>
      <c r="BW123" s="36" t="n"/>
      <c r="BX123" s="36" t="n"/>
      <c r="BY123" s="36" t="n"/>
      <c r="BZ123" s="36" t="n"/>
      <c r="CA123" s="36" t="n"/>
      <c r="CB123" s="36" t="n"/>
      <c r="CC123" s="36" t="n"/>
      <c r="CD123" s="36" t="n"/>
      <c r="CE123" s="36" t="n"/>
    </row>
    <row r="124" ht="34" customHeight="1">
      <c r="A124" s="37" t="n"/>
      <c r="B124" s="42">
        <f>IFERROR(INDEX(People!$B$2:$B$199,MATCH($A$122&amp;"#"&amp;3,People!$H$2:$H$199,0)),"")</f>
        <v/>
      </c>
      <c r="C124" s="26">
        <f>IF(TRIM($B124)="","",IFERROR(INDEX(People!$A$2:$A$199,MATCH(TRIM($B124),People!$B$2:$B$199,0)),"?? CHECK NAME"))</f>
        <v/>
      </c>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c r="AF124" s="36" t="n"/>
      <c r="AG124" s="36" t="n"/>
      <c r="AH124" s="36" t="n"/>
      <c r="AI124" s="36" t="n"/>
      <c r="AJ124" s="36" t="n"/>
      <c r="AK124" s="36" t="n"/>
      <c r="AL124" s="36" t="n"/>
      <c r="AM124" s="36" t="n"/>
      <c r="AN124" s="36" t="n"/>
      <c r="AO124" s="36" t="n"/>
      <c r="AP124" s="36" t="n"/>
      <c r="AQ124" s="36" t="n"/>
      <c r="AR124" s="36" t="n"/>
      <c r="AS124" s="36" t="n"/>
      <c r="AT124" s="36" t="n"/>
      <c r="AU124" s="36" t="n"/>
      <c r="AV124" s="36" t="n"/>
      <c r="AW124" s="36" t="n"/>
      <c r="AX124" s="36" t="n"/>
      <c r="AY124" s="36" t="n"/>
      <c r="AZ124" s="36" t="n"/>
      <c r="BA124" s="36" t="n"/>
      <c r="BB124" s="36" t="n"/>
      <c r="BC124" s="36" t="n"/>
      <c r="BD124" s="36" t="n"/>
      <c r="BE124" s="36" t="n"/>
      <c r="BF124" s="36" t="n"/>
      <c r="BG124" s="36" t="n"/>
      <c r="BH124" s="36" t="n"/>
      <c r="BI124" s="36" t="n"/>
      <c r="BJ124" s="36" t="n"/>
      <c r="BK124" s="36" t="n"/>
      <c r="BL124" s="36" t="n"/>
      <c r="BM124" s="36" t="n"/>
      <c r="BN124" s="36" t="n"/>
      <c r="BO124" s="36" t="n"/>
      <c r="BP124" s="36" t="n"/>
      <c r="BQ124" s="36" t="n"/>
      <c r="BR124" s="36" t="n"/>
      <c r="BS124" s="36" t="n"/>
      <c r="BT124" s="36" t="n"/>
      <c r="BU124" s="36" t="n"/>
      <c r="BV124" s="36" t="n"/>
      <c r="BW124" s="36" t="n"/>
      <c r="BX124" s="36" t="n"/>
      <c r="BY124" s="36" t="n"/>
      <c r="BZ124" s="36" t="n"/>
      <c r="CA124" s="36" t="n"/>
      <c r="CB124" s="36" t="n"/>
      <c r="CC124" s="36" t="n"/>
      <c r="CD124" s="36" t="n"/>
      <c r="CE124" s="36" t="n"/>
    </row>
    <row r="125" ht="34" customHeight="1">
      <c r="A125" s="37" t="n"/>
      <c r="B125" s="42">
        <f>IFERROR(INDEX(People!$B$2:$B$199,MATCH($A$122&amp;"#"&amp;4,People!$H$2:$H$199,0)),"")</f>
        <v/>
      </c>
      <c r="C125" s="26">
        <f>IF(TRIM($B125)="","",IFERROR(INDEX(People!$A$2:$A$199,MATCH(TRIM($B125),People!$B$2:$B$199,0)),"?? CHECK NAME"))</f>
        <v/>
      </c>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c r="AF125" s="36" t="n"/>
      <c r="AG125" s="36" t="n"/>
      <c r="AH125" s="36" t="n"/>
      <c r="AI125" s="36" t="n"/>
      <c r="AJ125" s="36" t="n"/>
      <c r="AK125" s="36" t="n"/>
      <c r="AL125" s="36" t="n"/>
      <c r="AM125" s="36" t="n"/>
      <c r="AN125" s="36" t="n"/>
      <c r="AO125" s="36" t="n"/>
      <c r="AP125" s="36" t="n"/>
      <c r="AQ125" s="36" t="n"/>
      <c r="AR125" s="36" t="n"/>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c r="BL125" s="36" t="n"/>
      <c r="BM125" s="36" t="n"/>
      <c r="BN125" s="36" t="n"/>
      <c r="BO125" s="36" t="n"/>
      <c r="BP125" s="36" t="n"/>
      <c r="BQ125" s="36" t="n"/>
      <c r="BR125" s="36" t="n"/>
      <c r="BS125" s="36" t="n"/>
      <c r="BT125" s="36" t="n"/>
      <c r="BU125" s="36" t="n"/>
      <c r="BV125" s="36" t="n"/>
      <c r="BW125" s="36" t="n"/>
      <c r="BX125" s="36" t="n"/>
      <c r="BY125" s="36" t="n"/>
      <c r="BZ125" s="36" t="n"/>
      <c r="CA125" s="36" t="n"/>
      <c r="CB125" s="36" t="n"/>
      <c r="CC125" s="36" t="n"/>
      <c r="CD125" s="36" t="n"/>
      <c r="CE125" s="36" t="n"/>
    </row>
    <row r="126" ht="34" customHeight="1">
      <c r="A126" s="38" t="n"/>
      <c r="B126" s="42">
        <f>IFERROR(INDEX(People!$B$2:$B$199,MATCH($A$122&amp;"#"&amp;5,People!$H$2:$H$199,0)),"")</f>
        <v/>
      </c>
      <c r="C126" s="26">
        <f>IF(TRIM($B126)="","",IFERROR(INDEX(People!$A$2:$A$199,MATCH(TRIM($B126),People!$B$2:$B$199,0)),"?? CHECK NAME"))</f>
        <v/>
      </c>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c r="AF126" s="36" t="n"/>
      <c r="AG126" s="36" t="n"/>
      <c r="AH126" s="36" t="n"/>
      <c r="AI126" s="36" t="n"/>
      <c r="AJ126" s="36" t="n"/>
      <c r="AK126" s="36" t="n"/>
      <c r="AL126" s="36" t="n"/>
      <c r="AM126" s="36" t="n"/>
      <c r="AN126" s="36" t="n"/>
      <c r="AO126" s="36" t="n"/>
      <c r="AP126" s="36" t="n"/>
      <c r="AQ126" s="36" t="n"/>
      <c r="AR126" s="36" t="n"/>
      <c r="AS126" s="36" t="n"/>
      <c r="AT126" s="36" t="n"/>
      <c r="AU126" s="36" t="n"/>
      <c r="AV126" s="36" t="n"/>
      <c r="AW126" s="36" t="n"/>
      <c r="AX126" s="36" t="n"/>
      <c r="AY126" s="36" t="n"/>
      <c r="AZ126" s="36" t="n"/>
      <c r="BA126" s="36" t="n"/>
      <c r="BB126" s="36" t="n"/>
      <c r="BC126" s="36" t="n"/>
      <c r="BD126" s="36" t="n"/>
      <c r="BE126" s="36" t="n"/>
      <c r="BF126" s="36" t="n"/>
      <c r="BG126" s="36" t="n"/>
      <c r="BH126" s="36" t="n"/>
      <c r="BI126" s="36" t="n"/>
      <c r="BJ126" s="36" t="n"/>
      <c r="BK126" s="36" t="n"/>
      <c r="BL126" s="36" t="n"/>
      <c r="BM126" s="36" t="n"/>
      <c r="BN126" s="36" t="n"/>
      <c r="BO126" s="36" t="n"/>
      <c r="BP126" s="36" t="n"/>
      <c r="BQ126" s="36" t="n"/>
      <c r="BR126" s="36" t="n"/>
      <c r="BS126" s="36" t="n"/>
      <c r="BT126" s="36" t="n"/>
      <c r="BU126" s="36" t="n"/>
      <c r="BV126" s="36" t="n"/>
      <c r="BW126" s="36" t="n"/>
      <c r="BX126" s="36" t="n"/>
      <c r="BY126" s="36" t="n"/>
      <c r="BZ126" s="36" t="n"/>
      <c r="CA126" s="36" t="n"/>
      <c r="CB126" s="36" t="n"/>
      <c r="CC126" s="36" t="n"/>
      <c r="CD126" s="36" t="n"/>
      <c r="CE126" s="36" t="n"/>
    </row>
    <row r="127" ht="34" customHeight="1">
      <c r="A127" s="16" t="inlineStr">
        <is>
          <t>Judge Liaisons</t>
        </is>
      </c>
      <c r="B127" s="35" t="inlineStr"/>
      <c r="C127" s="26">
        <f>IF(TRIM($B127)="","",IFERROR(INDEX(People!$A$2:$A$199,MATCH(TRIM($B127),People!$B$2:$B$199,0)),IFERROR(INDEX(Teams!$A$2:$A$9,MATCH(TRIM($B127),Teams!$B$2:$B$9,0)),"?? CHECK NAME")))</f>
        <v/>
      </c>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c r="AF127" s="36" t="n"/>
      <c r="AG127" s="36" t="n"/>
      <c r="AH127" s="36" t="n"/>
      <c r="AI127" s="36" t="n"/>
      <c r="AJ127" s="36" t="n"/>
      <c r="AK127" s="36" t="n"/>
      <c r="AL127" s="36" t="n"/>
      <c r="AM127" s="36" t="n"/>
      <c r="AN127" s="36" t="n"/>
      <c r="AO127" s="36" t="n"/>
      <c r="AP127" s="36" t="n"/>
      <c r="AQ127" s="36" t="n"/>
      <c r="AR127" s="36" t="n"/>
      <c r="AS127" s="36" t="n"/>
      <c r="AT127" s="36" t="n"/>
      <c r="AU127" s="36" t="n"/>
      <c r="AV127" s="36" t="n"/>
      <c r="AW127" s="36" t="n"/>
      <c r="AX127" s="36" t="n"/>
      <c r="AY127" s="36" t="n"/>
      <c r="AZ127" s="36" t="n"/>
      <c r="BA127" s="36" t="n"/>
      <c r="BB127" s="36" t="n"/>
      <c r="BC127" s="36" t="n"/>
      <c r="BD127" s="36" t="n"/>
      <c r="BE127" s="36" t="n"/>
      <c r="BF127" s="36" t="n"/>
      <c r="BG127" s="36" t="n"/>
      <c r="BH127" s="36" t="n"/>
      <c r="BI127" s="36" t="n"/>
      <c r="BJ127" s="36" t="n"/>
      <c r="BK127" s="36" t="n"/>
      <c r="BL127" s="36" t="n"/>
      <c r="BM127" s="36" t="n"/>
      <c r="BN127" s="36" t="n"/>
      <c r="BO127" s="36" t="n"/>
      <c r="BP127" s="36" t="n"/>
      <c r="BQ127" s="36" t="n"/>
      <c r="BR127" s="36" t="n"/>
      <c r="BS127" s="36" t="n"/>
      <c r="BT127" s="36" t="n"/>
      <c r="BU127" s="36" t="n"/>
      <c r="BV127" s="36" t="n"/>
      <c r="BW127" s="36" t="n"/>
      <c r="BX127" s="36" t="n"/>
      <c r="BY127" s="36" t="n"/>
      <c r="BZ127" s="36" t="n"/>
      <c r="CA127" s="36" t="n"/>
      <c r="CB127" s="36" t="n"/>
      <c r="CC127" s="36" t="n"/>
      <c r="CD127" s="36" t="n"/>
      <c r="CE127" s="36" t="n"/>
    </row>
    <row r="128" ht="34" customHeight="1">
      <c r="A128" s="37" t="n"/>
      <c r="B128" s="35" t="inlineStr"/>
      <c r="C128" s="26">
        <f>IF(TRIM($B128)="","",IFERROR(INDEX(People!$A$2:$A$199,MATCH(TRIM($B128),People!$B$2:$B$199,0)),IFERROR(INDEX(Teams!$A$2:$A$9,MATCH(TRIM($B128),Teams!$B$2:$B$9,0)),"?? CHECK NAME")))</f>
        <v/>
      </c>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c r="AF128" s="36" t="n"/>
      <c r="AG128" s="36" t="n"/>
      <c r="AH128" s="36" t="n"/>
      <c r="AI128" s="36" t="n"/>
      <c r="AJ128" s="36" t="n"/>
      <c r="AK128" s="36" t="n"/>
      <c r="AL128" s="36" t="n"/>
      <c r="AM128" s="36" t="n"/>
      <c r="AN128" s="36" t="n"/>
      <c r="AO128" s="36" t="n"/>
      <c r="AP128" s="36" t="n"/>
      <c r="AQ128" s="36" t="n"/>
      <c r="AR128" s="36" t="n"/>
      <c r="AS128" s="36" t="n"/>
      <c r="AT128" s="36" t="n"/>
      <c r="AU128" s="36" t="n"/>
      <c r="AV128" s="36" t="n"/>
      <c r="AW128" s="36" t="n"/>
      <c r="AX128" s="36" t="n"/>
      <c r="AY128" s="36" t="n"/>
      <c r="AZ128" s="36" t="n"/>
      <c r="BA128" s="36" t="n"/>
      <c r="BB128" s="36" t="n"/>
      <c r="BC128" s="36" t="n"/>
      <c r="BD128" s="36" t="n"/>
      <c r="BE128" s="36" t="n"/>
      <c r="BF128" s="36" t="n"/>
      <c r="BG128" s="36" t="n"/>
      <c r="BH128" s="36" t="n"/>
      <c r="BI128" s="36" t="n"/>
      <c r="BJ128" s="36" t="n"/>
      <c r="BK128" s="36" t="n"/>
      <c r="BL128" s="36" t="n"/>
      <c r="BM128" s="36" t="n"/>
      <c r="BN128" s="36" t="n"/>
      <c r="BO128" s="36" t="n"/>
      <c r="BP128" s="36" t="n"/>
      <c r="BQ128" s="36" t="n"/>
      <c r="BR128" s="36" t="n"/>
      <c r="BS128" s="36" t="n"/>
      <c r="BT128" s="36" t="n"/>
      <c r="BU128" s="36" t="n"/>
      <c r="BV128" s="36" t="n"/>
      <c r="BW128" s="36" t="n"/>
      <c r="BX128" s="36" t="n"/>
      <c r="BY128" s="36" t="n"/>
      <c r="BZ128" s="36" t="n"/>
      <c r="CA128" s="36" t="n"/>
      <c r="CB128" s="36" t="n"/>
      <c r="CC128" s="36" t="n"/>
      <c r="CD128" s="36" t="n"/>
      <c r="CE128" s="36" t="n"/>
    </row>
    <row r="129" ht="34" customHeight="1">
      <c r="A129" s="37" t="n"/>
      <c r="B129" s="35" t="inlineStr"/>
      <c r="C129" s="26">
        <f>IF(TRIM($B129)="","",IFERROR(INDEX(People!$A$2:$A$199,MATCH(TRIM($B129),People!$B$2:$B$199,0)),IFERROR(INDEX(Teams!$A$2:$A$9,MATCH(TRIM($B129),Teams!$B$2:$B$9,0)),"?? CHECK NAME")))</f>
        <v/>
      </c>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c r="AF129" s="36" t="n"/>
      <c r="AG129" s="36" t="n"/>
      <c r="AH129" s="36" t="n"/>
      <c r="AI129" s="36" t="n"/>
      <c r="AJ129" s="36" t="n"/>
      <c r="AK129" s="36" t="n"/>
      <c r="AL129" s="36" t="n"/>
      <c r="AM129" s="36" t="n"/>
      <c r="AN129" s="36" t="n"/>
      <c r="AO129" s="36" t="n"/>
      <c r="AP129" s="36" t="n"/>
      <c r="AQ129" s="36" t="n"/>
      <c r="AR129" s="36" t="n"/>
      <c r="AS129" s="36" t="n"/>
      <c r="AT129" s="36" t="n"/>
      <c r="AU129" s="36" t="n"/>
      <c r="AV129" s="36" t="n"/>
      <c r="AW129" s="36" t="n"/>
      <c r="AX129" s="36" t="n"/>
      <c r="AY129" s="36" t="n"/>
      <c r="AZ129" s="36" t="n"/>
      <c r="BA129" s="36" t="n"/>
      <c r="BB129" s="36" t="n"/>
      <c r="BC129" s="36" t="n"/>
      <c r="BD129" s="36" t="n"/>
      <c r="BE129" s="36" t="n"/>
      <c r="BF129" s="36" t="n"/>
      <c r="BG129" s="36" t="n"/>
      <c r="BH129" s="36" t="n"/>
      <c r="BI129" s="36" t="n"/>
      <c r="BJ129" s="36" t="n"/>
      <c r="BK129" s="36" t="n"/>
      <c r="BL129" s="36" t="n"/>
      <c r="BM129" s="36" t="n"/>
      <c r="BN129" s="36" t="n"/>
      <c r="BO129" s="36" t="n"/>
      <c r="BP129" s="36" t="n"/>
      <c r="BQ129" s="36" t="n"/>
      <c r="BR129" s="36" t="n"/>
      <c r="BS129" s="36" t="n"/>
      <c r="BT129" s="36" t="n"/>
      <c r="BU129" s="36" t="n"/>
      <c r="BV129" s="36" t="n"/>
      <c r="BW129" s="36" t="n"/>
      <c r="BX129" s="36" t="n"/>
      <c r="BY129" s="36" t="n"/>
      <c r="BZ129" s="36" t="n"/>
      <c r="CA129" s="36" t="n"/>
      <c r="CB129" s="36" t="n"/>
      <c r="CC129" s="36" t="n"/>
      <c r="CD129" s="36" t="n"/>
      <c r="CE129" s="36" t="n"/>
    </row>
    <row r="130" ht="34" customHeight="1">
      <c r="A130" s="37" t="n"/>
      <c r="B130" s="35" t="inlineStr"/>
      <c r="C130" s="26">
        <f>IF(TRIM($B130)="","",IFERROR(INDEX(People!$A$2:$A$199,MATCH(TRIM($B130),People!$B$2:$B$199,0)),IFERROR(INDEX(Teams!$A$2:$A$9,MATCH(TRIM($B130),Teams!$B$2:$B$9,0)),"?? CHECK NAME")))</f>
        <v/>
      </c>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c r="AF130" s="36" t="n"/>
      <c r="AG130" s="36" t="n"/>
      <c r="AH130" s="36" t="n"/>
      <c r="AI130" s="36" t="n"/>
      <c r="AJ130" s="36" t="n"/>
      <c r="AK130" s="36" t="n"/>
      <c r="AL130" s="36" t="n"/>
      <c r="AM130" s="36" t="n"/>
      <c r="AN130" s="36" t="n"/>
      <c r="AO130" s="36" t="n"/>
      <c r="AP130" s="36" t="n"/>
      <c r="AQ130" s="36" t="n"/>
      <c r="AR130" s="36" t="n"/>
      <c r="AS130" s="36" t="n"/>
      <c r="AT130" s="36" t="n"/>
      <c r="AU130" s="36" t="n"/>
      <c r="AV130" s="36" t="n"/>
      <c r="AW130" s="36" t="n"/>
      <c r="AX130" s="36" t="n"/>
      <c r="AY130" s="36" t="n"/>
      <c r="AZ130" s="36" t="n"/>
      <c r="BA130" s="36" t="n"/>
      <c r="BB130" s="36" t="n"/>
      <c r="BC130" s="36" t="n"/>
      <c r="BD130" s="36" t="n"/>
      <c r="BE130" s="36" t="n"/>
      <c r="BF130" s="36" t="n"/>
      <c r="BG130" s="36" t="n"/>
      <c r="BH130" s="36" t="n"/>
      <c r="BI130" s="36" t="n"/>
      <c r="BJ130" s="36" t="n"/>
      <c r="BK130" s="36" t="n"/>
      <c r="BL130" s="36" t="n"/>
      <c r="BM130" s="36" t="n"/>
      <c r="BN130" s="36" t="n"/>
      <c r="BO130" s="36" t="n"/>
      <c r="BP130" s="36" t="n"/>
      <c r="BQ130" s="36" t="n"/>
      <c r="BR130" s="36" t="n"/>
      <c r="BS130" s="36" t="n"/>
      <c r="BT130" s="36" t="n"/>
      <c r="BU130" s="36" t="n"/>
      <c r="BV130" s="36" t="n"/>
      <c r="BW130" s="36" t="n"/>
      <c r="BX130" s="36" t="n"/>
      <c r="BY130" s="36" t="n"/>
      <c r="BZ130" s="36" t="n"/>
      <c r="CA130" s="36" t="n"/>
      <c r="CB130" s="36" t="n"/>
      <c r="CC130" s="36" t="n"/>
      <c r="CD130" s="36" t="n"/>
      <c r="CE130" s="36" t="n"/>
    </row>
    <row r="131" ht="34" customHeight="1">
      <c r="A131" s="38" t="n"/>
      <c r="B131" s="35" t="inlineStr"/>
      <c r="C131" s="26">
        <f>IF(TRIM($B131)="","",IFERROR(INDEX(People!$A$2:$A$199,MATCH(TRIM($B131),People!$B$2:$B$199,0)),IFERROR(INDEX(Teams!$A$2:$A$9,MATCH(TRIM($B131),Teams!$B$2:$B$9,0)),"?? CHECK NAME")))</f>
        <v/>
      </c>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c r="AF131" s="36" t="n"/>
      <c r="AG131" s="36" t="n"/>
      <c r="AH131" s="36" t="n"/>
      <c r="AI131" s="36" t="n"/>
      <c r="AJ131" s="36" t="n"/>
      <c r="AK131" s="36" t="n"/>
      <c r="AL131" s="36" t="n"/>
      <c r="AM131" s="36" t="n"/>
      <c r="AN131" s="36" t="n"/>
      <c r="AO131" s="36" t="n"/>
      <c r="AP131" s="36" t="n"/>
      <c r="AQ131" s="36" t="n"/>
      <c r="AR131" s="36" t="n"/>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c r="BL131" s="36" t="n"/>
      <c r="BM131" s="36" t="n"/>
      <c r="BN131" s="36" t="n"/>
      <c r="BO131" s="36" t="n"/>
      <c r="BP131" s="36" t="n"/>
      <c r="BQ131" s="36" t="n"/>
      <c r="BR131" s="36" t="n"/>
      <c r="BS131" s="36" t="n"/>
      <c r="BT131" s="36" t="n"/>
      <c r="BU131" s="36" t="n"/>
      <c r="BV131" s="36" t="n"/>
      <c r="BW131" s="36" t="n"/>
      <c r="BX131" s="36" t="n"/>
      <c r="BY131" s="36" t="n"/>
      <c r="BZ131" s="36" t="n"/>
      <c r="CA131" s="36" t="n"/>
      <c r="CB131" s="36" t="n"/>
      <c r="CC131" s="36" t="n"/>
      <c r="CD131" s="36" t="n"/>
      <c r="CE131" s="36" t="n"/>
    </row>
  </sheetData>
  <mergeCells count="30">
    <mergeCell ref="A86:CE86"/>
    <mergeCell ref="A4:A8"/>
    <mergeCell ref="A14:A18"/>
    <mergeCell ref="CB1:CE1"/>
    <mergeCell ref="A97:A101"/>
    <mergeCell ref="A44:A48"/>
    <mergeCell ref="A122:A126"/>
    <mergeCell ref="A29:A33"/>
    <mergeCell ref="A9:A13"/>
    <mergeCell ref="A81:A85"/>
    <mergeCell ref="A127:A131"/>
    <mergeCell ref="H4:AY4"/>
    <mergeCell ref="A112:A116"/>
    <mergeCell ref="A19:A23"/>
    <mergeCell ref="A64:A68"/>
    <mergeCell ref="A59:A63"/>
    <mergeCell ref="A102:A106"/>
    <mergeCell ref="A117:A121"/>
    <mergeCell ref="A49:A53"/>
    <mergeCell ref="A34:A38"/>
    <mergeCell ref="A92:A96"/>
    <mergeCell ref="A39:A43"/>
    <mergeCell ref="A24:A28"/>
    <mergeCell ref="A107:A111"/>
    <mergeCell ref="A69:CE69"/>
    <mergeCell ref="A78:CE78"/>
    <mergeCell ref="A54:A58"/>
    <mergeCell ref="A87:A91"/>
    <mergeCell ref="D1:CA1"/>
    <mergeCell ref="A3:C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K13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 width="5.5" customWidth="1" min="64" max="64"/>
    <col width="5.5" customWidth="1" min="65" max="65"/>
    <col width="5.5" customWidth="1" min="66" max="66"/>
    <col width="5.5" customWidth="1" min="67" max="67"/>
    <col width="5.5" customWidth="1" min="68" max="68"/>
    <col width="5.5" customWidth="1" min="69" max="69"/>
    <col width="5.5" customWidth="1" min="70" max="70"/>
    <col width="5.5" customWidth="1" min="71" max="71"/>
    <col width="5.5" customWidth="1" min="72" max="72"/>
    <col width="5.5" customWidth="1" min="73" max="73"/>
    <col width="5.5" customWidth="1" min="74" max="74"/>
    <col width="5.5" customWidth="1" min="75" max="75"/>
    <col width="5.5" customWidth="1" min="76" max="76"/>
    <col width="5.5" customWidth="1" min="77" max="77"/>
    <col width="5.5" customWidth="1" min="78" max="78"/>
    <col width="5.5" customWidth="1" min="79" max="79"/>
    <col width="5.5" customWidth="1" min="80" max="80"/>
    <col width="5.5" customWidth="1" min="81" max="81"/>
    <col width="5.5" customWidth="1" min="82" max="82"/>
    <col width="5.5" customWidth="1" min="83" max="83"/>
    <col width="5.5" customWidth="1" min="84" max="84"/>
    <col width="5.5" customWidth="1" min="85" max="85"/>
    <col width="5.5" customWidth="1" min="86" max="86"/>
    <col width="5.5" customWidth="1" min="87" max="87"/>
    <col width="5.5" customWidth="1" min="88" max="88"/>
    <col width="5.5" customWidth="1" min="89" max="89"/>
  </cols>
  <sheetData>
    <row r="1">
      <c r="A1" s="18" t="inlineStr">
        <is>
          <t>Group</t>
        </is>
      </c>
      <c r="B1" s="18" t="inlineStr">
        <is>
          <t>Name</t>
        </is>
      </c>
      <c r="C1" s="18" t="inlineStr">
        <is>
          <t>ID</t>
        </is>
      </c>
      <c r="D1" s="28">
        <f>Instructions!$C$14+1</f>
        <v/>
      </c>
      <c r="E1" s="29" t="n"/>
      <c r="F1" s="29" t="n"/>
      <c r="G1" s="29" t="n"/>
      <c r="H1" s="29" t="n"/>
      <c r="I1" s="29" t="n"/>
      <c r="J1" s="29" t="n"/>
      <c r="K1" s="29" t="n"/>
      <c r="L1" s="29" t="n"/>
      <c r="M1" s="29" t="n"/>
      <c r="N1" s="29" t="n"/>
      <c r="O1" s="29" t="n"/>
      <c r="P1" s="29" t="n"/>
      <c r="Q1" s="29" t="n"/>
      <c r="R1" s="29" t="n"/>
      <c r="S1" s="29" t="n"/>
      <c r="T1" s="29" t="n"/>
      <c r="U1" s="29" t="n"/>
      <c r="V1" s="29" t="n"/>
      <c r="W1" s="29" t="n"/>
      <c r="X1" s="29" t="n"/>
      <c r="Y1" s="29" t="n"/>
      <c r="Z1" s="29" t="n"/>
      <c r="AA1" s="29" t="n"/>
      <c r="AB1" s="29" t="n"/>
      <c r="AC1" s="29" t="n"/>
      <c r="AD1" s="29" t="n"/>
      <c r="AE1" s="29" t="n"/>
      <c r="AF1" s="29" t="n"/>
      <c r="AG1" s="29" t="n"/>
      <c r="AH1" s="29" t="n"/>
      <c r="AI1" s="29" t="n"/>
      <c r="AJ1" s="29" t="n"/>
      <c r="AK1" s="29" t="n"/>
      <c r="AL1" s="29" t="n"/>
      <c r="AM1" s="29" t="n"/>
      <c r="AN1" s="29" t="n"/>
      <c r="AO1" s="29" t="n"/>
      <c r="AP1" s="29" t="n"/>
      <c r="AQ1" s="29" t="n"/>
      <c r="AR1" s="29" t="n"/>
      <c r="AS1" s="29" t="n"/>
      <c r="AT1" s="29" t="n"/>
      <c r="AU1" s="29" t="n"/>
      <c r="AV1" s="29" t="n"/>
      <c r="AW1" s="29" t="n"/>
      <c r="AX1" s="29" t="n"/>
      <c r="AY1" s="29" t="n"/>
      <c r="AZ1" s="29" t="n"/>
      <c r="BA1" s="29" t="n"/>
      <c r="BB1" s="29" t="n"/>
      <c r="BC1" s="29" t="n"/>
      <c r="BD1" s="29" t="n"/>
      <c r="BE1" s="29" t="n"/>
      <c r="BF1" s="29" t="n"/>
      <c r="BG1" s="29" t="n"/>
      <c r="BH1" s="29" t="n"/>
      <c r="BI1" s="29" t="n"/>
      <c r="BJ1" s="29" t="n"/>
      <c r="BK1" s="29" t="n"/>
      <c r="BL1" s="29" t="n"/>
      <c r="BM1" s="29" t="n"/>
      <c r="BN1" s="29" t="n"/>
      <c r="BO1" s="29" t="n"/>
      <c r="BP1" s="29" t="n"/>
      <c r="BQ1" s="29" t="n"/>
      <c r="BR1" s="29" t="n"/>
      <c r="BS1" s="29" t="n"/>
      <c r="BT1" s="29" t="n"/>
      <c r="BU1" s="29" t="n"/>
      <c r="BV1" s="29" t="n"/>
      <c r="BW1" s="29" t="n"/>
      <c r="BX1" s="29" t="n"/>
      <c r="BY1" s="29" t="n"/>
      <c r="BZ1" s="29" t="n"/>
      <c r="CA1" s="29" t="n"/>
      <c r="CB1" s="29" t="n"/>
      <c r="CC1" s="29" t="n"/>
      <c r="CD1" s="29" t="n"/>
      <c r="CE1" s="29" t="n"/>
      <c r="CF1" s="29" t="n"/>
      <c r="CG1" s="29" t="n"/>
      <c r="CH1" s="28">
        <f>Instructions!$C$14+2</f>
        <v/>
      </c>
      <c r="CI1" s="29" t="n"/>
      <c r="CJ1" s="29" t="n"/>
      <c r="CK1" s="29" t="n"/>
    </row>
    <row r="2" ht="58" customHeight="1">
      <c r="A2" s="30" t="n"/>
      <c r="B2" s="30" t="n"/>
      <c r="C2" s="30" t="n"/>
      <c r="D2" s="31" t="n">
        <v>0.1458333333333333</v>
      </c>
      <c r="E2" s="31" t="n">
        <v>0.15625</v>
      </c>
      <c r="F2" s="31" t="n">
        <v>0.1666666666666667</v>
      </c>
      <c r="G2" s="31" t="n">
        <v>0.1770833333333333</v>
      </c>
      <c r="H2" s="31" t="n">
        <v>0.1875</v>
      </c>
      <c r="I2" s="31" t="n">
        <v>0.1979166666666667</v>
      </c>
      <c r="J2" s="31" t="n">
        <v>0.2083333333333333</v>
      </c>
      <c r="K2" s="31" t="n">
        <v>0.21875</v>
      </c>
      <c r="L2" s="31" t="n">
        <v>0.2291666666666667</v>
      </c>
      <c r="M2" s="31" t="n">
        <v>0.2395833333333333</v>
      </c>
      <c r="N2" s="31" t="n">
        <v>0.25</v>
      </c>
      <c r="O2" s="31" t="n">
        <v>0.2604166666666667</v>
      </c>
      <c r="P2" s="31" t="n">
        <v>0.2708333333333333</v>
      </c>
      <c r="Q2" s="31" t="n">
        <v>0.28125</v>
      </c>
      <c r="R2" s="31" t="n">
        <v>0.2916666666666667</v>
      </c>
      <c r="S2" s="31" t="n">
        <v>0.3020833333333333</v>
      </c>
      <c r="T2" s="31" t="n">
        <v>0.3125</v>
      </c>
      <c r="U2" s="31" t="n">
        <v>0.3229166666666667</v>
      </c>
      <c r="V2" s="31" t="n">
        <v>0.3333333333333333</v>
      </c>
      <c r="W2" s="31" t="n">
        <v>0.34375</v>
      </c>
      <c r="X2" s="31" t="n">
        <v>0.3541666666666667</v>
      </c>
      <c r="Y2" s="31" t="n">
        <v>0.3645833333333333</v>
      </c>
      <c r="Z2" s="31" t="n">
        <v>0.375</v>
      </c>
      <c r="AA2" s="31" t="n">
        <v>0.3854166666666667</v>
      </c>
      <c r="AB2" s="31" t="n">
        <v>0.3958333333333333</v>
      </c>
      <c r="AC2" s="31" t="n">
        <v>0.40625</v>
      </c>
      <c r="AD2" s="31" t="n">
        <v>0.4166666666666667</v>
      </c>
      <c r="AE2" s="31" t="n">
        <v>0.4270833333333333</v>
      </c>
      <c r="AF2" s="31" t="n">
        <v>0.4375</v>
      </c>
      <c r="AG2" s="31" t="n">
        <v>0.4479166666666667</v>
      </c>
      <c r="AH2" s="31" t="n">
        <v>0.4583333333333333</v>
      </c>
      <c r="AI2" s="31" t="n">
        <v>0.46875</v>
      </c>
      <c r="AJ2" s="31" t="n">
        <v>0.4791666666666667</v>
      </c>
      <c r="AK2" s="31" t="n">
        <v>0.4895833333333333</v>
      </c>
      <c r="AL2" s="31" t="n">
        <v>0.5</v>
      </c>
      <c r="AM2" s="31" t="n">
        <v>0.5104166666666666</v>
      </c>
      <c r="AN2" s="31" t="n">
        <v>0.5208333333333334</v>
      </c>
      <c r="AO2" s="31" t="n">
        <v>0.53125</v>
      </c>
      <c r="AP2" s="31" t="n">
        <v>0.5416666666666666</v>
      </c>
      <c r="AQ2" s="31" t="n">
        <v>0.5520833333333334</v>
      </c>
      <c r="AR2" s="31" t="n">
        <v>0.5625</v>
      </c>
      <c r="AS2" s="31" t="n">
        <v>0.5729166666666666</v>
      </c>
      <c r="AT2" s="31" t="n">
        <v>0.5833333333333334</v>
      </c>
      <c r="AU2" s="31" t="n">
        <v>0.59375</v>
      </c>
      <c r="AV2" s="31" t="n">
        <v>0.6041666666666666</v>
      </c>
      <c r="AW2" s="31" t="n">
        <v>0.6145833333333334</v>
      </c>
      <c r="AX2" s="31" t="n">
        <v>0.625</v>
      </c>
      <c r="AY2" s="31" t="n">
        <v>0.6354166666666666</v>
      </c>
      <c r="AZ2" s="31" t="n">
        <v>0.6458333333333334</v>
      </c>
      <c r="BA2" s="31" t="n">
        <v>0.65625</v>
      </c>
      <c r="BB2" s="31" t="n">
        <v>0.6666666666666666</v>
      </c>
      <c r="BC2" s="31" t="n">
        <v>0.6770833333333334</v>
      </c>
      <c r="BD2" s="31" t="n">
        <v>0.6875</v>
      </c>
      <c r="BE2" s="31" t="n">
        <v>0.6979166666666666</v>
      </c>
      <c r="BF2" s="31" t="n">
        <v>0.7083333333333334</v>
      </c>
      <c r="BG2" s="31" t="n">
        <v>0.71875</v>
      </c>
      <c r="BH2" s="31" t="n">
        <v>0.7291666666666666</v>
      </c>
      <c r="BI2" s="31" t="n">
        <v>0.7395833333333334</v>
      </c>
      <c r="BJ2" s="31" t="n">
        <v>0.75</v>
      </c>
      <c r="BK2" s="31" t="n">
        <v>0.7604166666666666</v>
      </c>
      <c r="BL2" s="31" t="n">
        <v>0.7708333333333334</v>
      </c>
      <c r="BM2" s="31" t="n">
        <v>0.78125</v>
      </c>
      <c r="BN2" s="31" t="n">
        <v>0.7916666666666666</v>
      </c>
      <c r="BO2" s="31" t="n">
        <v>0.8020833333333334</v>
      </c>
      <c r="BP2" s="31" t="n">
        <v>0.8125</v>
      </c>
      <c r="BQ2" s="31" t="n">
        <v>0.8229166666666666</v>
      </c>
      <c r="BR2" s="31" t="n">
        <v>0.8333333333333334</v>
      </c>
      <c r="BS2" s="31" t="n">
        <v>0.84375</v>
      </c>
      <c r="BT2" s="31" t="n">
        <v>0.8541666666666666</v>
      </c>
      <c r="BU2" s="31" t="n">
        <v>0.8645833333333334</v>
      </c>
      <c r="BV2" s="31" t="n">
        <v>0.875</v>
      </c>
      <c r="BW2" s="31" t="n">
        <v>0.8854166666666666</v>
      </c>
      <c r="BX2" s="31" t="n">
        <v>0.8958333333333334</v>
      </c>
      <c r="BY2" s="31" t="n">
        <v>0.90625</v>
      </c>
      <c r="BZ2" s="31" t="n">
        <v>0.9166666666666666</v>
      </c>
      <c r="CA2" s="31" t="n">
        <v>0.9270833333333334</v>
      </c>
      <c r="CB2" s="31" t="n">
        <v>0.9375</v>
      </c>
      <c r="CC2" s="31" t="n">
        <v>0.9479166666666666</v>
      </c>
      <c r="CD2" s="31" t="n">
        <v>0.9583333333333334</v>
      </c>
      <c r="CE2" s="31" t="n">
        <v>0.96875</v>
      </c>
      <c r="CF2" s="31" t="n">
        <v>0.9791666666666666</v>
      </c>
      <c r="CG2" s="31" t="n">
        <v>0.9895833333333334</v>
      </c>
      <c r="CH2" s="31" t="n">
        <v>0</v>
      </c>
      <c r="CI2" s="31" t="n">
        <v>0.01041666666666667</v>
      </c>
      <c r="CJ2" s="31" t="n">
        <v>0.02083333333333333</v>
      </c>
      <c r="CK2" s="31" t="n">
        <v>0.03125</v>
      </c>
    </row>
    <row r="3" ht="18" customHeight="1">
      <c r="A3" s="32" t="inlineStr">
        <is>
          <t>BOARD MEMBERS</t>
        </is>
      </c>
      <c r="B3" s="33" t="n"/>
      <c r="C3" s="33" t="n"/>
      <c r="D3" s="33" t="n"/>
      <c r="E3" s="33" t="n"/>
      <c r="F3" s="33" t="n"/>
      <c r="G3" s="33" t="n"/>
      <c r="H3" s="33" t="n"/>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3" t="n"/>
      <c r="AV3" s="33" t="n"/>
      <c r="AW3" s="33" t="n"/>
      <c r="AX3" s="33" t="n"/>
      <c r="AY3" s="33" t="n"/>
      <c r="AZ3" s="33" t="n"/>
      <c r="BA3" s="33" t="n"/>
      <c r="BB3" s="33" t="n"/>
      <c r="BC3" s="33" t="n"/>
      <c r="BD3" s="33" t="n"/>
      <c r="BE3" s="33" t="n"/>
      <c r="BF3" s="33" t="n"/>
      <c r="BG3" s="33" t="n"/>
      <c r="BH3" s="33" t="n"/>
      <c r="BI3" s="33" t="n"/>
      <c r="BJ3" s="33" t="n"/>
      <c r="BK3" s="33" t="n"/>
      <c r="BL3" s="33" t="n"/>
      <c r="BM3" s="33" t="n"/>
      <c r="BN3" s="33" t="n"/>
      <c r="BO3" s="33" t="n"/>
      <c r="BP3" s="33" t="n"/>
      <c r="BQ3" s="33" t="n"/>
      <c r="BR3" s="33" t="n"/>
      <c r="BS3" s="33" t="n"/>
      <c r="BT3" s="33" t="n"/>
      <c r="BU3" s="33" t="n"/>
      <c r="BV3" s="33" t="n"/>
      <c r="BW3" s="33" t="n"/>
      <c r="BX3" s="33" t="n"/>
      <c r="BY3" s="33" t="n"/>
      <c r="BZ3" s="33" t="n"/>
      <c r="CA3" s="33" t="n"/>
      <c r="CB3" s="33" t="n"/>
      <c r="CC3" s="33" t="n"/>
      <c r="CD3" s="33" t="n"/>
      <c r="CE3" s="33" t="n"/>
      <c r="CF3" s="33" t="n"/>
      <c r="CG3" s="33" t="n"/>
      <c r="CH3" s="33" t="n"/>
      <c r="CI3" s="33" t="n"/>
      <c r="CJ3" s="33" t="n"/>
      <c r="CK3" s="34" t="n"/>
    </row>
    <row r="4" ht="34" customHeight="1">
      <c r="A4" s="16" t="inlineStr">
        <is>
          <t>Directors</t>
        </is>
      </c>
      <c r="B4" s="35" t="inlineStr"/>
      <c r="C4" s="26">
        <f>IF(TRIM($B4)="","",IFERROR(INDEX(People!$A$2:$A$199,MATCH(TRIM($B4),People!$B$2:$B$199,0)),IFERROR(INDEX(Teams!$A$2:$A$9,MATCH(TRIM($B4),Teams!$B$2:$B$9,0)),"?? CHECK NAME")))</f>
        <v/>
      </c>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6" t="n"/>
      <c r="AV4" s="36" t="n"/>
      <c r="AW4" s="36" t="n"/>
      <c r="AX4" s="36" t="n"/>
      <c r="AY4" s="36" t="n"/>
      <c r="AZ4" s="36" t="n"/>
      <c r="BA4" s="36" t="n"/>
      <c r="BB4" s="36" t="n"/>
      <c r="BC4" s="36" t="n"/>
      <c r="BD4" s="36" t="n"/>
      <c r="BE4" s="36" t="n"/>
      <c r="BF4" s="36" t="n"/>
      <c r="BG4" s="36" t="n"/>
      <c r="BH4" s="36" t="n"/>
      <c r="BI4" s="36" t="n"/>
      <c r="BJ4" s="36" t="n"/>
      <c r="BK4" s="36" t="n"/>
      <c r="BL4" s="36" t="n"/>
      <c r="BM4" s="36" t="n"/>
      <c r="BN4" s="36" t="n"/>
      <c r="BO4" s="36" t="n"/>
      <c r="BP4" s="36" t="n"/>
      <c r="BQ4" s="36" t="n"/>
      <c r="BR4" s="36" t="n"/>
      <c r="BS4" s="36" t="n"/>
      <c r="BT4" s="36" t="n"/>
      <c r="BU4" s="36" t="n"/>
      <c r="BV4" s="36" t="n"/>
      <c r="BW4" s="36" t="n"/>
      <c r="BX4" s="36" t="n"/>
      <c r="BY4" s="36" t="n"/>
      <c r="BZ4" s="36" t="n"/>
      <c r="CA4" s="36" t="n"/>
      <c r="CB4" s="36" t="n"/>
      <c r="CC4" s="36" t="n"/>
      <c r="CD4" s="36" t="n"/>
      <c r="CE4" s="36" t="n"/>
      <c r="CF4" s="36" t="n"/>
      <c r="CG4" s="36" t="n"/>
      <c r="CH4" s="36" t="n"/>
      <c r="CI4" s="36" t="n"/>
      <c r="CJ4" s="36" t="n"/>
      <c r="CK4" s="36" t="n"/>
    </row>
    <row r="5" ht="34" customHeight="1">
      <c r="A5" s="37" t="n"/>
      <c r="B5" s="35" t="inlineStr"/>
      <c r="C5" s="26">
        <f>IF(TRIM($B5)="","",IFERROR(INDEX(People!$A$2:$A$199,MATCH(TRIM($B5),People!$B$2:$B$199,0)),IFERROR(INDEX(Teams!$A$2:$A$9,MATCH(TRIM($B5),Teams!$B$2:$B$9,0)),"?? CHECK NAME")))</f>
        <v/>
      </c>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c r="AA5" s="36" t="n"/>
      <c r="AB5" s="36" t="n"/>
      <c r="AC5" s="36" t="n"/>
      <c r="AD5" s="36" t="n"/>
      <c r="AE5" s="36" t="n"/>
      <c r="AF5" s="36" t="n"/>
      <c r="AG5" s="36" t="n"/>
      <c r="AH5" s="36" t="n"/>
      <c r="AI5" s="36" t="n"/>
      <c r="AJ5" s="36" t="n"/>
      <c r="AK5" s="36" t="n"/>
      <c r="AL5" s="36" t="n"/>
      <c r="AM5" s="36" t="n"/>
      <c r="AN5" s="36" t="n"/>
      <c r="AO5" s="36" t="n"/>
      <c r="AP5" s="36" t="n"/>
      <c r="AQ5" s="36" t="n"/>
      <c r="AR5" s="36" t="n"/>
      <c r="AS5" s="36" t="n"/>
      <c r="AT5" s="36" t="n"/>
      <c r="AU5" s="36" t="n"/>
      <c r="AV5" s="36" t="n"/>
      <c r="AW5" s="36" t="n"/>
      <c r="AX5" s="36" t="n"/>
      <c r="AY5" s="36" t="n"/>
      <c r="AZ5" s="36" t="n"/>
      <c r="BA5" s="36" t="n"/>
      <c r="BB5" s="36" t="n"/>
      <c r="BC5" s="36" t="n"/>
      <c r="BD5" s="36" t="n"/>
      <c r="BE5" s="36" t="n"/>
      <c r="BF5" s="36" t="n"/>
      <c r="BG5" s="36" t="n"/>
      <c r="BH5" s="36" t="n"/>
      <c r="BI5" s="36" t="n"/>
      <c r="BJ5" s="36" t="n"/>
      <c r="BK5" s="36" t="n"/>
      <c r="BL5" s="36" t="n"/>
      <c r="BM5" s="36" t="n"/>
      <c r="BN5" s="36" t="n"/>
      <c r="BO5" s="36" t="n"/>
      <c r="BP5" s="36" t="n"/>
      <c r="BQ5" s="36" t="n"/>
      <c r="BR5" s="36" t="n"/>
      <c r="BS5" s="36" t="n"/>
      <c r="BT5" s="36" t="n"/>
      <c r="BU5" s="36" t="n"/>
      <c r="BV5" s="36" t="n"/>
      <c r="BW5" s="36" t="n"/>
      <c r="BX5" s="36" t="n"/>
      <c r="BY5" s="36" t="n"/>
      <c r="BZ5" s="36" t="n"/>
      <c r="CA5" s="36" t="n"/>
      <c r="CB5" s="36" t="n"/>
      <c r="CC5" s="36" t="n"/>
      <c r="CD5" s="36" t="n"/>
      <c r="CE5" s="36" t="n"/>
      <c r="CF5" s="36" t="n"/>
      <c r="CG5" s="36" t="n"/>
      <c r="CH5" s="36" t="n"/>
      <c r="CI5" s="36" t="n"/>
      <c r="CJ5" s="36" t="n"/>
      <c r="CK5" s="36" t="n"/>
    </row>
    <row r="6" ht="34" customHeight="1">
      <c r="A6" s="37" t="n"/>
      <c r="B6" s="35" t="inlineStr"/>
      <c r="C6" s="26">
        <f>IF(TRIM($B6)="","",IFERROR(INDEX(People!$A$2:$A$199,MATCH(TRIM($B6),People!$B$2:$B$199,0)),IFERROR(INDEX(Teams!$A$2:$A$9,MATCH(TRIM($B6),Teams!$B$2:$B$9,0)),"?? CHECK NAME")))</f>
        <v/>
      </c>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6" t="n"/>
      <c r="AO6" s="36" t="n"/>
      <c r="AP6" s="36" t="n"/>
      <c r="AQ6" s="36" t="n"/>
      <c r="AR6" s="36" t="n"/>
      <c r="AS6" s="36" t="n"/>
      <c r="AT6" s="36" t="n"/>
      <c r="AU6" s="36" t="n"/>
      <c r="AV6" s="36" t="n"/>
      <c r="AW6" s="36" t="n"/>
      <c r="AX6" s="36" t="n"/>
      <c r="AY6" s="36" t="n"/>
      <c r="AZ6" s="36" t="n"/>
      <c r="BA6" s="36" t="n"/>
      <c r="BB6" s="36" t="n"/>
      <c r="BC6" s="36" t="n"/>
      <c r="BD6" s="36" t="n"/>
      <c r="BE6" s="36" t="n"/>
      <c r="BF6" s="36" t="n"/>
      <c r="BG6" s="36" t="n"/>
      <c r="BH6" s="36" t="n"/>
      <c r="BI6" s="36" t="n"/>
      <c r="BJ6" s="36" t="n"/>
      <c r="BK6" s="36" t="n"/>
      <c r="BL6" s="36" t="n"/>
      <c r="BM6" s="36" t="n"/>
      <c r="BN6" s="36" t="n"/>
      <c r="BO6" s="36" t="n"/>
      <c r="BP6" s="36" t="n"/>
      <c r="BQ6" s="36" t="n"/>
      <c r="BR6" s="36" t="n"/>
      <c r="BS6" s="36" t="n"/>
      <c r="BT6" s="36" t="n"/>
      <c r="BU6" s="36" t="n"/>
      <c r="BV6" s="36" t="n"/>
      <c r="BW6" s="36" t="n"/>
      <c r="BX6" s="36" t="n"/>
      <c r="BY6" s="36" t="n"/>
      <c r="BZ6" s="36" t="n"/>
      <c r="CA6" s="36" t="n"/>
      <c r="CB6" s="36" t="n"/>
      <c r="CC6" s="36" t="n"/>
      <c r="CD6" s="36" t="n"/>
      <c r="CE6" s="36" t="n"/>
      <c r="CF6" s="36" t="n"/>
      <c r="CG6" s="36" t="n"/>
      <c r="CH6" s="36" t="n"/>
      <c r="CI6" s="36" t="n"/>
      <c r="CJ6" s="36" t="n"/>
      <c r="CK6" s="36" t="n"/>
    </row>
    <row r="7" ht="34" customHeight="1">
      <c r="A7" s="37" t="n"/>
      <c r="B7" s="35" t="inlineStr"/>
      <c r="C7" s="26">
        <f>IF(TRIM($B7)="","",IFERROR(INDEX(People!$A$2:$A$199,MATCH(TRIM($B7),People!$B$2:$B$199,0)),IFERROR(INDEX(Teams!$A$2:$A$9,MATCH(TRIM($B7),Teams!$B$2:$B$9,0)),"?? CHECK NAME")))</f>
        <v/>
      </c>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6" t="n"/>
      <c r="AM7" s="36" t="n"/>
      <c r="AN7" s="36" t="n"/>
      <c r="AO7" s="36" t="n"/>
      <c r="AP7" s="36" t="n"/>
      <c r="AQ7" s="36" t="n"/>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c r="BX7" s="36" t="n"/>
      <c r="BY7" s="36" t="n"/>
      <c r="BZ7" s="36" t="n"/>
      <c r="CA7" s="36" t="n"/>
      <c r="CB7" s="36" t="n"/>
      <c r="CC7" s="36" t="n"/>
      <c r="CD7" s="36" t="n"/>
      <c r="CE7" s="36" t="n"/>
      <c r="CF7" s="36" t="n"/>
      <c r="CG7" s="36" t="n"/>
      <c r="CH7" s="36" t="n"/>
      <c r="CI7" s="36" t="n"/>
      <c r="CJ7" s="36" t="n"/>
      <c r="CK7" s="36" t="n"/>
    </row>
    <row r="8" ht="34" customHeight="1">
      <c r="A8" s="38" t="n"/>
      <c r="B8" s="35" t="inlineStr"/>
      <c r="C8" s="26">
        <f>IF(TRIM($B8)="","",IFERROR(INDEX(People!$A$2:$A$199,MATCH(TRIM($B8),People!$B$2:$B$199,0)),IFERROR(INDEX(Teams!$A$2:$A$9,MATCH(TRIM($B8),Teams!$B$2:$B$9,0)),"?? CHECK NAME")))</f>
        <v/>
      </c>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c r="AA8" s="36" t="n"/>
      <c r="AB8" s="36" t="n"/>
      <c r="AC8" s="36" t="n"/>
      <c r="AD8" s="36" t="n"/>
      <c r="AE8" s="36" t="n"/>
      <c r="AF8" s="36" t="n"/>
      <c r="AG8" s="36" t="n"/>
      <c r="AH8" s="36" t="n"/>
      <c r="AI8" s="36" t="n"/>
      <c r="AJ8" s="36" t="n"/>
      <c r="AK8" s="36" t="n"/>
      <c r="AL8" s="36" t="n"/>
      <c r="AM8" s="36" t="n"/>
      <c r="AN8" s="36" t="n"/>
      <c r="AO8" s="36" t="n"/>
      <c r="AP8" s="36" t="n"/>
      <c r="AQ8" s="36" t="n"/>
      <c r="AR8" s="36" t="n"/>
      <c r="AS8" s="36" t="n"/>
      <c r="AT8" s="36" t="n"/>
      <c r="AU8" s="36" t="n"/>
      <c r="AV8" s="36" t="n"/>
      <c r="AW8" s="36" t="n"/>
      <c r="AX8" s="36" t="n"/>
      <c r="AY8" s="36" t="n"/>
      <c r="AZ8" s="36" t="n"/>
      <c r="BA8" s="36" t="n"/>
      <c r="BB8" s="36" t="n"/>
      <c r="BC8" s="36" t="n"/>
      <c r="BD8" s="36" t="n"/>
      <c r="BE8" s="36" t="n"/>
      <c r="BF8" s="36" t="n"/>
      <c r="BG8" s="36" t="n"/>
      <c r="BH8" s="36" t="n"/>
      <c r="BI8" s="36" t="n"/>
      <c r="BJ8" s="36" t="n"/>
      <c r="BK8" s="36" t="n"/>
      <c r="BL8" s="36" t="n"/>
      <c r="BM8" s="36" t="n"/>
      <c r="BN8" s="36" t="n"/>
      <c r="BO8" s="36" t="n"/>
      <c r="BP8" s="36" t="n"/>
      <c r="BQ8" s="36" t="n"/>
      <c r="BR8" s="36" t="n"/>
      <c r="BS8" s="36" t="n"/>
      <c r="BT8" s="36" t="n"/>
      <c r="BU8" s="36" t="n"/>
      <c r="BV8" s="36" t="n"/>
      <c r="BW8" s="36" t="n"/>
      <c r="BX8" s="36" t="n"/>
      <c r="BY8" s="36" t="n"/>
      <c r="BZ8" s="36" t="n"/>
      <c r="CA8" s="36" t="n"/>
      <c r="CB8" s="36" t="n"/>
      <c r="CC8" s="36" t="n"/>
      <c r="CD8" s="36" t="n"/>
      <c r="CE8" s="36" t="n"/>
      <c r="CF8" s="36" t="n"/>
      <c r="CG8" s="36" t="n"/>
      <c r="CH8" s="36" t="n"/>
      <c r="CI8" s="36" t="n"/>
      <c r="CJ8" s="36" t="n"/>
      <c r="CK8" s="36" t="n"/>
    </row>
    <row r="9" ht="34" customHeight="1">
      <c r="A9" s="16" t="inlineStr">
        <is>
          <t>Senior Advisors</t>
        </is>
      </c>
      <c r="B9" s="35" t="inlineStr"/>
      <c r="C9" s="26">
        <f>IF(TRIM($B9)="","",IFERROR(INDEX(People!$A$2:$A$199,MATCH(TRIM($B9),People!$B$2:$B$199,0)),IFERROR(INDEX(Teams!$A$2:$A$9,MATCH(TRIM($B9),Teams!$B$2:$B$9,0)),"?? CHECK NAME")))</f>
        <v/>
      </c>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36" t="n"/>
      <c r="AB9" s="36" t="n"/>
      <c r="AC9" s="36" t="n"/>
      <c r="AD9" s="36" t="n"/>
      <c r="AE9" s="36" t="n"/>
      <c r="AF9" s="36" t="n"/>
      <c r="AG9" s="36" t="n"/>
      <c r="AH9" s="36" t="n"/>
      <c r="AI9" s="36" t="n"/>
      <c r="AJ9" s="36" t="n"/>
      <c r="AK9" s="36" t="n"/>
      <c r="AL9" s="36" t="n"/>
      <c r="AM9" s="36" t="n"/>
      <c r="AN9" s="36" t="n"/>
      <c r="AO9" s="36" t="n"/>
      <c r="AP9" s="36" t="n"/>
      <c r="AQ9" s="36" t="n"/>
      <c r="AR9" s="36" t="n"/>
      <c r="AS9" s="36" t="n"/>
      <c r="AT9" s="36" t="n"/>
      <c r="AU9" s="36" t="n"/>
      <c r="AV9" s="36" t="n"/>
      <c r="AW9" s="36" t="n"/>
      <c r="AX9" s="36" t="n"/>
      <c r="AY9" s="36" t="n"/>
      <c r="AZ9" s="36" t="n"/>
      <c r="BA9" s="36" t="n"/>
      <c r="BB9" s="36" t="n"/>
      <c r="BC9" s="36" t="n"/>
      <c r="BD9" s="36" t="n"/>
      <c r="BE9" s="36" t="n"/>
      <c r="BF9" s="36" t="n"/>
      <c r="BG9" s="36" t="n"/>
      <c r="BH9" s="36" t="n"/>
      <c r="BI9" s="36" t="n"/>
      <c r="BJ9" s="36" t="n"/>
      <c r="BK9" s="36" t="n"/>
      <c r="BL9" s="36" t="n"/>
      <c r="BM9" s="36" t="n"/>
      <c r="BN9" s="36" t="n"/>
      <c r="BO9" s="36" t="n"/>
      <c r="BP9" s="36" t="n"/>
      <c r="BQ9" s="36" t="n"/>
      <c r="BR9" s="36" t="n"/>
      <c r="BS9" s="36" t="n"/>
      <c r="BT9" s="36" t="n"/>
      <c r="BU9" s="36" t="n"/>
      <c r="BV9" s="36" t="n"/>
      <c r="BW9" s="36" t="n"/>
      <c r="BX9" s="36" t="n"/>
      <c r="BY9" s="36" t="n"/>
      <c r="BZ9" s="36" t="n"/>
      <c r="CA9" s="36" t="n"/>
      <c r="CB9" s="36" t="n"/>
      <c r="CC9" s="36" t="n"/>
      <c r="CD9" s="36" t="n"/>
      <c r="CE9" s="36" t="n"/>
      <c r="CF9" s="36" t="n"/>
      <c r="CG9" s="36" t="n"/>
      <c r="CH9" s="36" t="n"/>
      <c r="CI9" s="36" t="n"/>
      <c r="CJ9" s="36" t="n"/>
      <c r="CK9" s="36" t="n"/>
    </row>
    <row r="10" ht="34" customHeight="1">
      <c r="A10" s="37" t="n"/>
      <c r="B10" s="35" t="inlineStr"/>
      <c r="C10" s="26">
        <f>IF(TRIM($B10)="","",IFERROR(INDEX(People!$A$2:$A$199,MATCH(TRIM($B10),People!$B$2:$B$199,0)),IFERROR(INDEX(Teams!$A$2:$A$9,MATCH(TRIM($B10),Teams!$B$2:$B$9,0)),"?? CHECK NAME")))</f>
        <v/>
      </c>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6" t="n"/>
      <c r="BI10" s="36" t="n"/>
      <c r="BJ10" s="36" t="n"/>
      <c r="BK10" s="36" t="n"/>
      <c r="BL10" s="36" t="n"/>
      <c r="BM10" s="36" t="n"/>
      <c r="BN10" s="36" t="n"/>
      <c r="BO10" s="36" t="n"/>
      <c r="BP10" s="36" t="n"/>
      <c r="BQ10" s="36" t="n"/>
      <c r="BR10" s="36" t="n"/>
      <c r="BS10" s="36" t="n"/>
      <c r="BT10" s="36" t="n"/>
      <c r="BU10" s="36" t="n"/>
      <c r="BV10" s="36" t="n"/>
      <c r="BW10" s="36" t="n"/>
      <c r="BX10" s="36" t="n"/>
      <c r="BY10" s="36" t="n"/>
      <c r="BZ10" s="36" t="n"/>
      <c r="CA10" s="36" t="n"/>
      <c r="CB10" s="36" t="n"/>
      <c r="CC10" s="36" t="n"/>
      <c r="CD10" s="36" t="n"/>
      <c r="CE10" s="36" t="n"/>
      <c r="CF10" s="36" t="n"/>
      <c r="CG10" s="36" t="n"/>
      <c r="CH10" s="36" t="n"/>
      <c r="CI10" s="36" t="n"/>
      <c r="CJ10" s="36" t="n"/>
      <c r="CK10" s="36" t="n"/>
    </row>
    <row r="11" ht="34" customHeight="1">
      <c r="A11" s="37" t="n"/>
      <c r="B11" s="35" t="inlineStr"/>
      <c r="C11" s="26">
        <f>IF(TRIM($B11)="","",IFERROR(INDEX(People!$A$2:$A$199,MATCH(TRIM($B11),People!$B$2:$B$199,0)),IFERROR(INDEX(Teams!$A$2:$A$9,MATCH(TRIM($B11),Teams!$B$2:$B$9,0)),"?? CHECK NAME")))</f>
        <v/>
      </c>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c r="AE11" s="36" t="n"/>
      <c r="AF11" s="36" t="n"/>
      <c r="AG11" s="36" t="n"/>
      <c r="AH11" s="36" t="n"/>
      <c r="AI11" s="36" t="n"/>
      <c r="AJ11" s="36" t="n"/>
      <c r="AK11" s="36" t="n"/>
      <c r="AL11" s="36" t="n"/>
      <c r="AM11" s="36" t="n"/>
      <c r="AN11" s="36" t="n"/>
      <c r="AO11" s="36" t="n"/>
      <c r="AP11" s="36" t="n"/>
      <c r="AQ11" s="36" t="n"/>
      <c r="AR11" s="36" t="n"/>
      <c r="AS11" s="36" t="n"/>
      <c r="AT11" s="36" t="n"/>
      <c r="AU11" s="36" t="n"/>
      <c r="AV11" s="36" t="n"/>
      <c r="AW11" s="36" t="n"/>
      <c r="AX11" s="36" t="n"/>
      <c r="AY11" s="36" t="n"/>
      <c r="AZ11" s="36" t="n"/>
      <c r="BA11" s="36" t="n"/>
      <c r="BB11" s="36" t="n"/>
      <c r="BC11" s="36" t="n"/>
      <c r="BD11" s="36" t="n"/>
      <c r="BE11" s="36" t="n"/>
      <c r="BF11" s="36" t="n"/>
      <c r="BG11" s="36" t="n"/>
      <c r="BH11" s="36" t="n"/>
      <c r="BI11" s="36" t="n"/>
      <c r="BJ11" s="36" t="n"/>
      <c r="BK11" s="36" t="n"/>
      <c r="BL11" s="36" t="n"/>
      <c r="BM11" s="36" t="n"/>
      <c r="BN11" s="36" t="n"/>
      <c r="BO11" s="36" t="n"/>
      <c r="BP11" s="36" t="n"/>
      <c r="BQ11" s="36" t="n"/>
      <c r="BR11" s="36" t="n"/>
      <c r="BS11" s="36" t="n"/>
      <c r="BT11" s="36" t="n"/>
      <c r="BU11" s="36" t="n"/>
      <c r="BV11" s="36" t="n"/>
      <c r="BW11" s="36" t="n"/>
      <c r="BX11" s="36" t="n"/>
      <c r="BY11" s="36" t="n"/>
      <c r="BZ11" s="36" t="n"/>
      <c r="CA11" s="36" t="n"/>
      <c r="CB11" s="36" t="n"/>
      <c r="CC11" s="36" t="n"/>
      <c r="CD11" s="36" t="n"/>
      <c r="CE11" s="36" t="n"/>
      <c r="CF11" s="36" t="n"/>
      <c r="CG11" s="36" t="n"/>
      <c r="CH11" s="36" t="n"/>
      <c r="CI11" s="36" t="n"/>
      <c r="CJ11" s="36" t="n"/>
      <c r="CK11" s="36" t="n"/>
    </row>
    <row r="12" ht="34" customHeight="1">
      <c r="A12" s="37" t="n"/>
      <c r="B12" s="35" t="inlineStr"/>
      <c r="C12" s="26">
        <f>IF(TRIM($B12)="","",IFERROR(INDEX(People!$A$2:$A$199,MATCH(TRIM($B12),People!$B$2:$B$199,0)),IFERROR(INDEX(Teams!$A$2:$A$9,MATCH(TRIM($B12),Teams!$B$2:$B$9,0)),"?? CHECK NAME")))</f>
        <v/>
      </c>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c r="AO12" s="36" t="n"/>
      <c r="AP12" s="36" t="n"/>
      <c r="AQ12" s="36" t="n"/>
      <c r="AR12" s="36" t="n"/>
      <c r="AS12" s="36" t="n"/>
      <c r="AT12" s="36" t="n"/>
      <c r="AU12" s="36" t="n"/>
      <c r="AV12" s="36" t="n"/>
      <c r="AW12" s="36" t="n"/>
      <c r="AX12" s="36" t="n"/>
      <c r="AY12" s="36" t="n"/>
      <c r="AZ12" s="36" t="n"/>
      <c r="BA12" s="36" t="n"/>
      <c r="BB12" s="36" t="n"/>
      <c r="BC12" s="36" t="n"/>
      <c r="BD12" s="36" t="n"/>
      <c r="BE12" s="36" t="n"/>
      <c r="BF12" s="36" t="n"/>
      <c r="BG12" s="36" t="n"/>
      <c r="BH12" s="36" t="n"/>
      <c r="BI12" s="36" t="n"/>
      <c r="BJ12" s="36" t="n"/>
      <c r="BK12" s="36" t="n"/>
      <c r="BL12" s="36" t="n"/>
      <c r="BM12" s="36" t="n"/>
      <c r="BN12" s="36" t="n"/>
      <c r="BO12" s="36" t="n"/>
      <c r="BP12" s="36" t="n"/>
      <c r="BQ12" s="36" t="n"/>
      <c r="BR12" s="36" t="n"/>
      <c r="BS12" s="36" t="n"/>
      <c r="BT12" s="36" t="n"/>
      <c r="BU12" s="36" t="n"/>
      <c r="BV12" s="36" t="n"/>
      <c r="BW12" s="36" t="n"/>
      <c r="BX12" s="36" t="n"/>
      <c r="BY12" s="36" t="n"/>
      <c r="BZ12" s="36" t="n"/>
      <c r="CA12" s="36" t="n"/>
      <c r="CB12" s="36" t="n"/>
      <c r="CC12" s="36" t="n"/>
      <c r="CD12" s="36" t="n"/>
      <c r="CE12" s="36" t="n"/>
      <c r="CF12" s="36" t="n"/>
      <c r="CG12" s="36" t="n"/>
      <c r="CH12" s="36" t="n"/>
      <c r="CI12" s="36" t="n"/>
      <c r="CJ12" s="36" t="n"/>
      <c r="CK12" s="36" t="n"/>
    </row>
    <row r="13" ht="34" customHeight="1">
      <c r="A13" s="38" t="n"/>
      <c r="B13" s="35" t="inlineStr"/>
      <c r="C13" s="26">
        <f>IF(TRIM($B13)="","",IFERROR(INDEX(People!$A$2:$A$199,MATCH(TRIM($B13),People!$B$2:$B$199,0)),IFERROR(INDEX(Teams!$A$2:$A$9,MATCH(TRIM($B13),Teams!$B$2:$B$9,0)),"?? CHECK NAME")))</f>
        <v/>
      </c>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c r="BP13" s="36" t="n"/>
      <c r="BQ13" s="36" t="n"/>
      <c r="BR13" s="36" t="n"/>
      <c r="BS13" s="36" t="n"/>
      <c r="BT13" s="36" t="n"/>
      <c r="BU13" s="36" t="n"/>
      <c r="BV13" s="36" t="n"/>
      <c r="BW13" s="36" t="n"/>
      <c r="BX13" s="36" t="n"/>
      <c r="BY13" s="36" t="n"/>
      <c r="BZ13" s="36" t="n"/>
      <c r="CA13" s="36" t="n"/>
      <c r="CB13" s="36" t="n"/>
      <c r="CC13" s="36" t="n"/>
      <c r="CD13" s="36" t="n"/>
      <c r="CE13" s="36" t="n"/>
      <c r="CF13" s="36" t="n"/>
      <c r="CG13" s="36" t="n"/>
      <c r="CH13" s="36" t="n"/>
      <c r="CI13" s="36" t="n"/>
      <c r="CJ13" s="36" t="n"/>
      <c r="CK13" s="36" t="n"/>
    </row>
    <row r="14" ht="34" customHeight="1">
      <c r="A14" s="16" t="inlineStr">
        <is>
          <t>Logistics</t>
        </is>
      </c>
      <c r="B14" s="35" t="inlineStr"/>
      <c r="C14" s="26">
        <f>IF(TRIM($B14)="","",IFERROR(INDEX(People!$A$2:$A$199,MATCH(TRIM($B14),People!$B$2:$B$199,0)),IFERROR(INDEX(Teams!$A$2:$A$9,MATCH(TRIM($B14),Teams!$B$2:$B$9,0)),"?? CHECK NAME")))</f>
        <v/>
      </c>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c r="AC14" s="36" t="n"/>
      <c r="AD14" s="36" t="n"/>
      <c r="AE14" s="36" t="n"/>
      <c r="AF14" s="36" t="n"/>
      <c r="AG14" s="36" t="n"/>
      <c r="AH14" s="36" t="n"/>
      <c r="AI14" s="36" t="n"/>
      <c r="AJ14" s="36" t="n"/>
      <c r="AK14" s="36" t="n"/>
      <c r="AL14" s="36" t="n"/>
      <c r="AM14" s="36" t="n"/>
      <c r="AN14" s="36" t="n"/>
      <c r="AO14" s="36" t="n"/>
      <c r="AP14" s="36" t="n"/>
      <c r="AQ14" s="36" t="n"/>
      <c r="AR14" s="36" t="n"/>
      <c r="AS14" s="36" t="n"/>
      <c r="AT14" s="36" t="n"/>
      <c r="AU14" s="36" t="n"/>
      <c r="AV14" s="36" t="n"/>
      <c r="AW14" s="36" t="n"/>
      <c r="AX14" s="36" t="n"/>
      <c r="AY14" s="36" t="n"/>
      <c r="AZ14" s="36" t="n"/>
      <c r="BA14" s="36" t="n"/>
      <c r="BB14" s="36" t="n"/>
      <c r="BC14" s="36" t="n"/>
      <c r="BD14" s="36" t="n"/>
      <c r="BE14" s="36" t="n"/>
      <c r="BF14" s="36" t="n"/>
      <c r="BG14" s="36" t="n"/>
      <c r="BH14" s="36" t="n"/>
      <c r="BI14" s="36" t="n"/>
      <c r="BJ14" s="36" t="n"/>
      <c r="BK14" s="36" t="n"/>
      <c r="BL14" s="36" t="n"/>
      <c r="BM14" s="36" t="n"/>
      <c r="BN14" s="36" t="n"/>
      <c r="BO14" s="36" t="n"/>
      <c r="BP14" s="36" t="n"/>
      <c r="BQ14" s="36" t="n"/>
      <c r="BR14" s="36" t="n"/>
      <c r="BS14" s="36" t="n"/>
      <c r="BT14" s="36" t="n"/>
      <c r="BU14" s="36" t="n"/>
      <c r="BV14" s="36" t="n"/>
      <c r="BW14" s="36" t="n"/>
      <c r="BX14" s="36" t="n"/>
      <c r="BY14" s="36" t="n"/>
      <c r="BZ14" s="36" t="n"/>
      <c r="CA14" s="36" t="n"/>
      <c r="CB14" s="36" t="n"/>
      <c r="CC14" s="36" t="n"/>
      <c r="CD14" s="36" t="n"/>
      <c r="CE14" s="36" t="n"/>
      <c r="CF14" s="36" t="n"/>
      <c r="CG14" s="36" t="n"/>
      <c r="CH14" s="36" t="n"/>
      <c r="CI14" s="36" t="n"/>
      <c r="CJ14" s="36" t="n"/>
      <c r="CK14" s="36" t="n"/>
    </row>
    <row r="15" ht="34" customHeight="1">
      <c r="A15" s="37" t="n"/>
      <c r="B15" s="35" t="inlineStr"/>
      <c r="C15" s="26">
        <f>IF(TRIM($B15)="","",IFERROR(INDEX(People!$A$2:$A$199,MATCH(TRIM($B15),People!$B$2:$B$199,0)),IFERROR(INDEX(Teams!$A$2:$A$9,MATCH(TRIM($B15),Teams!$B$2:$B$9,0)),"?? CHECK NAME")))</f>
        <v/>
      </c>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c r="AG15" s="36" t="n"/>
      <c r="AH15" s="36" t="n"/>
      <c r="AI15" s="36" t="n"/>
      <c r="AJ15" s="36" t="n"/>
      <c r="AK15" s="36" t="n"/>
      <c r="AL15" s="36" t="n"/>
      <c r="AM15" s="36" t="n"/>
      <c r="AN15" s="36" t="n"/>
      <c r="AO15" s="36" t="n"/>
      <c r="AP15" s="36" t="n"/>
      <c r="AQ15" s="36" t="n"/>
      <c r="AR15" s="36" t="n"/>
      <c r="AS15" s="36" t="n"/>
      <c r="AT15" s="36" t="n"/>
      <c r="AU15" s="36" t="n"/>
      <c r="AV15" s="36" t="n"/>
      <c r="AW15" s="36" t="n"/>
      <c r="AX15" s="36" t="n"/>
      <c r="AY15" s="36" t="n"/>
      <c r="AZ15" s="36" t="n"/>
      <c r="BA15" s="36" t="n"/>
      <c r="BB15" s="36" t="n"/>
      <c r="BC15" s="36" t="n"/>
      <c r="BD15" s="36" t="n"/>
      <c r="BE15" s="36" t="n"/>
      <c r="BF15" s="36" t="n"/>
      <c r="BG15" s="36" t="n"/>
      <c r="BH15" s="36" t="n"/>
      <c r="BI15" s="36" t="n"/>
      <c r="BJ15" s="36" t="n"/>
      <c r="BK15" s="36" t="n"/>
      <c r="BL15" s="36" t="n"/>
      <c r="BM15" s="36" t="n"/>
      <c r="BN15" s="36" t="n"/>
      <c r="BO15" s="36" t="n"/>
      <c r="BP15" s="36" t="n"/>
      <c r="BQ15" s="36" t="n"/>
      <c r="BR15" s="36" t="n"/>
      <c r="BS15" s="36" t="n"/>
      <c r="BT15" s="36" t="n"/>
      <c r="BU15" s="36" t="n"/>
      <c r="BV15" s="36" t="n"/>
      <c r="BW15" s="36" t="n"/>
      <c r="BX15" s="36" t="n"/>
      <c r="BY15" s="36" t="n"/>
      <c r="BZ15" s="36" t="n"/>
      <c r="CA15" s="36" t="n"/>
      <c r="CB15" s="36" t="n"/>
      <c r="CC15" s="36" t="n"/>
      <c r="CD15" s="36" t="n"/>
      <c r="CE15" s="36" t="n"/>
      <c r="CF15" s="36" t="n"/>
      <c r="CG15" s="36" t="n"/>
      <c r="CH15" s="36" t="n"/>
      <c r="CI15" s="36" t="n"/>
      <c r="CJ15" s="36" t="n"/>
      <c r="CK15" s="36" t="n"/>
    </row>
    <row r="16" ht="34" customHeight="1">
      <c r="A16" s="37" t="n"/>
      <c r="B16" s="35" t="inlineStr"/>
      <c r="C16" s="26">
        <f>IF(TRIM($B16)="","",IFERROR(INDEX(People!$A$2:$A$199,MATCH(TRIM($B16),People!$B$2:$B$199,0)),IFERROR(INDEX(Teams!$A$2:$A$9,MATCH(TRIM($B16),Teams!$B$2:$B$9,0)),"?? CHECK NAME")))</f>
        <v/>
      </c>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c r="BP16" s="36" t="n"/>
      <c r="BQ16" s="36" t="n"/>
      <c r="BR16" s="36" t="n"/>
      <c r="BS16" s="36" t="n"/>
      <c r="BT16" s="36" t="n"/>
      <c r="BU16" s="36" t="n"/>
      <c r="BV16" s="36" t="n"/>
      <c r="BW16" s="36" t="n"/>
      <c r="BX16" s="36" t="n"/>
      <c r="BY16" s="36" t="n"/>
      <c r="BZ16" s="36" t="n"/>
      <c r="CA16" s="36" t="n"/>
      <c r="CB16" s="36" t="n"/>
      <c r="CC16" s="36" t="n"/>
      <c r="CD16" s="36" t="n"/>
      <c r="CE16" s="36" t="n"/>
      <c r="CF16" s="36" t="n"/>
      <c r="CG16" s="36" t="n"/>
      <c r="CH16" s="36" t="n"/>
      <c r="CI16" s="36" t="n"/>
      <c r="CJ16" s="36" t="n"/>
      <c r="CK16" s="36" t="n"/>
    </row>
    <row r="17" ht="34" customHeight="1">
      <c r="A17" s="37" t="n"/>
      <c r="B17" s="35" t="inlineStr"/>
      <c r="C17" s="26">
        <f>IF(TRIM($B17)="","",IFERROR(INDEX(People!$A$2:$A$199,MATCH(TRIM($B17),People!$B$2:$B$199,0)),IFERROR(INDEX(Teams!$A$2:$A$9,MATCH(TRIM($B17),Teams!$B$2:$B$9,0)),"?? CHECK NAME")))</f>
        <v/>
      </c>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c r="AG17" s="36" t="n"/>
      <c r="AH17" s="36" t="n"/>
      <c r="AI17" s="36" t="n"/>
      <c r="AJ17" s="36" t="n"/>
      <c r="AK17" s="36" t="n"/>
      <c r="AL17" s="36" t="n"/>
      <c r="AM17" s="36" t="n"/>
      <c r="AN17" s="36" t="n"/>
      <c r="AO17" s="36" t="n"/>
      <c r="AP17" s="36" t="n"/>
      <c r="AQ17" s="36" t="n"/>
      <c r="AR17" s="36" t="n"/>
      <c r="AS17" s="36" t="n"/>
      <c r="AT17" s="36" t="n"/>
      <c r="AU17" s="36" t="n"/>
      <c r="AV17" s="36" t="n"/>
      <c r="AW17" s="36" t="n"/>
      <c r="AX17" s="36" t="n"/>
      <c r="AY17" s="36" t="n"/>
      <c r="AZ17" s="36" t="n"/>
      <c r="BA17" s="36" t="n"/>
      <c r="BB17" s="36" t="n"/>
      <c r="BC17" s="36" t="n"/>
      <c r="BD17" s="36" t="n"/>
      <c r="BE17" s="36" t="n"/>
      <c r="BF17" s="36" t="n"/>
      <c r="BG17" s="36" t="n"/>
      <c r="BH17" s="36" t="n"/>
      <c r="BI17" s="36" t="n"/>
      <c r="BJ17" s="36" t="n"/>
      <c r="BK17" s="36" t="n"/>
      <c r="BL17" s="36" t="n"/>
      <c r="BM17" s="36" t="n"/>
      <c r="BN17" s="36" t="n"/>
      <c r="BO17" s="36" t="n"/>
      <c r="BP17" s="36" t="n"/>
      <c r="BQ17" s="36" t="n"/>
      <c r="BR17" s="36" t="n"/>
      <c r="BS17" s="36" t="n"/>
      <c r="BT17" s="36" t="n"/>
      <c r="BU17" s="36" t="n"/>
      <c r="BV17" s="36" t="n"/>
      <c r="BW17" s="36" t="n"/>
      <c r="BX17" s="36" t="n"/>
      <c r="BY17" s="36" t="n"/>
      <c r="BZ17" s="36" t="n"/>
      <c r="CA17" s="36" t="n"/>
      <c r="CB17" s="36" t="n"/>
      <c r="CC17" s="36" t="n"/>
      <c r="CD17" s="36" t="n"/>
      <c r="CE17" s="36" t="n"/>
      <c r="CF17" s="36" t="n"/>
      <c r="CG17" s="36" t="n"/>
      <c r="CH17" s="36" t="n"/>
      <c r="CI17" s="36" t="n"/>
      <c r="CJ17" s="36" t="n"/>
      <c r="CK17" s="36" t="n"/>
    </row>
    <row r="18" ht="34" customHeight="1">
      <c r="A18" s="38" t="n"/>
      <c r="B18" s="35" t="inlineStr"/>
      <c r="C18" s="26">
        <f>IF(TRIM($B18)="","",IFERROR(INDEX(People!$A$2:$A$199,MATCH(TRIM($B18),People!$B$2:$B$199,0)),IFERROR(INDEX(Teams!$A$2:$A$9,MATCH(TRIM($B18),Teams!$B$2:$B$9,0)),"?? CHECK NAME")))</f>
        <v/>
      </c>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c r="AC18" s="36" t="n"/>
      <c r="AD18" s="36" t="n"/>
      <c r="AE18" s="36" t="n"/>
      <c r="AF18" s="36" t="n"/>
      <c r="AG18" s="36" t="n"/>
      <c r="AH18" s="36" t="n"/>
      <c r="AI18" s="36" t="n"/>
      <c r="AJ18" s="36" t="n"/>
      <c r="AK18" s="36" t="n"/>
      <c r="AL18" s="36" t="n"/>
      <c r="AM18" s="36" t="n"/>
      <c r="AN18" s="36" t="n"/>
      <c r="AO18" s="36" t="n"/>
      <c r="AP18" s="36" t="n"/>
      <c r="AQ18" s="36" t="n"/>
      <c r="AR18" s="36" t="n"/>
      <c r="AS18" s="36" t="n"/>
      <c r="AT18" s="36" t="n"/>
      <c r="AU18" s="36" t="n"/>
      <c r="AV18" s="36" t="n"/>
      <c r="AW18" s="36" t="n"/>
      <c r="AX18" s="36" t="n"/>
      <c r="AY18" s="36" t="n"/>
      <c r="AZ18" s="36" t="n"/>
      <c r="BA18" s="36" t="n"/>
      <c r="BB18" s="36" t="n"/>
      <c r="BC18" s="36" t="n"/>
      <c r="BD18" s="36" t="n"/>
      <c r="BE18" s="36" t="n"/>
      <c r="BF18" s="36" t="n"/>
      <c r="BG18" s="36" t="n"/>
      <c r="BH18" s="36" t="n"/>
      <c r="BI18" s="36" t="n"/>
      <c r="BJ18" s="36" t="n"/>
      <c r="BK18" s="36" t="n"/>
      <c r="BL18" s="36" t="n"/>
      <c r="BM18" s="36" t="n"/>
      <c r="BN18" s="36" t="n"/>
      <c r="BO18" s="36" t="n"/>
      <c r="BP18" s="36" t="n"/>
      <c r="BQ18" s="36" t="n"/>
      <c r="BR18" s="36" t="n"/>
      <c r="BS18" s="36" t="n"/>
      <c r="BT18" s="36" t="n"/>
      <c r="BU18" s="36" t="n"/>
      <c r="BV18" s="36" t="n"/>
      <c r="BW18" s="36" t="n"/>
      <c r="BX18" s="36" t="n"/>
      <c r="BY18" s="36" t="n"/>
      <c r="BZ18" s="36" t="n"/>
      <c r="CA18" s="36" t="n"/>
      <c r="CB18" s="36" t="n"/>
      <c r="CC18" s="36" t="n"/>
      <c r="CD18" s="36" t="n"/>
      <c r="CE18" s="36" t="n"/>
      <c r="CF18" s="36" t="n"/>
      <c r="CG18" s="36" t="n"/>
      <c r="CH18" s="36" t="n"/>
      <c r="CI18" s="36" t="n"/>
      <c r="CJ18" s="36" t="n"/>
      <c r="CK18" s="36" t="n"/>
    </row>
    <row r="19" ht="34" customHeight="1">
      <c r="A19" s="16" t="inlineStr">
        <is>
          <t>Hospitality</t>
        </is>
      </c>
      <c r="B19" s="35" t="inlineStr"/>
      <c r="C19" s="26">
        <f>IF(TRIM($B19)="","",IFERROR(INDEX(People!$A$2:$A$199,MATCH(TRIM($B19),People!$B$2:$B$199,0)),IFERROR(INDEX(Teams!$A$2:$A$9,MATCH(TRIM($B19),Teams!$B$2:$B$9,0)),"?? CHECK NAME")))</f>
        <v/>
      </c>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c r="BP19" s="36" t="n"/>
      <c r="BQ19" s="36" t="n"/>
      <c r="BR19" s="36" t="n"/>
      <c r="BS19" s="36" t="n"/>
      <c r="BT19" s="36" t="n"/>
      <c r="BU19" s="36" t="n"/>
      <c r="BV19" s="36" t="n"/>
      <c r="BW19" s="36" t="n"/>
      <c r="BX19" s="36" t="n"/>
      <c r="BY19" s="36" t="n"/>
      <c r="BZ19" s="36" t="n"/>
      <c r="CA19" s="36" t="n"/>
      <c r="CB19" s="36" t="n"/>
      <c r="CC19" s="36" t="n"/>
      <c r="CD19" s="36" t="n"/>
      <c r="CE19" s="36" t="n"/>
      <c r="CF19" s="36" t="n"/>
      <c r="CG19" s="36" t="n"/>
      <c r="CH19" s="36" t="n"/>
      <c r="CI19" s="36" t="n"/>
      <c r="CJ19" s="36" t="n"/>
      <c r="CK19" s="36" t="n"/>
    </row>
    <row r="20" ht="34" customHeight="1">
      <c r="A20" s="37" t="n"/>
      <c r="B20" s="35" t="inlineStr"/>
      <c r="C20" s="26">
        <f>IF(TRIM($B20)="","",IFERROR(INDEX(People!$A$2:$A$199,MATCH(TRIM($B20),People!$B$2:$B$199,0)),IFERROR(INDEX(Teams!$A$2:$A$9,MATCH(TRIM($B20),Teams!$B$2:$B$9,0)),"?? CHECK NAME")))</f>
        <v/>
      </c>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c r="AA20" s="36" t="n"/>
      <c r="AB20" s="36" t="n"/>
      <c r="AC20" s="36" t="n"/>
      <c r="AD20" s="36" t="n"/>
      <c r="AE20" s="36" t="n"/>
      <c r="AF20" s="36" t="n"/>
      <c r="AG20" s="36" t="n"/>
      <c r="AH20" s="36" t="n"/>
      <c r="AI20" s="36" t="n"/>
      <c r="AJ20" s="36" t="n"/>
      <c r="AK20" s="36" t="n"/>
      <c r="AL20" s="36" t="n"/>
      <c r="AM20" s="36" t="n"/>
      <c r="AN20" s="36" t="n"/>
      <c r="AO20" s="36" t="n"/>
      <c r="AP20" s="36" t="n"/>
      <c r="AQ20" s="36" t="n"/>
      <c r="AR20" s="36" t="n"/>
      <c r="AS20" s="36" t="n"/>
      <c r="AT20" s="36" t="n"/>
      <c r="AU20" s="36" t="n"/>
      <c r="AV20" s="36" t="n"/>
      <c r="AW20" s="36" t="n"/>
      <c r="AX20" s="36" t="n"/>
      <c r="AY20" s="36" t="n"/>
      <c r="AZ20" s="36" t="n"/>
      <c r="BA20" s="36" t="n"/>
      <c r="BB20" s="36" t="n"/>
      <c r="BC20" s="36" t="n"/>
      <c r="BD20" s="36" t="n"/>
      <c r="BE20" s="36" t="n"/>
      <c r="BF20" s="36" t="n"/>
      <c r="BG20" s="36" t="n"/>
      <c r="BH20" s="36" t="n"/>
      <c r="BI20" s="36" t="n"/>
      <c r="BJ20" s="36" t="n"/>
      <c r="BK20" s="36" t="n"/>
      <c r="BL20" s="36" t="n"/>
      <c r="BM20" s="36" t="n"/>
      <c r="BN20" s="36" t="n"/>
      <c r="BO20" s="36" t="n"/>
      <c r="BP20" s="36" t="n"/>
      <c r="BQ20" s="36" t="n"/>
      <c r="BR20" s="36" t="n"/>
      <c r="BS20" s="36" t="n"/>
      <c r="BT20" s="36" t="n"/>
      <c r="BU20" s="36" t="n"/>
      <c r="BV20" s="36" t="n"/>
      <c r="BW20" s="36" t="n"/>
      <c r="BX20" s="36" t="n"/>
      <c r="BY20" s="36" t="n"/>
      <c r="BZ20" s="36" t="n"/>
      <c r="CA20" s="36" t="n"/>
      <c r="CB20" s="36" t="n"/>
      <c r="CC20" s="36" t="n"/>
      <c r="CD20" s="36" t="n"/>
      <c r="CE20" s="36" t="n"/>
      <c r="CF20" s="36" t="n"/>
      <c r="CG20" s="36" t="n"/>
      <c r="CH20" s="36" t="n"/>
      <c r="CI20" s="36" t="n"/>
      <c r="CJ20" s="36" t="n"/>
      <c r="CK20" s="36" t="n"/>
    </row>
    <row r="21" ht="34" customHeight="1">
      <c r="A21" s="37" t="n"/>
      <c r="B21" s="35" t="inlineStr"/>
      <c r="C21" s="26">
        <f>IF(TRIM($B21)="","",IFERROR(INDEX(People!$A$2:$A$199,MATCH(TRIM($B21),People!$B$2:$B$199,0)),IFERROR(INDEX(Teams!$A$2:$A$9,MATCH(TRIM($B21),Teams!$B$2:$B$9,0)),"?? CHECK NAME")))</f>
        <v/>
      </c>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c r="AE21" s="36" t="n"/>
      <c r="AF21" s="36" t="n"/>
      <c r="AG21" s="36" t="n"/>
      <c r="AH21" s="36" t="n"/>
      <c r="AI21" s="36" t="n"/>
      <c r="AJ21" s="36" t="n"/>
      <c r="AK21" s="36" t="n"/>
      <c r="AL21" s="36" t="n"/>
      <c r="AM21" s="36" t="n"/>
      <c r="AN21" s="36" t="n"/>
      <c r="AO21" s="36" t="n"/>
      <c r="AP21" s="36" t="n"/>
      <c r="AQ21" s="36" t="n"/>
      <c r="AR21" s="36" t="n"/>
      <c r="AS21" s="36" t="n"/>
      <c r="AT21" s="36" t="n"/>
      <c r="AU21" s="36" t="n"/>
      <c r="AV21" s="36" t="n"/>
      <c r="AW21" s="36" t="n"/>
      <c r="AX21" s="36" t="n"/>
      <c r="AY21" s="36" t="n"/>
      <c r="AZ21" s="36" t="n"/>
      <c r="BA21" s="36" t="n"/>
      <c r="BB21" s="36" t="n"/>
      <c r="BC21" s="36" t="n"/>
      <c r="BD21" s="36" t="n"/>
      <c r="BE21" s="36" t="n"/>
      <c r="BF21" s="36" t="n"/>
      <c r="BG21" s="36" t="n"/>
      <c r="BH21" s="36" t="n"/>
      <c r="BI21" s="36" t="n"/>
      <c r="BJ21" s="36" t="n"/>
      <c r="BK21" s="36" t="n"/>
      <c r="BL21" s="36" t="n"/>
      <c r="BM21" s="36" t="n"/>
      <c r="BN21" s="36" t="n"/>
      <c r="BO21" s="36" t="n"/>
      <c r="BP21" s="36" t="n"/>
      <c r="BQ21" s="36" t="n"/>
      <c r="BR21" s="36" t="n"/>
      <c r="BS21" s="36" t="n"/>
      <c r="BT21" s="36" t="n"/>
      <c r="BU21" s="36" t="n"/>
      <c r="BV21" s="36" t="n"/>
      <c r="BW21" s="36" t="n"/>
      <c r="BX21" s="36" t="n"/>
      <c r="BY21" s="36" t="n"/>
      <c r="BZ21" s="36" t="n"/>
      <c r="CA21" s="36" t="n"/>
      <c r="CB21" s="36" t="n"/>
      <c r="CC21" s="36" t="n"/>
      <c r="CD21" s="36" t="n"/>
      <c r="CE21" s="36" t="n"/>
      <c r="CF21" s="36" t="n"/>
      <c r="CG21" s="36" t="n"/>
      <c r="CH21" s="36" t="n"/>
      <c r="CI21" s="36" t="n"/>
      <c r="CJ21" s="36" t="n"/>
      <c r="CK21" s="36" t="n"/>
    </row>
    <row r="22" ht="34" customHeight="1">
      <c r="A22" s="37" t="n"/>
      <c r="B22" s="35" t="inlineStr"/>
      <c r="C22" s="26">
        <f>IF(TRIM($B22)="","",IFERROR(INDEX(People!$A$2:$A$199,MATCH(TRIM($B22),People!$B$2:$B$199,0)),IFERROR(INDEX(Teams!$A$2:$A$9,MATCH(TRIM($B22),Teams!$B$2:$B$9,0)),"?? CHECK NAME")))</f>
        <v/>
      </c>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c r="BP22" s="36" t="n"/>
      <c r="BQ22" s="36" t="n"/>
      <c r="BR22" s="36" t="n"/>
      <c r="BS22" s="36" t="n"/>
      <c r="BT22" s="36" t="n"/>
      <c r="BU22" s="36" t="n"/>
      <c r="BV22" s="36" t="n"/>
      <c r="BW22" s="36" t="n"/>
      <c r="BX22" s="36" t="n"/>
      <c r="BY22" s="36" t="n"/>
      <c r="BZ22" s="36" t="n"/>
      <c r="CA22" s="36" t="n"/>
      <c r="CB22" s="36" t="n"/>
      <c r="CC22" s="36" t="n"/>
      <c r="CD22" s="36" t="n"/>
      <c r="CE22" s="36" t="n"/>
      <c r="CF22" s="36" t="n"/>
      <c r="CG22" s="36" t="n"/>
      <c r="CH22" s="36" t="n"/>
      <c r="CI22" s="36" t="n"/>
      <c r="CJ22" s="36" t="n"/>
      <c r="CK22" s="36" t="n"/>
    </row>
    <row r="23" ht="34" customHeight="1">
      <c r="A23" s="38" t="n"/>
      <c r="B23" s="35" t="inlineStr"/>
      <c r="C23" s="26">
        <f>IF(TRIM($B23)="","",IFERROR(INDEX(People!$A$2:$A$199,MATCH(TRIM($B23),People!$B$2:$B$199,0)),IFERROR(INDEX(Teams!$A$2:$A$9,MATCH(TRIM($B23),Teams!$B$2:$B$9,0)),"?? CHECK NAME")))</f>
        <v/>
      </c>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c r="AC23" s="36" t="n"/>
      <c r="AD23" s="36" t="n"/>
      <c r="AE23" s="36" t="n"/>
      <c r="AF23" s="36" t="n"/>
      <c r="AG23" s="36" t="n"/>
      <c r="AH23" s="36" t="n"/>
      <c r="AI23" s="36" t="n"/>
      <c r="AJ23" s="36" t="n"/>
      <c r="AK23" s="36" t="n"/>
      <c r="AL23" s="36" t="n"/>
      <c r="AM23" s="36" t="n"/>
      <c r="AN23" s="36" t="n"/>
      <c r="AO23" s="36" t="n"/>
      <c r="AP23" s="36" t="n"/>
      <c r="AQ23" s="36" t="n"/>
      <c r="AR23" s="36" t="n"/>
      <c r="AS23" s="36" t="n"/>
      <c r="AT23" s="36" t="n"/>
      <c r="AU23" s="36" t="n"/>
      <c r="AV23" s="36" t="n"/>
      <c r="AW23" s="36" t="n"/>
      <c r="AX23" s="36" t="n"/>
      <c r="AY23" s="36" t="n"/>
      <c r="AZ23" s="36" t="n"/>
      <c r="BA23" s="36" t="n"/>
      <c r="BB23" s="36" t="n"/>
      <c r="BC23" s="36" t="n"/>
      <c r="BD23" s="36" t="n"/>
      <c r="BE23" s="36" t="n"/>
      <c r="BF23" s="36" t="n"/>
      <c r="BG23" s="36" t="n"/>
      <c r="BH23" s="36" t="n"/>
      <c r="BI23" s="36" t="n"/>
      <c r="BJ23" s="36" t="n"/>
      <c r="BK23" s="36" t="n"/>
      <c r="BL23" s="36" t="n"/>
      <c r="BM23" s="36" t="n"/>
      <c r="BN23" s="36" t="n"/>
      <c r="BO23" s="36" t="n"/>
      <c r="BP23" s="36" t="n"/>
      <c r="BQ23" s="36" t="n"/>
      <c r="BR23" s="36" t="n"/>
      <c r="BS23" s="36" t="n"/>
      <c r="BT23" s="36" t="n"/>
      <c r="BU23" s="36" t="n"/>
      <c r="BV23" s="36" t="n"/>
      <c r="BW23" s="36" t="n"/>
      <c r="BX23" s="36" t="n"/>
      <c r="BY23" s="36" t="n"/>
      <c r="BZ23" s="36" t="n"/>
      <c r="CA23" s="36" t="n"/>
      <c r="CB23" s="36" t="n"/>
      <c r="CC23" s="36" t="n"/>
      <c r="CD23" s="36" t="n"/>
      <c r="CE23" s="36" t="n"/>
      <c r="CF23" s="36" t="n"/>
      <c r="CG23" s="36" t="n"/>
      <c r="CH23" s="36" t="n"/>
      <c r="CI23" s="36" t="n"/>
      <c r="CJ23" s="36" t="n"/>
      <c r="CK23" s="36" t="n"/>
    </row>
    <row r="24" ht="34" customHeight="1">
      <c r="A24" s="16" t="inlineStr">
        <is>
          <t>Creative</t>
        </is>
      </c>
      <c r="B24" s="35" t="inlineStr"/>
      <c r="C24" s="26">
        <f>IF(TRIM($B24)="","",IFERROR(INDEX(People!$A$2:$A$199,MATCH(TRIM($B24),People!$B$2:$B$199,0)),IFERROR(INDEX(Teams!$A$2:$A$9,MATCH(TRIM($B24),Teams!$B$2:$B$9,0)),"?? CHECK NAME")))</f>
        <v/>
      </c>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c r="AA24" s="36" t="n"/>
      <c r="AB24" s="36" t="n"/>
      <c r="AC24" s="36" t="n"/>
      <c r="AD24" s="36" t="n"/>
      <c r="AE24" s="36" t="n"/>
      <c r="AF24" s="36" t="n"/>
      <c r="AG24" s="36" t="n"/>
      <c r="AH24" s="36" t="n"/>
      <c r="AI24" s="36" t="n"/>
      <c r="AJ24" s="36" t="n"/>
      <c r="AK24" s="36" t="n"/>
      <c r="AL24" s="36" t="n"/>
      <c r="AM24" s="36" t="n"/>
      <c r="AN24" s="36" t="n"/>
      <c r="AO24" s="36" t="n"/>
      <c r="AP24" s="36" t="n"/>
      <c r="AQ24" s="36" t="n"/>
      <c r="AR24" s="36" t="n"/>
      <c r="AS24" s="36" t="n"/>
      <c r="AT24" s="36" t="n"/>
      <c r="AU24" s="36" t="n"/>
      <c r="AV24" s="36" t="n"/>
      <c r="AW24" s="36" t="n"/>
      <c r="AX24" s="36" t="n"/>
      <c r="AY24" s="36" t="n"/>
      <c r="AZ24" s="36" t="n"/>
      <c r="BA24" s="36" t="n"/>
      <c r="BB24" s="36" t="n"/>
      <c r="BC24" s="36" t="n"/>
      <c r="BD24" s="36" t="n"/>
      <c r="BE24" s="36" t="n"/>
      <c r="BF24" s="36" t="n"/>
      <c r="BG24" s="36" t="n"/>
      <c r="BH24" s="36" t="n"/>
      <c r="BI24" s="36" t="n"/>
      <c r="BJ24" s="36" t="n"/>
      <c r="BK24" s="36" t="n"/>
      <c r="BL24" s="36" t="n"/>
      <c r="BM24" s="36" t="n"/>
      <c r="BN24" s="36" t="n"/>
      <c r="BO24" s="36" t="n"/>
      <c r="BP24" s="36" t="n"/>
      <c r="BQ24" s="36" t="n"/>
      <c r="BR24" s="36" t="n"/>
      <c r="BS24" s="36" t="n"/>
      <c r="BT24" s="36" t="n"/>
      <c r="BU24" s="36" t="n"/>
      <c r="BV24" s="36" t="n"/>
      <c r="BW24" s="36" t="n"/>
      <c r="BX24" s="36" t="n"/>
      <c r="BY24" s="36" t="n"/>
      <c r="BZ24" s="36" t="n"/>
      <c r="CA24" s="36" t="n"/>
      <c r="CB24" s="36" t="n"/>
      <c r="CC24" s="36" t="n"/>
      <c r="CD24" s="36" t="n"/>
      <c r="CE24" s="36" t="n"/>
      <c r="CF24" s="36" t="n"/>
      <c r="CG24" s="36" t="n"/>
      <c r="CH24" s="36" t="n"/>
      <c r="CI24" s="36" t="n"/>
      <c r="CJ24" s="36" t="n"/>
      <c r="CK24" s="36" t="n"/>
    </row>
    <row r="25" ht="34" customHeight="1">
      <c r="A25" s="37" t="n"/>
      <c r="B25" s="35" t="inlineStr"/>
      <c r="C25" s="26">
        <f>IF(TRIM($B25)="","",IFERROR(INDEX(People!$A$2:$A$199,MATCH(TRIM($B25),People!$B$2:$B$199,0)),IFERROR(INDEX(Teams!$A$2:$A$9,MATCH(TRIM($B25),Teams!$B$2:$B$9,0)),"?? CHECK NAME")))</f>
        <v/>
      </c>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c r="BP25" s="36" t="n"/>
      <c r="BQ25" s="36" t="n"/>
      <c r="BR25" s="36" t="n"/>
      <c r="BS25" s="36" t="n"/>
      <c r="BT25" s="36" t="n"/>
      <c r="BU25" s="36" t="n"/>
      <c r="BV25" s="36" t="n"/>
      <c r="BW25" s="36" t="n"/>
      <c r="BX25" s="36" t="n"/>
      <c r="BY25" s="36" t="n"/>
      <c r="BZ25" s="36" t="n"/>
      <c r="CA25" s="36" t="n"/>
      <c r="CB25" s="36" t="n"/>
      <c r="CC25" s="36" t="n"/>
      <c r="CD25" s="36" t="n"/>
      <c r="CE25" s="36" t="n"/>
      <c r="CF25" s="36" t="n"/>
      <c r="CG25" s="36" t="n"/>
      <c r="CH25" s="36" t="n"/>
      <c r="CI25" s="36" t="n"/>
      <c r="CJ25" s="36" t="n"/>
      <c r="CK25" s="36" t="n"/>
    </row>
    <row r="26" ht="34" customHeight="1">
      <c r="A26" s="37" t="n"/>
      <c r="B26" s="35" t="inlineStr"/>
      <c r="C26" s="26">
        <f>IF(TRIM($B26)="","",IFERROR(INDEX(People!$A$2:$A$199,MATCH(TRIM($B26),People!$B$2:$B$199,0)),IFERROR(INDEX(Teams!$A$2:$A$9,MATCH(TRIM($B26),Teams!$B$2:$B$9,0)),"?? CHECK NAME")))</f>
        <v/>
      </c>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c r="AA26" s="36" t="n"/>
      <c r="AB26" s="36" t="n"/>
      <c r="AC26" s="36" t="n"/>
      <c r="AD26" s="36" t="n"/>
      <c r="AE26" s="36" t="n"/>
      <c r="AF26" s="36" t="n"/>
      <c r="AG26" s="36" t="n"/>
      <c r="AH26" s="36" t="n"/>
      <c r="AI26" s="36" t="n"/>
      <c r="AJ26" s="36" t="n"/>
      <c r="AK26" s="36" t="n"/>
      <c r="AL26" s="36" t="n"/>
      <c r="AM26" s="36" t="n"/>
      <c r="AN26" s="36" t="n"/>
      <c r="AO26" s="36" t="n"/>
      <c r="AP26" s="36" t="n"/>
      <c r="AQ26" s="36" t="n"/>
      <c r="AR26" s="36" t="n"/>
      <c r="AS26" s="36" t="n"/>
      <c r="AT26" s="36" t="n"/>
      <c r="AU26" s="36" t="n"/>
      <c r="AV26" s="36" t="n"/>
      <c r="AW26" s="36" t="n"/>
      <c r="AX26" s="36" t="n"/>
      <c r="AY26" s="36" t="n"/>
      <c r="AZ26" s="36" t="n"/>
      <c r="BA26" s="36" t="n"/>
      <c r="BB26" s="36" t="n"/>
      <c r="BC26" s="36" t="n"/>
      <c r="BD26" s="36" t="n"/>
      <c r="BE26" s="36" t="n"/>
      <c r="BF26" s="36" t="n"/>
      <c r="BG26" s="36" t="n"/>
      <c r="BH26" s="36" t="n"/>
      <c r="BI26" s="36" t="n"/>
      <c r="BJ26" s="36" t="n"/>
      <c r="BK26" s="36" t="n"/>
      <c r="BL26" s="36" t="n"/>
      <c r="BM26" s="36" t="n"/>
      <c r="BN26" s="36" t="n"/>
      <c r="BO26" s="36" t="n"/>
      <c r="BP26" s="36" t="n"/>
      <c r="BQ26" s="36" t="n"/>
      <c r="BR26" s="36" t="n"/>
      <c r="BS26" s="36" t="n"/>
      <c r="BT26" s="36" t="n"/>
      <c r="BU26" s="36" t="n"/>
      <c r="BV26" s="36" t="n"/>
      <c r="BW26" s="36" t="n"/>
      <c r="BX26" s="36" t="n"/>
      <c r="BY26" s="36" t="n"/>
      <c r="BZ26" s="36" t="n"/>
      <c r="CA26" s="36" t="n"/>
      <c r="CB26" s="36" t="n"/>
      <c r="CC26" s="36" t="n"/>
      <c r="CD26" s="36" t="n"/>
      <c r="CE26" s="36" t="n"/>
      <c r="CF26" s="36" t="n"/>
      <c r="CG26" s="36" t="n"/>
      <c r="CH26" s="36" t="n"/>
      <c r="CI26" s="36" t="n"/>
      <c r="CJ26" s="36" t="n"/>
      <c r="CK26" s="36" t="n"/>
    </row>
    <row r="27" ht="34" customHeight="1">
      <c r="A27" s="37" t="n"/>
      <c r="B27" s="35" t="inlineStr"/>
      <c r="C27" s="26">
        <f>IF(TRIM($B27)="","",IFERROR(INDEX(People!$A$2:$A$199,MATCH(TRIM($B27),People!$B$2:$B$199,0)),IFERROR(INDEX(Teams!$A$2:$A$9,MATCH(TRIM($B27),Teams!$B$2:$B$9,0)),"?? CHECK NAME")))</f>
        <v/>
      </c>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c r="AC27" s="36" t="n"/>
      <c r="AD27" s="36" t="n"/>
      <c r="AE27" s="36" t="n"/>
      <c r="AF27" s="36" t="n"/>
      <c r="AG27" s="36" t="n"/>
      <c r="AH27" s="36" t="n"/>
      <c r="AI27" s="36" t="n"/>
      <c r="AJ27" s="36" t="n"/>
      <c r="AK27" s="36" t="n"/>
      <c r="AL27" s="36" t="n"/>
      <c r="AM27" s="36" t="n"/>
      <c r="AN27" s="36" t="n"/>
      <c r="AO27" s="36" t="n"/>
      <c r="AP27" s="36" t="n"/>
      <c r="AQ27" s="36" t="n"/>
      <c r="AR27" s="36" t="n"/>
      <c r="AS27" s="36" t="n"/>
      <c r="AT27" s="36" t="n"/>
      <c r="AU27" s="36" t="n"/>
      <c r="AV27" s="36" t="n"/>
      <c r="AW27" s="36" t="n"/>
      <c r="AX27" s="36" t="n"/>
      <c r="AY27" s="36" t="n"/>
      <c r="AZ27" s="36" t="n"/>
      <c r="BA27" s="36" t="n"/>
      <c r="BB27" s="36" t="n"/>
      <c r="BC27" s="36" t="n"/>
      <c r="BD27" s="36" t="n"/>
      <c r="BE27" s="36" t="n"/>
      <c r="BF27" s="36" t="n"/>
      <c r="BG27" s="36" t="n"/>
      <c r="BH27" s="36" t="n"/>
      <c r="BI27" s="36" t="n"/>
      <c r="BJ27" s="36" t="n"/>
      <c r="BK27" s="36" t="n"/>
      <c r="BL27" s="36" t="n"/>
      <c r="BM27" s="36" t="n"/>
      <c r="BN27" s="36" t="n"/>
      <c r="BO27" s="36" t="n"/>
      <c r="BP27" s="36" t="n"/>
      <c r="BQ27" s="36" t="n"/>
      <c r="BR27" s="36" t="n"/>
      <c r="BS27" s="36" t="n"/>
      <c r="BT27" s="36" t="n"/>
      <c r="BU27" s="36" t="n"/>
      <c r="BV27" s="36" t="n"/>
      <c r="BW27" s="36" t="n"/>
      <c r="BX27" s="36" t="n"/>
      <c r="BY27" s="36" t="n"/>
      <c r="BZ27" s="36" t="n"/>
      <c r="CA27" s="36" t="n"/>
      <c r="CB27" s="36" t="n"/>
      <c r="CC27" s="36" t="n"/>
      <c r="CD27" s="36" t="n"/>
      <c r="CE27" s="36" t="n"/>
      <c r="CF27" s="36" t="n"/>
      <c r="CG27" s="36" t="n"/>
      <c r="CH27" s="36" t="n"/>
      <c r="CI27" s="36" t="n"/>
      <c r="CJ27" s="36" t="n"/>
      <c r="CK27" s="36" t="n"/>
    </row>
    <row r="28" ht="34" customHeight="1">
      <c r="A28" s="38" t="n"/>
      <c r="B28" s="35" t="inlineStr"/>
      <c r="C28" s="26">
        <f>IF(TRIM($B28)="","",IFERROR(INDEX(People!$A$2:$A$199,MATCH(TRIM($B28),People!$B$2:$B$199,0)),IFERROR(INDEX(Teams!$A$2:$A$9,MATCH(TRIM($B28),Teams!$B$2:$B$9,0)),"?? CHECK NAME")))</f>
        <v/>
      </c>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36" t="n"/>
      <c r="AN28" s="36" t="n"/>
      <c r="AO28" s="36" t="n"/>
      <c r="AP28" s="36" t="n"/>
      <c r="AQ28" s="36" t="n"/>
      <c r="AR28" s="36" t="n"/>
      <c r="AS28" s="36" t="n"/>
      <c r="AT28" s="36" t="n"/>
      <c r="AU28" s="36" t="n"/>
      <c r="AV28" s="36" t="n"/>
      <c r="AW28" s="36" t="n"/>
      <c r="AX28" s="36" t="n"/>
      <c r="AY28" s="36" t="n"/>
      <c r="AZ28" s="36" t="n"/>
      <c r="BA28" s="36" t="n"/>
      <c r="BB28" s="36" t="n"/>
      <c r="BC28" s="36" t="n"/>
      <c r="BD28" s="36" t="n"/>
      <c r="BE28" s="36" t="n"/>
      <c r="BF28" s="36" t="n"/>
      <c r="BG28" s="36" t="n"/>
      <c r="BH28" s="36" t="n"/>
      <c r="BI28" s="36" t="n"/>
      <c r="BJ28" s="36" t="n"/>
      <c r="BK28" s="36" t="n"/>
      <c r="BL28" s="36" t="n"/>
      <c r="BM28" s="36" t="n"/>
      <c r="BN28" s="36" t="n"/>
      <c r="BO28" s="36" t="n"/>
      <c r="BP28" s="36" t="n"/>
      <c r="BQ28" s="36" t="n"/>
      <c r="BR28" s="36" t="n"/>
      <c r="BS28" s="36" t="n"/>
      <c r="BT28" s="36" t="n"/>
      <c r="BU28" s="36" t="n"/>
      <c r="BV28" s="36" t="n"/>
      <c r="BW28" s="36" t="n"/>
      <c r="BX28" s="36" t="n"/>
      <c r="BY28" s="36" t="n"/>
      <c r="BZ28" s="36" t="n"/>
      <c r="CA28" s="36" t="n"/>
      <c r="CB28" s="36" t="n"/>
      <c r="CC28" s="36" t="n"/>
      <c r="CD28" s="36" t="n"/>
      <c r="CE28" s="36" t="n"/>
      <c r="CF28" s="36" t="n"/>
      <c r="CG28" s="36" t="n"/>
      <c r="CH28" s="36" t="n"/>
      <c r="CI28" s="36" t="n"/>
      <c r="CJ28" s="36" t="n"/>
      <c r="CK28" s="36" t="n"/>
    </row>
    <row r="29" ht="34" customHeight="1">
      <c r="A29" s="16" t="inlineStr">
        <is>
          <t>Registration</t>
        </is>
      </c>
      <c r="B29" s="35" t="inlineStr"/>
      <c r="C29" s="26">
        <f>IF(TRIM($B29)="","",IFERROR(INDEX(People!$A$2:$A$199,MATCH(TRIM($B29),People!$B$2:$B$199,0)),IFERROR(INDEX(Teams!$A$2:$A$9,MATCH(TRIM($B29),Teams!$B$2:$B$9,0)),"?? CHECK NAME")))</f>
        <v/>
      </c>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c r="AC29" s="36" t="n"/>
      <c r="AD29" s="36" t="n"/>
      <c r="AE29" s="36" t="n"/>
      <c r="AF29" s="36" t="n"/>
      <c r="AG29" s="36" t="n"/>
      <c r="AH29" s="36" t="n"/>
      <c r="AI29" s="36" t="n"/>
      <c r="AJ29" s="36" t="n"/>
      <c r="AK29" s="36" t="n"/>
      <c r="AL29" s="36" t="n"/>
      <c r="AM29" s="36" t="n"/>
      <c r="AN29" s="36" t="n"/>
      <c r="AO29" s="36" t="n"/>
      <c r="AP29" s="36" t="n"/>
      <c r="AQ29" s="36" t="n"/>
      <c r="AR29" s="36" t="n"/>
      <c r="AS29" s="36" t="n"/>
      <c r="AT29" s="36" t="n"/>
      <c r="AU29" s="36" t="n"/>
      <c r="AV29" s="36" t="n"/>
      <c r="AW29" s="36" t="n"/>
      <c r="AX29" s="36" t="n"/>
      <c r="AY29" s="36" t="n"/>
      <c r="AZ29" s="36" t="n"/>
      <c r="BA29" s="36" t="n"/>
      <c r="BB29" s="36" t="n"/>
      <c r="BC29" s="36" t="n"/>
      <c r="BD29" s="36" t="n"/>
      <c r="BE29" s="36" t="n"/>
      <c r="BF29" s="36" t="n"/>
      <c r="BG29" s="36" t="n"/>
      <c r="BH29" s="36" t="n"/>
      <c r="BI29" s="36" t="n"/>
      <c r="BJ29" s="36" t="n"/>
      <c r="BK29" s="36" t="n"/>
      <c r="BL29" s="36" t="n"/>
      <c r="BM29" s="36" t="n"/>
      <c r="BN29" s="36" t="n"/>
      <c r="BO29" s="36" t="n"/>
      <c r="BP29" s="36" t="n"/>
      <c r="BQ29" s="36" t="n"/>
      <c r="BR29" s="36" t="n"/>
      <c r="BS29" s="36" t="n"/>
      <c r="BT29" s="36" t="n"/>
      <c r="BU29" s="36" t="n"/>
      <c r="BV29" s="36" t="n"/>
      <c r="BW29" s="36" t="n"/>
      <c r="BX29" s="36" t="n"/>
      <c r="BY29" s="36" t="n"/>
      <c r="BZ29" s="36" t="n"/>
      <c r="CA29" s="36" t="n"/>
      <c r="CB29" s="36" t="n"/>
      <c r="CC29" s="36" t="n"/>
      <c r="CD29" s="36" t="n"/>
      <c r="CE29" s="36" t="n"/>
      <c r="CF29" s="36" t="n"/>
      <c r="CG29" s="36" t="n"/>
      <c r="CH29" s="36" t="n"/>
      <c r="CI29" s="36" t="n"/>
      <c r="CJ29" s="36" t="n"/>
      <c r="CK29" s="36" t="n"/>
    </row>
    <row r="30" ht="34" customHeight="1">
      <c r="A30" s="37" t="n"/>
      <c r="B30" s="35" t="inlineStr"/>
      <c r="C30" s="26">
        <f>IF(TRIM($B30)="","",IFERROR(INDEX(People!$A$2:$A$199,MATCH(TRIM($B30),People!$B$2:$B$199,0)),IFERROR(INDEX(Teams!$A$2:$A$9,MATCH(TRIM($B30),Teams!$B$2:$B$9,0)),"?? CHECK NAME")))</f>
        <v/>
      </c>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c r="AC30" s="36" t="n"/>
      <c r="AD30" s="36" t="n"/>
      <c r="AE30" s="36" t="n"/>
      <c r="AF30" s="36" t="n"/>
      <c r="AG30" s="36" t="n"/>
      <c r="AH30" s="36" t="n"/>
      <c r="AI30" s="36" t="n"/>
      <c r="AJ30" s="36" t="n"/>
      <c r="AK30" s="36" t="n"/>
      <c r="AL30" s="36" t="n"/>
      <c r="AM30" s="36" t="n"/>
      <c r="AN30" s="36" t="n"/>
      <c r="AO30" s="36" t="n"/>
      <c r="AP30" s="36" t="n"/>
      <c r="AQ30" s="36" t="n"/>
      <c r="AR30" s="36" t="n"/>
      <c r="AS30" s="36" t="n"/>
      <c r="AT30" s="36" t="n"/>
      <c r="AU30" s="36" t="n"/>
      <c r="AV30" s="36" t="n"/>
      <c r="AW30" s="36" t="n"/>
      <c r="AX30" s="36" t="n"/>
      <c r="AY30" s="36" t="n"/>
      <c r="AZ30" s="36" t="n"/>
      <c r="BA30" s="36" t="n"/>
      <c r="BB30" s="36" t="n"/>
      <c r="BC30" s="36" t="n"/>
      <c r="BD30" s="36" t="n"/>
      <c r="BE30" s="36" t="n"/>
      <c r="BF30" s="36" t="n"/>
      <c r="BG30" s="36" t="n"/>
      <c r="BH30" s="36" t="n"/>
      <c r="BI30" s="36" t="n"/>
      <c r="BJ30" s="36" t="n"/>
      <c r="BK30" s="36" t="n"/>
      <c r="BL30" s="36" t="n"/>
      <c r="BM30" s="36" t="n"/>
      <c r="BN30" s="36" t="n"/>
      <c r="BO30" s="36" t="n"/>
      <c r="BP30" s="36" t="n"/>
      <c r="BQ30" s="36" t="n"/>
      <c r="BR30" s="36" t="n"/>
      <c r="BS30" s="36" t="n"/>
      <c r="BT30" s="36" t="n"/>
      <c r="BU30" s="36" t="n"/>
      <c r="BV30" s="36" t="n"/>
      <c r="BW30" s="36" t="n"/>
      <c r="BX30" s="36" t="n"/>
      <c r="BY30" s="36" t="n"/>
      <c r="BZ30" s="36" t="n"/>
      <c r="CA30" s="36" t="n"/>
      <c r="CB30" s="36" t="n"/>
      <c r="CC30" s="36" t="n"/>
      <c r="CD30" s="36" t="n"/>
      <c r="CE30" s="36" t="n"/>
      <c r="CF30" s="36" t="n"/>
      <c r="CG30" s="36" t="n"/>
      <c r="CH30" s="36" t="n"/>
      <c r="CI30" s="36" t="n"/>
      <c r="CJ30" s="36" t="n"/>
      <c r="CK30" s="36" t="n"/>
    </row>
    <row r="31" ht="34" customHeight="1">
      <c r="A31" s="37" t="n"/>
      <c r="B31" s="35" t="inlineStr"/>
      <c r="C31" s="26">
        <f>IF(TRIM($B31)="","",IFERROR(INDEX(People!$A$2:$A$199,MATCH(TRIM($B31),People!$B$2:$B$199,0)),IFERROR(INDEX(Teams!$A$2:$A$9,MATCH(TRIM($B31),Teams!$B$2:$B$9,0)),"?? CHECK NAME")))</f>
        <v/>
      </c>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c r="AE31" s="36" t="n"/>
      <c r="AF31" s="36" t="n"/>
      <c r="AG31" s="36" t="n"/>
      <c r="AH31" s="36" t="n"/>
      <c r="AI31" s="36" t="n"/>
      <c r="AJ31" s="36" t="n"/>
      <c r="AK31" s="36" t="n"/>
      <c r="AL31" s="36" t="n"/>
      <c r="AM31" s="36" t="n"/>
      <c r="AN31" s="36" t="n"/>
      <c r="AO31" s="36" t="n"/>
      <c r="AP31" s="36" t="n"/>
      <c r="AQ31" s="36" t="n"/>
      <c r="AR31" s="36" t="n"/>
      <c r="AS31" s="36" t="n"/>
      <c r="AT31" s="36" t="n"/>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c r="BP31" s="36" t="n"/>
      <c r="BQ31" s="36" t="n"/>
      <c r="BR31" s="36" t="n"/>
      <c r="BS31" s="36" t="n"/>
      <c r="BT31" s="36" t="n"/>
      <c r="BU31" s="36" t="n"/>
      <c r="BV31" s="36" t="n"/>
      <c r="BW31" s="36" t="n"/>
      <c r="BX31" s="36" t="n"/>
      <c r="BY31" s="36" t="n"/>
      <c r="BZ31" s="36" t="n"/>
      <c r="CA31" s="36" t="n"/>
      <c r="CB31" s="36" t="n"/>
      <c r="CC31" s="36" t="n"/>
      <c r="CD31" s="36" t="n"/>
      <c r="CE31" s="36" t="n"/>
      <c r="CF31" s="36" t="n"/>
      <c r="CG31" s="36" t="n"/>
      <c r="CH31" s="36" t="n"/>
      <c r="CI31" s="36" t="n"/>
      <c r="CJ31" s="36" t="n"/>
      <c r="CK31" s="36" t="n"/>
    </row>
    <row r="32" ht="34" customHeight="1">
      <c r="A32" s="37" t="n"/>
      <c r="B32" s="35" t="inlineStr"/>
      <c r="C32" s="26">
        <f>IF(TRIM($B32)="","",IFERROR(INDEX(People!$A$2:$A$199,MATCH(TRIM($B32),People!$B$2:$B$199,0)),IFERROR(INDEX(Teams!$A$2:$A$9,MATCH(TRIM($B32),Teams!$B$2:$B$9,0)),"?? CHECK NAME")))</f>
        <v/>
      </c>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c r="AA32" s="36" t="n"/>
      <c r="AB32" s="36" t="n"/>
      <c r="AC32" s="36" t="n"/>
      <c r="AD32" s="36" t="n"/>
      <c r="AE32" s="36" t="n"/>
      <c r="AF32" s="36" t="n"/>
      <c r="AG32" s="36" t="n"/>
      <c r="AH32" s="36" t="n"/>
      <c r="AI32" s="36" t="n"/>
      <c r="AJ32" s="36" t="n"/>
      <c r="AK32" s="36" t="n"/>
      <c r="AL32" s="36" t="n"/>
      <c r="AM32" s="36" t="n"/>
      <c r="AN32" s="36" t="n"/>
      <c r="AO32" s="36" t="n"/>
      <c r="AP32" s="36" t="n"/>
      <c r="AQ32" s="36" t="n"/>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c r="BL32" s="36" t="n"/>
      <c r="BM32" s="36" t="n"/>
      <c r="BN32" s="36" t="n"/>
      <c r="BO32" s="36" t="n"/>
      <c r="BP32" s="36" t="n"/>
      <c r="BQ32" s="36" t="n"/>
      <c r="BR32" s="36" t="n"/>
      <c r="BS32" s="36" t="n"/>
      <c r="BT32" s="36" t="n"/>
      <c r="BU32" s="36" t="n"/>
      <c r="BV32" s="36" t="n"/>
      <c r="BW32" s="36" t="n"/>
      <c r="BX32" s="36" t="n"/>
      <c r="BY32" s="36" t="n"/>
      <c r="BZ32" s="36" t="n"/>
      <c r="CA32" s="36" t="n"/>
      <c r="CB32" s="36" t="n"/>
      <c r="CC32" s="36" t="n"/>
      <c r="CD32" s="36" t="n"/>
      <c r="CE32" s="36" t="n"/>
      <c r="CF32" s="36" t="n"/>
      <c r="CG32" s="36" t="n"/>
      <c r="CH32" s="36" t="n"/>
      <c r="CI32" s="36" t="n"/>
      <c r="CJ32" s="36" t="n"/>
      <c r="CK32" s="36" t="n"/>
    </row>
    <row r="33" ht="34" customHeight="1">
      <c r="A33" s="38" t="n"/>
      <c r="B33" s="35" t="inlineStr"/>
      <c r="C33" s="26">
        <f>IF(TRIM($B33)="","",IFERROR(INDEX(People!$A$2:$A$199,MATCH(TRIM($B33),People!$B$2:$B$199,0)),IFERROR(INDEX(Teams!$A$2:$A$9,MATCH(TRIM($B33),Teams!$B$2:$B$9,0)),"?? CHECK NAME")))</f>
        <v/>
      </c>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c r="AC33" s="36" t="n"/>
      <c r="AD33" s="36" t="n"/>
      <c r="AE33" s="36" t="n"/>
      <c r="AF33" s="36" t="n"/>
      <c r="AG33" s="36" t="n"/>
      <c r="AH33" s="36" t="n"/>
      <c r="AI33" s="36" t="n"/>
      <c r="AJ33" s="36" t="n"/>
      <c r="AK33" s="36" t="n"/>
      <c r="AL33" s="36" t="n"/>
      <c r="AM33" s="36" t="n"/>
      <c r="AN33" s="36" t="n"/>
      <c r="AO33" s="36" t="n"/>
      <c r="AP33" s="36" t="n"/>
      <c r="AQ33" s="36" t="n"/>
      <c r="AR33" s="36" t="n"/>
      <c r="AS33" s="36" t="n"/>
      <c r="AT33" s="36" t="n"/>
      <c r="AU33" s="36" t="n"/>
      <c r="AV33" s="36" t="n"/>
      <c r="AW33" s="36" t="n"/>
      <c r="AX33" s="36" t="n"/>
      <c r="AY33" s="36" t="n"/>
      <c r="AZ33" s="36" t="n"/>
      <c r="BA33" s="36" t="n"/>
      <c r="BB33" s="36" t="n"/>
      <c r="BC33" s="36" t="n"/>
      <c r="BD33" s="36" t="n"/>
      <c r="BE33" s="36" t="n"/>
      <c r="BF33" s="36" t="n"/>
      <c r="BG33" s="36" t="n"/>
      <c r="BH33" s="36" t="n"/>
      <c r="BI33" s="36" t="n"/>
      <c r="BJ33" s="36" t="n"/>
      <c r="BK33" s="36" t="n"/>
      <c r="BL33" s="36" t="n"/>
      <c r="BM33" s="36" t="n"/>
      <c r="BN33" s="36" t="n"/>
      <c r="BO33" s="36" t="n"/>
      <c r="BP33" s="36" t="n"/>
      <c r="BQ33" s="36" t="n"/>
      <c r="BR33" s="36" t="n"/>
      <c r="BS33" s="36" t="n"/>
      <c r="BT33" s="36" t="n"/>
      <c r="BU33" s="36" t="n"/>
      <c r="BV33" s="36" t="n"/>
      <c r="BW33" s="36" t="n"/>
      <c r="BX33" s="36" t="n"/>
      <c r="BY33" s="36" t="n"/>
      <c r="BZ33" s="36" t="n"/>
      <c r="CA33" s="36" t="n"/>
      <c r="CB33" s="36" t="n"/>
      <c r="CC33" s="36" t="n"/>
      <c r="CD33" s="36" t="n"/>
      <c r="CE33" s="36" t="n"/>
      <c r="CF33" s="36" t="n"/>
      <c r="CG33" s="36" t="n"/>
      <c r="CH33" s="36" t="n"/>
      <c r="CI33" s="36" t="n"/>
      <c r="CJ33" s="36" t="n"/>
      <c r="CK33" s="36" t="n"/>
    </row>
    <row r="34" ht="34" customHeight="1">
      <c r="A34" s="16" t="inlineStr">
        <is>
          <t>Head Liaisons</t>
        </is>
      </c>
      <c r="B34" s="35" t="inlineStr"/>
      <c r="C34" s="26">
        <f>IF(TRIM($B34)="","",IFERROR(INDEX(People!$A$2:$A$199,MATCH(TRIM($B34),People!$B$2:$B$199,0)),IFERROR(INDEX(Teams!$A$2:$A$9,MATCH(TRIM($B34),Teams!$B$2:$B$9,0)),"?? CHECK NAME")))</f>
        <v/>
      </c>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c r="AA34" s="36" t="n"/>
      <c r="AB34" s="36" t="n"/>
      <c r="AC34" s="36" t="n"/>
      <c r="AD34" s="36" t="n"/>
      <c r="AE34" s="36" t="n"/>
      <c r="AF34" s="36" t="n"/>
      <c r="AG34" s="36" t="n"/>
      <c r="AH34" s="36" t="n"/>
      <c r="AI34" s="36" t="n"/>
      <c r="AJ34" s="36" t="n"/>
      <c r="AK34" s="36" t="n"/>
      <c r="AL34" s="36" t="n"/>
      <c r="AM34" s="36" t="n"/>
      <c r="AN34" s="36" t="n"/>
      <c r="AO34" s="36" t="n"/>
      <c r="AP34" s="36" t="n"/>
      <c r="AQ34" s="36" t="n"/>
      <c r="AR34" s="36" t="n"/>
      <c r="AS34" s="36" t="n"/>
      <c r="AT34" s="36" t="n"/>
      <c r="AU34" s="36" t="n"/>
      <c r="AV34" s="36" t="n"/>
      <c r="AW34" s="36" t="n"/>
      <c r="AX34" s="36" t="n"/>
      <c r="AY34" s="36" t="n"/>
      <c r="AZ34" s="36" t="n"/>
      <c r="BA34" s="36" t="n"/>
      <c r="BB34" s="36" t="n"/>
      <c r="BC34" s="36" t="n"/>
      <c r="BD34" s="36" t="n"/>
      <c r="BE34" s="36" t="n"/>
      <c r="BF34" s="36" t="n"/>
      <c r="BG34" s="36" t="n"/>
      <c r="BH34" s="36" t="n"/>
      <c r="BI34" s="36" t="n"/>
      <c r="BJ34" s="36" t="n"/>
      <c r="BK34" s="36" t="n"/>
      <c r="BL34" s="36" t="n"/>
      <c r="BM34" s="36" t="n"/>
      <c r="BN34" s="36" t="n"/>
      <c r="BO34" s="36" t="n"/>
      <c r="BP34" s="36" t="n"/>
      <c r="BQ34" s="36" t="n"/>
      <c r="BR34" s="36" t="n"/>
      <c r="BS34" s="36" t="n"/>
      <c r="BT34" s="36" t="n"/>
      <c r="BU34" s="36" t="n"/>
      <c r="BV34" s="36" t="n"/>
      <c r="BW34" s="36" t="n"/>
      <c r="BX34" s="36" t="n"/>
      <c r="BY34" s="36" t="n"/>
      <c r="BZ34" s="36" t="n"/>
      <c r="CA34" s="36" t="n"/>
      <c r="CB34" s="36" t="n"/>
      <c r="CC34" s="36" t="n"/>
      <c r="CD34" s="36" t="n"/>
      <c r="CE34" s="36" t="n"/>
      <c r="CF34" s="36" t="n"/>
      <c r="CG34" s="36" t="n"/>
      <c r="CH34" s="36" t="n"/>
      <c r="CI34" s="36" t="n"/>
      <c r="CJ34" s="36" t="n"/>
      <c r="CK34" s="36" t="n"/>
    </row>
    <row r="35" ht="34" customHeight="1">
      <c r="A35" s="37" t="n"/>
      <c r="B35" s="35" t="inlineStr"/>
      <c r="C35" s="26">
        <f>IF(TRIM($B35)="","",IFERROR(INDEX(People!$A$2:$A$199,MATCH(TRIM($B35),People!$B$2:$B$199,0)),IFERROR(INDEX(Teams!$A$2:$A$9,MATCH(TRIM($B35),Teams!$B$2:$B$9,0)),"?? CHECK NAME")))</f>
        <v/>
      </c>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c r="AA35" s="36" t="n"/>
      <c r="AB35" s="36" t="n"/>
      <c r="AC35" s="36" t="n"/>
      <c r="AD35" s="36" t="n"/>
      <c r="AE35" s="36" t="n"/>
      <c r="AF35" s="36" t="n"/>
      <c r="AG35" s="36" t="n"/>
      <c r="AH35" s="36" t="n"/>
      <c r="AI35" s="36" t="n"/>
      <c r="AJ35" s="36" t="n"/>
      <c r="AK35" s="36" t="n"/>
      <c r="AL35" s="36" t="n"/>
      <c r="AM35" s="36" t="n"/>
      <c r="AN35" s="36" t="n"/>
      <c r="AO35" s="36" t="n"/>
      <c r="AP35" s="36" t="n"/>
      <c r="AQ35" s="36" t="n"/>
      <c r="AR35" s="36" t="n"/>
      <c r="AS35" s="36" t="n"/>
      <c r="AT35" s="36" t="n"/>
      <c r="AU35" s="36" t="n"/>
      <c r="AV35" s="36" t="n"/>
      <c r="AW35" s="36" t="n"/>
      <c r="AX35" s="36" t="n"/>
      <c r="AY35" s="36" t="n"/>
      <c r="AZ35" s="36" t="n"/>
      <c r="BA35" s="36" t="n"/>
      <c r="BB35" s="36" t="n"/>
      <c r="BC35" s="36" t="n"/>
      <c r="BD35" s="36" t="n"/>
      <c r="BE35" s="36" t="n"/>
      <c r="BF35" s="36" t="n"/>
      <c r="BG35" s="36" t="n"/>
      <c r="BH35" s="36" t="n"/>
      <c r="BI35" s="36" t="n"/>
      <c r="BJ35" s="36" t="n"/>
      <c r="BK35" s="36" t="n"/>
      <c r="BL35" s="36" t="n"/>
      <c r="BM35" s="36" t="n"/>
      <c r="BN35" s="36" t="n"/>
      <c r="BO35" s="36" t="n"/>
      <c r="BP35" s="36" t="n"/>
      <c r="BQ35" s="36" t="n"/>
      <c r="BR35" s="36" t="n"/>
      <c r="BS35" s="36" t="n"/>
      <c r="BT35" s="36" t="n"/>
      <c r="BU35" s="36" t="n"/>
      <c r="BV35" s="36" t="n"/>
      <c r="BW35" s="36" t="n"/>
      <c r="BX35" s="36" t="n"/>
      <c r="BY35" s="36" t="n"/>
      <c r="BZ35" s="36" t="n"/>
      <c r="CA35" s="36" t="n"/>
      <c r="CB35" s="36" t="n"/>
      <c r="CC35" s="36" t="n"/>
      <c r="CD35" s="36" t="n"/>
      <c r="CE35" s="36" t="n"/>
      <c r="CF35" s="36" t="n"/>
      <c r="CG35" s="36" t="n"/>
      <c r="CH35" s="36" t="n"/>
      <c r="CI35" s="36" t="n"/>
      <c r="CJ35" s="36" t="n"/>
      <c r="CK35" s="36" t="n"/>
    </row>
    <row r="36" ht="34" customHeight="1">
      <c r="A36" s="37" t="n"/>
      <c r="B36" s="35" t="inlineStr"/>
      <c r="C36" s="26">
        <f>IF(TRIM($B36)="","",IFERROR(INDEX(People!$A$2:$A$199,MATCH(TRIM($B36),People!$B$2:$B$199,0)),IFERROR(INDEX(Teams!$A$2:$A$9,MATCH(TRIM($B36),Teams!$B$2:$B$9,0)),"?? CHECK NAME")))</f>
        <v/>
      </c>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c r="AA36" s="36" t="n"/>
      <c r="AB36" s="36" t="n"/>
      <c r="AC36" s="36" t="n"/>
      <c r="AD36" s="36" t="n"/>
      <c r="AE36" s="36" t="n"/>
      <c r="AF36" s="36" t="n"/>
      <c r="AG36" s="36" t="n"/>
      <c r="AH36" s="36" t="n"/>
      <c r="AI36" s="36" t="n"/>
      <c r="AJ36" s="36" t="n"/>
      <c r="AK36" s="36" t="n"/>
      <c r="AL36" s="36" t="n"/>
      <c r="AM36" s="36" t="n"/>
      <c r="AN36" s="36" t="n"/>
      <c r="AO36" s="36" t="n"/>
      <c r="AP36" s="36" t="n"/>
      <c r="AQ36" s="36" t="n"/>
      <c r="AR36" s="36" t="n"/>
      <c r="AS36" s="36" t="n"/>
      <c r="AT36" s="36" t="n"/>
      <c r="AU36" s="36" t="n"/>
      <c r="AV36" s="36" t="n"/>
      <c r="AW36" s="36" t="n"/>
      <c r="AX36" s="36" t="n"/>
      <c r="AY36" s="36" t="n"/>
      <c r="AZ36" s="36" t="n"/>
      <c r="BA36" s="36" t="n"/>
      <c r="BB36" s="36" t="n"/>
      <c r="BC36" s="36" t="n"/>
      <c r="BD36" s="36" t="n"/>
      <c r="BE36" s="36" t="n"/>
      <c r="BF36" s="36" t="n"/>
      <c r="BG36" s="36" t="n"/>
      <c r="BH36" s="36" t="n"/>
      <c r="BI36" s="36" t="n"/>
      <c r="BJ36" s="36" t="n"/>
      <c r="BK36" s="36" t="n"/>
      <c r="BL36" s="36" t="n"/>
      <c r="BM36" s="36" t="n"/>
      <c r="BN36" s="36" t="n"/>
      <c r="BO36" s="36" t="n"/>
      <c r="BP36" s="36" t="n"/>
      <c r="BQ36" s="36" t="n"/>
      <c r="BR36" s="36" t="n"/>
      <c r="BS36" s="36" t="n"/>
      <c r="BT36" s="36" t="n"/>
      <c r="BU36" s="36" t="n"/>
      <c r="BV36" s="36" t="n"/>
      <c r="BW36" s="36" t="n"/>
      <c r="BX36" s="36" t="n"/>
      <c r="BY36" s="36" t="n"/>
      <c r="BZ36" s="36" t="n"/>
      <c r="CA36" s="36" t="n"/>
      <c r="CB36" s="36" t="n"/>
      <c r="CC36" s="36" t="n"/>
      <c r="CD36" s="36" t="n"/>
      <c r="CE36" s="36" t="n"/>
      <c r="CF36" s="36" t="n"/>
      <c r="CG36" s="36" t="n"/>
      <c r="CH36" s="36" t="n"/>
      <c r="CI36" s="36" t="n"/>
      <c r="CJ36" s="36" t="n"/>
      <c r="CK36" s="36" t="n"/>
    </row>
    <row r="37" ht="34" customHeight="1">
      <c r="A37" s="37" t="n"/>
      <c r="B37" s="35" t="inlineStr"/>
      <c r="C37" s="26">
        <f>IF(TRIM($B37)="","",IFERROR(INDEX(People!$A$2:$A$199,MATCH(TRIM($B37),People!$B$2:$B$199,0)),IFERROR(INDEX(Teams!$A$2:$A$9,MATCH(TRIM($B37),Teams!$B$2:$B$9,0)),"?? CHECK NAME")))</f>
        <v/>
      </c>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c r="AE37" s="36" t="n"/>
      <c r="AF37" s="36" t="n"/>
      <c r="AG37" s="36" t="n"/>
      <c r="AH37" s="36" t="n"/>
      <c r="AI37" s="36" t="n"/>
      <c r="AJ37" s="36" t="n"/>
      <c r="AK37" s="36" t="n"/>
      <c r="AL37" s="36" t="n"/>
      <c r="AM37" s="36" t="n"/>
      <c r="AN37" s="36" t="n"/>
      <c r="AO37" s="36" t="n"/>
      <c r="AP37" s="36" t="n"/>
      <c r="AQ37" s="36" t="n"/>
      <c r="AR37" s="36" t="n"/>
      <c r="AS37" s="36" t="n"/>
      <c r="AT37" s="36" t="n"/>
      <c r="AU37" s="36" t="n"/>
      <c r="AV37" s="36" t="n"/>
      <c r="AW37" s="36" t="n"/>
      <c r="AX37" s="36" t="n"/>
      <c r="AY37" s="36" t="n"/>
      <c r="AZ37" s="36" t="n"/>
      <c r="BA37" s="36" t="n"/>
      <c r="BB37" s="36" t="n"/>
      <c r="BC37" s="36" t="n"/>
      <c r="BD37" s="36" t="n"/>
      <c r="BE37" s="36" t="n"/>
      <c r="BF37" s="36" t="n"/>
      <c r="BG37" s="36" t="n"/>
      <c r="BH37" s="36" t="n"/>
      <c r="BI37" s="36" t="n"/>
      <c r="BJ37" s="36" t="n"/>
      <c r="BK37" s="36" t="n"/>
      <c r="BL37" s="36" t="n"/>
      <c r="BM37" s="36" t="n"/>
      <c r="BN37" s="36" t="n"/>
      <c r="BO37" s="36" t="n"/>
      <c r="BP37" s="36" t="n"/>
      <c r="BQ37" s="36" t="n"/>
      <c r="BR37" s="36" t="n"/>
      <c r="BS37" s="36" t="n"/>
      <c r="BT37" s="36" t="n"/>
      <c r="BU37" s="36" t="n"/>
      <c r="BV37" s="36" t="n"/>
      <c r="BW37" s="36" t="n"/>
      <c r="BX37" s="36" t="n"/>
      <c r="BY37" s="36" t="n"/>
      <c r="BZ37" s="36" t="n"/>
      <c r="CA37" s="36" t="n"/>
      <c r="CB37" s="36" t="n"/>
      <c r="CC37" s="36" t="n"/>
      <c r="CD37" s="36" t="n"/>
      <c r="CE37" s="36" t="n"/>
      <c r="CF37" s="36" t="n"/>
      <c r="CG37" s="36" t="n"/>
      <c r="CH37" s="36" t="n"/>
      <c r="CI37" s="36" t="n"/>
      <c r="CJ37" s="36" t="n"/>
      <c r="CK37" s="36" t="n"/>
    </row>
    <row r="38" ht="34" customHeight="1">
      <c r="A38" s="38" t="n"/>
      <c r="B38" s="35" t="inlineStr"/>
      <c r="C38" s="26">
        <f>IF(TRIM($B38)="","",IFERROR(INDEX(People!$A$2:$A$199,MATCH(TRIM($B38),People!$B$2:$B$199,0)),IFERROR(INDEX(Teams!$A$2:$A$9,MATCH(TRIM($B38),Teams!$B$2:$B$9,0)),"?? CHECK NAME")))</f>
        <v/>
      </c>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c r="AA38" s="36" t="n"/>
      <c r="AB38" s="36" t="n"/>
      <c r="AC38" s="36" t="n"/>
      <c r="AD38" s="36" t="n"/>
      <c r="AE38" s="36" t="n"/>
      <c r="AF38" s="36" t="n"/>
      <c r="AG38" s="36" t="n"/>
      <c r="AH38" s="36" t="n"/>
      <c r="AI38" s="36" t="n"/>
      <c r="AJ38" s="36" t="n"/>
      <c r="AK38" s="36" t="n"/>
      <c r="AL38" s="36" t="n"/>
      <c r="AM38" s="36" t="n"/>
      <c r="AN38" s="36" t="n"/>
      <c r="AO38" s="36" t="n"/>
      <c r="AP38" s="36" t="n"/>
      <c r="AQ38" s="36" t="n"/>
      <c r="AR38" s="36" t="n"/>
      <c r="AS38" s="36" t="n"/>
      <c r="AT38" s="36" t="n"/>
      <c r="AU38" s="36" t="n"/>
      <c r="AV38" s="36" t="n"/>
      <c r="AW38" s="36" t="n"/>
      <c r="AX38" s="36" t="n"/>
      <c r="AY38" s="36" t="n"/>
      <c r="AZ38" s="36" t="n"/>
      <c r="BA38" s="36" t="n"/>
      <c r="BB38" s="36" t="n"/>
      <c r="BC38" s="36" t="n"/>
      <c r="BD38" s="36" t="n"/>
      <c r="BE38" s="36" t="n"/>
      <c r="BF38" s="36" t="n"/>
      <c r="BG38" s="36" t="n"/>
      <c r="BH38" s="36" t="n"/>
      <c r="BI38" s="36" t="n"/>
      <c r="BJ38" s="36" t="n"/>
      <c r="BK38" s="36" t="n"/>
      <c r="BL38" s="36" t="n"/>
      <c r="BM38" s="36" t="n"/>
      <c r="BN38" s="36" t="n"/>
      <c r="BO38" s="36" t="n"/>
      <c r="BP38" s="36" t="n"/>
      <c r="BQ38" s="36" t="n"/>
      <c r="BR38" s="36" t="n"/>
      <c r="BS38" s="36" t="n"/>
      <c r="BT38" s="36" t="n"/>
      <c r="BU38" s="36" t="n"/>
      <c r="BV38" s="36" t="n"/>
      <c r="BW38" s="36" t="n"/>
      <c r="BX38" s="36" t="n"/>
      <c r="BY38" s="36" t="n"/>
      <c r="BZ38" s="36" t="n"/>
      <c r="CA38" s="36" t="n"/>
      <c r="CB38" s="36" t="n"/>
      <c r="CC38" s="36" t="n"/>
      <c r="CD38" s="36" t="n"/>
      <c r="CE38" s="36" t="n"/>
      <c r="CF38" s="36" t="n"/>
      <c r="CG38" s="36" t="n"/>
      <c r="CH38" s="36" t="n"/>
      <c r="CI38" s="36" t="n"/>
      <c r="CJ38" s="36" t="n"/>
      <c r="CK38" s="36" t="n"/>
    </row>
    <row r="39" ht="34" customHeight="1">
      <c r="A39" s="16" t="inlineStr">
        <is>
          <t>PR</t>
        </is>
      </c>
      <c r="B39" s="35" t="inlineStr"/>
      <c r="C39" s="26">
        <f>IF(TRIM($B39)="","",IFERROR(INDEX(People!$A$2:$A$199,MATCH(TRIM($B39),People!$B$2:$B$199,0)),IFERROR(INDEX(Teams!$A$2:$A$9,MATCH(TRIM($B39),Teams!$B$2:$B$9,0)),"?? CHECK NAME")))</f>
        <v/>
      </c>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c r="AE39" s="36" t="n"/>
      <c r="AF39" s="36" t="n"/>
      <c r="AG39" s="36" t="n"/>
      <c r="AH39" s="36" t="n"/>
      <c r="AI39" s="36" t="n"/>
      <c r="AJ39" s="36" t="n"/>
      <c r="AK39" s="36" t="n"/>
      <c r="AL39" s="36" t="n"/>
      <c r="AM39" s="36" t="n"/>
      <c r="AN39" s="36" t="n"/>
      <c r="AO39" s="36" t="n"/>
      <c r="AP39" s="36" t="n"/>
      <c r="AQ39" s="36" t="n"/>
      <c r="AR39" s="36" t="n"/>
      <c r="AS39" s="36" t="n"/>
      <c r="AT39" s="36" t="n"/>
      <c r="AU39" s="36" t="n"/>
      <c r="AV39" s="36" t="n"/>
      <c r="AW39" s="36" t="n"/>
      <c r="AX39" s="36" t="n"/>
      <c r="AY39" s="36" t="n"/>
      <c r="AZ39" s="36" t="n"/>
      <c r="BA39" s="36" t="n"/>
      <c r="BB39" s="36" t="n"/>
      <c r="BC39" s="36" t="n"/>
      <c r="BD39" s="36" t="n"/>
      <c r="BE39" s="36" t="n"/>
      <c r="BF39" s="36" t="n"/>
      <c r="BG39" s="36" t="n"/>
      <c r="BH39" s="36" t="n"/>
      <c r="BI39" s="36" t="n"/>
      <c r="BJ39" s="36" t="n"/>
      <c r="BK39" s="36" t="n"/>
      <c r="BL39" s="36" t="n"/>
      <c r="BM39" s="36" t="n"/>
      <c r="BN39" s="36" t="n"/>
      <c r="BO39" s="36" t="n"/>
      <c r="BP39" s="36" t="n"/>
      <c r="BQ39" s="36" t="n"/>
      <c r="BR39" s="36" t="n"/>
      <c r="BS39" s="36" t="n"/>
      <c r="BT39" s="36" t="n"/>
      <c r="BU39" s="36" t="n"/>
      <c r="BV39" s="36" t="n"/>
      <c r="BW39" s="36" t="n"/>
      <c r="BX39" s="36" t="n"/>
      <c r="BY39" s="36" t="n"/>
      <c r="BZ39" s="36" t="n"/>
      <c r="CA39" s="36" t="n"/>
      <c r="CB39" s="36" t="n"/>
      <c r="CC39" s="36" t="n"/>
      <c r="CD39" s="36" t="n"/>
      <c r="CE39" s="36" t="n"/>
      <c r="CF39" s="36" t="n"/>
      <c r="CG39" s="36" t="n"/>
      <c r="CH39" s="36" t="n"/>
      <c r="CI39" s="36" t="n"/>
      <c r="CJ39" s="36" t="n"/>
      <c r="CK39" s="36" t="n"/>
    </row>
    <row r="40" ht="34" customHeight="1">
      <c r="A40" s="37" t="n"/>
      <c r="B40" s="35" t="inlineStr"/>
      <c r="C40" s="26">
        <f>IF(TRIM($B40)="","",IFERROR(INDEX(People!$A$2:$A$199,MATCH(TRIM($B40),People!$B$2:$B$199,0)),IFERROR(INDEX(Teams!$A$2:$A$9,MATCH(TRIM($B40),Teams!$B$2:$B$9,0)),"?? CHECK NAME")))</f>
        <v/>
      </c>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c r="AC40" s="36" t="n"/>
      <c r="AD40" s="36" t="n"/>
      <c r="AE40" s="36" t="n"/>
      <c r="AF40" s="36" t="n"/>
      <c r="AG40" s="36" t="n"/>
      <c r="AH40" s="36" t="n"/>
      <c r="AI40" s="36" t="n"/>
      <c r="AJ40" s="36" t="n"/>
      <c r="AK40" s="36" t="n"/>
      <c r="AL40" s="36" t="n"/>
      <c r="AM40" s="36" t="n"/>
      <c r="AN40" s="36" t="n"/>
      <c r="AO40" s="36" t="n"/>
      <c r="AP40" s="36" t="n"/>
      <c r="AQ40" s="36" t="n"/>
      <c r="AR40" s="36" t="n"/>
      <c r="AS40" s="36" t="n"/>
      <c r="AT40" s="36" t="n"/>
      <c r="AU40" s="36" t="n"/>
      <c r="AV40" s="36" t="n"/>
      <c r="AW40" s="36" t="n"/>
      <c r="AX40" s="36" t="n"/>
      <c r="AY40" s="36" t="n"/>
      <c r="AZ40" s="36" t="n"/>
      <c r="BA40" s="36" t="n"/>
      <c r="BB40" s="36" t="n"/>
      <c r="BC40" s="36" t="n"/>
      <c r="BD40" s="36" t="n"/>
      <c r="BE40" s="36" t="n"/>
      <c r="BF40" s="36" t="n"/>
      <c r="BG40" s="36" t="n"/>
      <c r="BH40" s="36" t="n"/>
      <c r="BI40" s="36" t="n"/>
      <c r="BJ40" s="36" t="n"/>
      <c r="BK40" s="36" t="n"/>
      <c r="BL40" s="36" t="n"/>
      <c r="BM40" s="36" t="n"/>
      <c r="BN40" s="36" t="n"/>
      <c r="BO40" s="36" t="n"/>
      <c r="BP40" s="36" t="n"/>
      <c r="BQ40" s="36" t="n"/>
      <c r="BR40" s="36" t="n"/>
      <c r="BS40" s="36" t="n"/>
      <c r="BT40" s="36" t="n"/>
      <c r="BU40" s="36" t="n"/>
      <c r="BV40" s="36" t="n"/>
      <c r="BW40" s="36" t="n"/>
      <c r="BX40" s="36" t="n"/>
      <c r="BY40" s="36" t="n"/>
      <c r="BZ40" s="36" t="n"/>
      <c r="CA40" s="36" t="n"/>
      <c r="CB40" s="36" t="n"/>
      <c r="CC40" s="36" t="n"/>
      <c r="CD40" s="36" t="n"/>
      <c r="CE40" s="36" t="n"/>
      <c r="CF40" s="36" t="n"/>
      <c r="CG40" s="36" t="n"/>
      <c r="CH40" s="36" t="n"/>
      <c r="CI40" s="36" t="n"/>
      <c r="CJ40" s="36" t="n"/>
      <c r="CK40" s="36" t="n"/>
    </row>
    <row r="41" ht="34" customHeight="1">
      <c r="A41" s="37" t="n"/>
      <c r="B41" s="35" t="inlineStr"/>
      <c r="C41" s="26">
        <f>IF(TRIM($B41)="","",IFERROR(INDEX(People!$A$2:$A$199,MATCH(TRIM($B41),People!$B$2:$B$199,0)),IFERROR(INDEX(Teams!$A$2:$A$9,MATCH(TRIM($B41),Teams!$B$2:$B$9,0)),"?? CHECK NAME")))</f>
        <v/>
      </c>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c r="AA41" s="36" t="n"/>
      <c r="AB41" s="36" t="n"/>
      <c r="AC41" s="36" t="n"/>
      <c r="AD41" s="36" t="n"/>
      <c r="AE41" s="36" t="n"/>
      <c r="AF41" s="36" t="n"/>
      <c r="AG41" s="36" t="n"/>
      <c r="AH41" s="36" t="n"/>
      <c r="AI41" s="36" t="n"/>
      <c r="AJ41" s="36" t="n"/>
      <c r="AK41" s="36" t="n"/>
      <c r="AL41" s="36" t="n"/>
      <c r="AM41" s="36" t="n"/>
      <c r="AN41" s="36" t="n"/>
      <c r="AO41" s="36" t="n"/>
      <c r="AP41" s="36" t="n"/>
      <c r="AQ41" s="36" t="n"/>
      <c r="AR41" s="36" t="n"/>
      <c r="AS41" s="36" t="n"/>
      <c r="AT41" s="36" t="n"/>
      <c r="AU41" s="36" t="n"/>
      <c r="AV41" s="36" t="n"/>
      <c r="AW41" s="36" t="n"/>
      <c r="AX41" s="36" t="n"/>
      <c r="AY41" s="36" t="n"/>
      <c r="AZ41" s="36" t="n"/>
      <c r="BA41" s="36" t="n"/>
      <c r="BB41" s="36" t="n"/>
      <c r="BC41" s="36" t="n"/>
      <c r="BD41" s="36" t="n"/>
      <c r="BE41" s="36" t="n"/>
      <c r="BF41" s="36" t="n"/>
      <c r="BG41" s="36" t="n"/>
      <c r="BH41" s="36" t="n"/>
      <c r="BI41" s="36" t="n"/>
      <c r="BJ41" s="36" t="n"/>
      <c r="BK41" s="36" t="n"/>
      <c r="BL41" s="36" t="n"/>
      <c r="BM41" s="36" t="n"/>
      <c r="BN41" s="36" t="n"/>
      <c r="BO41" s="36" t="n"/>
      <c r="BP41" s="36" t="n"/>
      <c r="BQ41" s="36" t="n"/>
      <c r="BR41" s="36" t="n"/>
      <c r="BS41" s="36" t="n"/>
      <c r="BT41" s="36" t="n"/>
      <c r="BU41" s="36" t="n"/>
      <c r="BV41" s="36" t="n"/>
      <c r="BW41" s="36" t="n"/>
      <c r="BX41" s="36" t="n"/>
      <c r="BY41" s="36" t="n"/>
      <c r="BZ41" s="36" t="n"/>
      <c r="CA41" s="36" t="n"/>
      <c r="CB41" s="36" t="n"/>
      <c r="CC41" s="36" t="n"/>
      <c r="CD41" s="36" t="n"/>
      <c r="CE41" s="36" t="n"/>
      <c r="CF41" s="36" t="n"/>
      <c r="CG41" s="36" t="n"/>
      <c r="CH41" s="36" t="n"/>
      <c r="CI41" s="36" t="n"/>
      <c r="CJ41" s="36" t="n"/>
      <c r="CK41" s="36" t="n"/>
    </row>
    <row r="42" ht="34" customHeight="1">
      <c r="A42" s="37" t="n"/>
      <c r="B42" s="35" t="inlineStr"/>
      <c r="C42" s="26">
        <f>IF(TRIM($B42)="","",IFERROR(INDEX(People!$A$2:$A$199,MATCH(TRIM($B42),People!$B$2:$B$199,0)),IFERROR(INDEX(Teams!$A$2:$A$9,MATCH(TRIM($B42),Teams!$B$2:$B$9,0)),"?? CHECK NAME")))</f>
        <v/>
      </c>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c r="AA42" s="36" t="n"/>
      <c r="AB42" s="36" t="n"/>
      <c r="AC42" s="36" t="n"/>
      <c r="AD42" s="36" t="n"/>
      <c r="AE42" s="36" t="n"/>
      <c r="AF42" s="36" t="n"/>
      <c r="AG42" s="36" t="n"/>
      <c r="AH42" s="36" t="n"/>
      <c r="AI42" s="36" t="n"/>
      <c r="AJ42" s="36" t="n"/>
      <c r="AK42" s="36" t="n"/>
      <c r="AL42" s="36" t="n"/>
      <c r="AM42" s="36" t="n"/>
      <c r="AN42" s="36" t="n"/>
      <c r="AO42" s="36" t="n"/>
      <c r="AP42" s="36" t="n"/>
      <c r="AQ42" s="36" t="n"/>
      <c r="AR42" s="36" t="n"/>
      <c r="AS42" s="36" t="n"/>
      <c r="AT42" s="36" t="n"/>
      <c r="AU42" s="36" t="n"/>
      <c r="AV42" s="36" t="n"/>
      <c r="AW42" s="36" t="n"/>
      <c r="AX42" s="36" t="n"/>
      <c r="AY42" s="36" t="n"/>
      <c r="AZ42" s="36" t="n"/>
      <c r="BA42" s="36" t="n"/>
      <c r="BB42" s="36" t="n"/>
      <c r="BC42" s="36" t="n"/>
      <c r="BD42" s="36" t="n"/>
      <c r="BE42" s="36" t="n"/>
      <c r="BF42" s="36" t="n"/>
      <c r="BG42" s="36" t="n"/>
      <c r="BH42" s="36" t="n"/>
      <c r="BI42" s="36" t="n"/>
      <c r="BJ42" s="36" t="n"/>
      <c r="BK42" s="36" t="n"/>
      <c r="BL42" s="36" t="n"/>
      <c r="BM42" s="36" t="n"/>
      <c r="BN42" s="36" t="n"/>
      <c r="BO42" s="36" t="n"/>
      <c r="BP42" s="36" t="n"/>
      <c r="BQ42" s="36" t="n"/>
      <c r="BR42" s="36" t="n"/>
      <c r="BS42" s="36" t="n"/>
      <c r="BT42" s="36" t="n"/>
      <c r="BU42" s="36" t="n"/>
      <c r="BV42" s="36" t="n"/>
      <c r="BW42" s="36" t="n"/>
      <c r="BX42" s="36" t="n"/>
      <c r="BY42" s="36" t="n"/>
      <c r="BZ42" s="36" t="n"/>
      <c r="CA42" s="36" t="n"/>
      <c r="CB42" s="36" t="n"/>
      <c r="CC42" s="36" t="n"/>
      <c r="CD42" s="36" t="n"/>
      <c r="CE42" s="36" t="n"/>
      <c r="CF42" s="36" t="n"/>
      <c r="CG42" s="36" t="n"/>
      <c r="CH42" s="36" t="n"/>
      <c r="CI42" s="36" t="n"/>
      <c r="CJ42" s="36" t="n"/>
      <c r="CK42" s="36" t="n"/>
    </row>
    <row r="43" ht="34" customHeight="1">
      <c r="A43" s="38" t="n"/>
      <c r="B43" s="35" t="inlineStr"/>
      <c r="C43" s="26">
        <f>IF(TRIM($B43)="","",IFERROR(INDEX(People!$A$2:$A$199,MATCH(TRIM($B43),People!$B$2:$B$199,0)),IFERROR(INDEX(Teams!$A$2:$A$9,MATCH(TRIM($B43),Teams!$B$2:$B$9,0)),"?? CHECK NAME")))</f>
        <v/>
      </c>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c r="AC43" s="36" t="n"/>
      <c r="AD43" s="36" t="n"/>
      <c r="AE43" s="36" t="n"/>
      <c r="AF43" s="36" t="n"/>
      <c r="AG43" s="36" t="n"/>
      <c r="AH43" s="36" t="n"/>
      <c r="AI43" s="36" t="n"/>
      <c r="AJ43" s="36" t="n"/>
      <c r="AK43" s="36" t="n"/>
      <c r="AL43" s="36" t="n"/>
      <c r="AM43" s="36" t="n"/>
      <c r="AN43" s="36" t="n"/>
      <c r="AO43" s="36" t="n"/>
      <c r="AP43" s="36" t="n"/>
      <c r="AQ43" s="36" t="n"/>
      <c r="AR43" s="36" t="n"/>
      <c r="AS43" s="36" t="n"/>
      <c r="AT43" s="36" t="n"/>
      <c r="AU43" s="36" t="n"/>
      <c r="AV43" s="36" t="n"/>
      <c r="AW43" s="36" t="n"/>
      <c r="AX43" s="36" t="n"/>
      <c r="AY43" s="36" t="n"/>
      <c r="AZ43" s="36" t="n"/>
      <c r="BA43" s="36" t="n"/>
      <c r="BB43" s="36" t="n"/>
      <c r="BC43" s="36" t="n"/>
      <c r="BD43" s="36" t="n"/>
      <c r="BE43" s="36" t="n"/>
      <c r="BF43" s="36" t="n"/>
      <c r="BG43" s="36" t="n"/>
      <c r="BH43" s="36" t="n"/>
      <c r="BI43" s="36" t="n"/>
      <c r="BJ43" s="36" t="n"/>
      <c r="BK43" s="36" t="n"/>
      <c r="BL43" s="36" t="n"/>
      <c r="BM43" s="36" t="n"/>
      <c r="BN43" s="36" t="n"/>
      <c r="BO43" s="36" t="n"/>
      <c r="BP43" s="36" t="n"/>
      <c r="BQ43" s="36" t="n"/>
      <c r="BR43" s="36" t="n"/>
      <c r="BS43" s="36" t="n"/>
      <c r="BT43" s="36" t="n"/>
      <c r="BU43" s="36" t="n"/>
      <c r="BV43" s="36" t="n"/>
      <c r="BW43" s="36" t="n"/>
      <c r="BX43" s="36" t="n"/>
      <c r="BY43" s="36" t="n"/>
      <c r="BZ43" s="36" t="n"/>
      <c r="CA43" s="36" t="n"/>
      <c r="CB43" s="36" t="n"/>
      <c r="CC43" s="36" t="n"/>
      <c r="CD43" s="36" t="n"/>
      <c r="CE43" s="36" t="n"/>
      <c r="CF43" s="36" t="n"/>
      <c r="CG43" s="36" t="n"/>
      <c r="CH43" s="36" t="n"/>
      <c r="CI43" s="36" t="n"/>
      <c r="CJ43" s="36" t="n"/>
      <c r="CK43" s="36" t="n"/>
    </row>
    <row r="44" ht="34" customHeight="1">
      <c r="A44" s="16" t="inlineStr">
        <is>
          <t>External</t>
        </is>
      </c>
      <c r="B44" s="35" t="inlineStr"/>
      <c r="C44" s="26">
        <f>IF(TRIM($B44)="","",IFERROR(INDEX(People!$A$2:$A$199,MATCH(TRIM($B44),People!$B$2:$B$199,0)),IFERROR(INDEX(Teams!$A$2:$A$9,MATCH(TRIM($B44),Teams!$B$2:$B$9,0)),"?? CHECK NAME")))</f>
        <v/>
      </c>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c r="AA44" s="36" t="n"/>
      <c r="AB44" s="36" t="n"/>
      <c r="AC44" s="36" t="n"/>
      <c r="AD44" s="36" t="n"/>
      <c r="AE44" s="36" t="n"/>
      <c r="AF44" s="36" t="n"/>
      <c r="AG44" s="36" t="n"/>
      <c r="AH44" s="36" t="n"/>
      <c r="AI44" s="36" t="n"/>
      <c r="AJ44" s="36" t="n"/>
      <c r="AK44" s="36" t="n"/>
      <c r="AL44" s="36" t="n"/>
      <c r="AM44" s="36" t="n"/>
      <c r="AN44" s="36" t="n"/>
      <c r="AO44" s="36" t="n"/>
      <c r="AP44" s="36" t="n"/>
      <c r="AQ44" s="36" t="n"/>
      <c r="AR44" s="36" t="n"/>
      <c r="AS44" s="36" t="n"/>
      <c r="AT44" s="36" t="n"/>
      <c r="AU44" s="36" t="n"/>
      <c r="AV44" s="36" t="n"/>
      <c r="AW44" s="36" t="n"/>
      <c r="AX44" s="36" t="n"/>
      <c r="AY44" s="36" t="n"/>
      <c r="AZ44" s="36" t="n"/>
      <c r="BA44" s="36" t="n"/>
      <c r="BB44" s="36" t="n"/>
      <c r="BC44" s="36" t="n"/>
      <c r="BD44" s="36" t="n"/>
      <c r="BE44" s="36" t="n"/>
      <c r="BF44" s="36" t="n"/>
      <c r="BG44" s="36" t="n"/>
      <c r="BH44" s="36" t="n"/>
      <c r="BI44" s="36" t="n"/>
      <c r="BJ44" s="36" t="n"/>
      <c r="BK44" s="36" t="n"/>
      <c r="BL44" s="36" t="n"/>
      <c r="BM44" s="36" t="n"/>
      <c r="BN44" s="36" t="n"/>
      <c r="BO44" s="36" t="n"/>
      <c r="BP44" s="36" t="n"/>
      <c r="BQ44" s="36" t="n"/>
      <c r="BR44" s="36" t="n"/>
      <c r="BS44" s="36" t="n"/>
      <c r="BT44" s="36" t="n"/>
      <c r="BU44" s="36" t="n"/>
      <c r="BV44" s="36" t="n"/>
      <c r="BW44" s="36" t="n"/>
      <c r="BX44" s="36" t="n"/>
      <c r="BY44" s="36" t="n"/>
      <c r="BZ44" s="36" t="n"/>
      <c r="CA44" s="36" t="n"/>
      <c r="CB44" s="36" t="n"/>
      <c r="CC44" s="36" t="n"/>
      <c r="CD44" s="36" t="n"/>
      <c r="CE44" s="36" t="n"/>
      <c r="CF44" s="36" t="n"/>
      <c r="CG44" s="36" t="n"/>
      <c r="CH44" s="36" t="n"/>
      <c r="CI44" s="36" t="n"/>
      <c r="CJ44" s="36" t="n"/>
      <c r="CK44" s="36" t="n"/>
    </row>
    <row r="45" ht="34" customHeight="1">
      <c r="A45" s="37" t="n"/>
      <c r="B45" s="35" t="inlineStr"/>
      <c r="C45" s="26">
        <f>IF(TRIM($B45)="","",IFERROR(INDEX(People!$A$2:$A$199,MATCH(TRIM($B45),People!$B$2:$B$199,0)),IFERROR(INDEX(Teams!$A$2:$A$9,MATCH(TRIM($B45),Teams!$B$2:$B$9,0)),"?? CHECK NAME")))</f>
        <v/>
      </c>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c r="AC45" s="36" t="n"/>
      <c r="AD45" s="36" t="n"/>
      <c r="AE45" s="36" t="n"/>
      <c r="AF45" s="36" t="n"/>
      <c r="AG45" s="36" t="n"/>
      <c r="AH45" s="36" t="n"/>
      <c r="AI45" s="36" t="n"/>
      <c r="AJ45" s="36" t="n"/>
      <c r="AK45" s="36" t="n"/>
      <c r="AL45" s="36" t="n"/>
      <c r="AM45" s="36" t="n"/>
      <c r="AN45" s="36" t="n"/>
      <c r="AO45" s="36" t="n"/>
      <c r="AP45" s="36" t="n"/>
      <c r="AQ45" s="36" t="n"/>
      <c r="AR45" s="36" t="n"/>
      <c r="AS45" s="36" t="n"/>
      <c r="AT45" s="36" t="n"/>
      <c r="AU45" s="36" t="n"/>
      <c r="AV45" s="36" t="n"/>
      <c r="AW45" s="36" t="n"/>
      <c r="AX45" s="36" t="n"/>
      <c r="AY45" s="36" t="n"/>
      <c r="AZ45" s="36" t="n"/>
      <c r="BA45" s="36" t="n"/>
      <c r="BB45" s="36" t="n"/>
      <c r="BC45" s="36" t="n"/>
      <c r="BD45" s="36" t="n"/>
      <c r="BE45" s="36" t="n"/>
      <c r="BF45" s="36" t="n"/>
      <c r="BG45" s="36" t="n"/>
      <c r="BH45" s="36" t="n"/>
      <c r="BI45" s="36" t="n"/>
      <c r="BJ45" s="36" t="n"/>
      <c r="BK45" s="36" t="n"/>
      <c r="BL45" s="36" t="n"/>
      <c r="BM45" s="36" t="n"/>
      <c r="BN45" s="36" t="n"/>
      <c r="BO45" s="36" t="n"/>
      <c r="BP45" s="36" t="n"/>
      <c r="BQ45" s="36" t="n"/>
      <c r="BR45" s="36" t="n"/>
      <c r="BS45" s="36" t="n"/>
      <c r="BT45" s="36" t="n"/>
      <c r="BU45" s="36" t="n"/>
      <c r="BV45" s="36" t="n"/>
      <c r="BW45" s="36" t="n"/>
      <c r="BX45" s="36" t="n"/>
      <c r="BY45" s="36" t="n"/>
      <c r="BZ45" s="36" t="n"/>
      <c r="CA45" s="36" t="n"/>
      <c r="CB45" s="36" t="n"/>
      <c r="CC45" s="36" t="n"/>
      <c r="CD45" s="36" t="n"/>
      <c r="CE45" s="36" t="n"/>
      <c r="CF45" s="36" t="n"/>
      <c r="CG45" s="36" t="n"/>
      <c r="CH45" s="36" t="n"/>
      <c r="CI45" s="36" t="n"/>
      <c r="CJ45" s="36" t="n"/>
      <c r="CK45" s="36" t="n"/>
    </row>
    <row r="46" ht="34" customHeight="1">
      <c r="A46" s="37" t="n"/>
      <c r="B46" s="35" t="inlineStr"/>
      <c r="C46" s="26">
        <f>IF(TRIM($B46)="","",IFERROR(INDEX(People!$A$2:$A$199,MATCH(TRIM($B46),People!$B$2:$B$199,0)),IFERROR(INDEX(Teams!$A$2:$A$9,MATCH(TRIM($B46),Teams!$B$2:$B$9,0)),"?? CHECK NAME")))</f>
        <v/>
      </c>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c r="AA46" s="36" t="n"/>
      <c r="AB46" s="36" t="n"/>
      <c r="AC46" s="36" t="n"/>
      <c r="AD46" s="36" t="n"/>
      <c r="AE46" s="36" t="n"/>
      <c r="AF46" s="36" t="n"/>
      <c r="AG46" s="36" t="n"/>
      <c r="AH46" s="36" t="n"/>
      <c r="AI46" s="36" t="n"/>
      <c r="AJ46" s="36" t="n"/>
      <c r="AK46" s="36" t="n"/>
      <c r="AL46" s="36" t="n"/>
      <c r="AM46" s="36" t="n"/>
      <c r="AN46" s="36" t="n"/>
      <c r="AO46" s="36" t="n"/>
      <c r="AP46" s="36" t="n"/>
      <c r="AQ46" s="36" t="n"/>
      <c r="AR46" s="36" t="n"/>
      <c r="AS46" s="36" t="n"/>
      <c r="AT46" s="36" t="n"/>
      <c r="AU46" s="36" t="n"/>
      <c r="AV46" s="36" t="n"/>
      <c r="AW46" s="36" t="n"/>
      <c r="AX46" s="36" t="n"/>
      <c r="AY46" s="36" t="n"/>
      <c r="AZ46" s="36" t="n"/>
      <c r="BA46" s="36" t="n"/>
      <c r="BB46" s="36" t="n"/>
      <c r="BC46" s="36" t="n"/>
      <c r="BD46" s="36" t="n"/>
      <c r="BE46" s="36" t="n"/>
      <c r="BF46" s="36" t="n"/>
      <c r="BG46" s="36" t="n"/>
      <c r="BH46" s="36" t="n"/>
      <c r="BI46" s="36" t="n"/>
      <c r="BJ46" s="36" t="n"/>
      <c r="BK46" s="36" t="n"/>
      <c r="BL46" s="36" t="n"/>
      <c r="BM46" s="36" t="n"/>
      <c r="BN46" s="36" t="n"/>
      <c r="BO46" s="36" t="n"/>
      <c r="BP46" s="36" t="n"/>
      <c r="BQ46" s="36" t="n"/>
      <c r="BR46" s="36" t="n"/>
      <c r="BS46" s="36" t="n"/>
      <c r="BT46" s="36" t="n"/>
      <c r="BU46" s="36" t="n"/>
      <c r="BV46" s="36" t="n"/>
      <c r="BW46" s="36" t="n"/>
      <c r="BX46" s="36" t="n"/>
      <c r="BY46" s="36" t="n"/>
      <c r="BZ46" s="36" t="n"/>
      <c r="CA46" s="36" t="n"/>
      <c r="CB46" s="36" t="n"/>
      <c r="CC46" s="36" t="n"/>
      <c r="CD46" s="36" t="n"/>
      <c r="CE46" s="36" t="n"/>
      <c r="CF46" s="36" t="n"/>
      <c r="CG46" s="36" t="n"/>
      <c r="CH46" s="36" t="n"/>
      <c r="CI46" s="36" t="n"/>
      <c r="CJ46" s="36" t="n"/>
      <c r="CK46" s="36" t="n"/>
    </row>
    <row r="47" ht="34" customHeight="1">
      <c r="A47" s="37" t="n"/>
      <c r="B47" s="35" t="inlineStr"/>
      <c r="C47" s="26">
        <f>IF(TRIM($B47)="","",IFERROR(INDEX(People!$A$2:$A$199,MATCH(TRIM($B47),People!$B$2:$B$199,0)),IFERROR(INDEX(Teams!$A$2:$A$9,MATCH(TRIM($B47),Teams!$B$2:$B$9,0)),"?? CHECK NAME")))</f>
        <v/>
      </c>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c r="AF47" s="36" t="n"/>
      <c r="AG47" s="36" t="n"/>
      <c r="AH47" s="36" t="n"/>
      <c r="AI47" s="36" t="n"/>
      <c r="AJ47" s="36" t="n"/>
      <c r="AK47" s="36" t="n"/>
      <c r="AL47" s="36" t="n"/>
      <c r="AM47" s="36" t="n"/>
      <c r="AN47" s="36" t="n"/>
      <c r="AO47" s="36" t="n"/>
      <c r="AP47" s="36" t="n"/>
      <c r="AQ47" s="36" t="n"/>
      <c r="AR47" s="36" t="n"/>
      <c r="AS47" s="36" t="n"/>
      <c r="AT47" s="36" t="n"/>
      <c r="AU47" s="36" t="n"/>
      <c r="AV47" s="36" t="n"/>
      <c r="AW47" s="36" t="n"/>
      <c r="AX47" s="36" t="n"/>
      <c r="AY47" s="36" t="n"/>
      <c r="AZ47" s="36" t="n"/>
      <c r="BA47" s="36" t="n"/>
      <c r="BB47" s="36" t="n"/>
      <c r="BC47" s="36" t="n"/>
      <c r="BD47" s="36" t="n"/>
      <c r="BE47" s="36" t="n"/>
      <c r="BF47" s="36" t="n"/>
      <c r="BG47" s="36" t="n"/>
      <c r="BH47" s="36" t="n"/>
      <c r="BI47" s="36" t="n"/>
      <c r="BJ47" s="36" t="n"/>
      <c r="BK47" s="36" t="n"/>
      <c r="BL47" s="36" t="n"/>
      <c r="BM47" s="36" t="n"/>
      <c r="BN47" s="36" t="n"/>
      <c r="BO47" s="36" t="n"/>
      <c r="BP47" s="36" t="n"/>
      <c r="BQ47" s="36" t="n"/>
      <c r="BR47" s="36" t="n"/>
      <c r="BS47" s="36" t="n"/>
      <c r="BT47" s="36" t="n"/>
      <c r="BU47" s="36" t="n"/>
      <c r="BV47" s="36" t="n"/>
      <c r="BW47" s="36" t="n"/>
      <c r="BX47" s="36" t="n"/>
      <c r="BY47" s="36" t="n"/>
      <c r="BZ47" s="36" t="n"/>
      <c r="CA47" s="36" t="n"/>
      <c r="CB47" s="36" t="n"/>
      <c r="CC47" s="36" t="n"/>
      <c r="CD47" s="36" t="n"/>
      <c r="CE47" s="36" t="n"/>
      <c r="CF47" s="36" t="n"/>
      <c r="CG47" s="36" t="n"/>
      <c r="CH47" s="36" t="n"/>
      <c r="CI47" s="36" t="n"/>
      <c r="CJ47" s="36" t="n"/>
      <c r="CK47" s="36" t="n"/>
    </row>
    <row r="48" ht="34" customHeight="1">
      <c r="A48" s="38" t="n"/>
      <c r="B48" s="35" t="inlineStr"/>
      <c r="C48" s="26">
        <f>IF(TRIM($B48)="","",IFERROR(INDEX(People!$A$2:$A$199,MATCH(TRIM($B48),People!$B$2:$B$199,0)),IFERROR(INDEX(Teams!$A$2:$A$9,MATCH(TRIM($B48),Teams!$B$2:$B$9,0)),"?? CHECK NAME")))</f>
        <v/>
      </c>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c r="AF48" s="36" t="n"/>
      <c r="AG48" s="36" t="n"/>
      <c r="AH48" s="36" t="n"/>
      <c r="AI48" s="36" t="n"/>
      <c r="AJ48" s="36" t="n"/>
      <c r="AK48" s="36" t="n"/>
      <c r="AL48" s="36" t="n"/>
      <c r="AM48" s="36" t="n"/>
      <c r="AN48" s="36" t="n"/>
      <c r="AO48" s="36" t="n"/>
      <c r="AP48" s="36" t="n"/>
      <c r="AQ48" s="36" t="n"/>
      <c r="AR48" s="36" t="n"/>
      <c r="AS48" s="36" t="n"/>
      <c r="AT48" s="36" t="n"/>
      <c r="AU48" s="36" t="n"/>
      <c r="AV48" s="36" t="n"/>
      <c r="AW48" s="36" t="n"/>
      <c r="AX48" s="36" t="n"/>
      <c r="AY48" s="36" t="n"/>
      <c r="AZ48" s="36" t="n"/>
      <c r="BA48" s="36" t="n"/>
      <c r="BB48" s="36" t="n"/>
      <c r="BC48" s="36" t="n"/>
      <c r="BD48" s="36" t="n"/>
      <c r="BE48" s="36" t="n"/>
      <c r="BF48" s="36" t="n"/>
      <c r="BG48" s="36" t="n"/>
      <c r="BH48" s="36" t="n"/>
      <c r="BI48" s="36" t="n"/>
      <c r="BJ48" s="36" t="n"/>
      <c r="BK48" s="36" t="n"/>
      <c r="BL48" s="36" t="n"/>
      <c r="BM48" s="36" t="n"/>
      <c r="BN48" s="36" t="n"/>
      <c r="BO48" s="36" t="n"/>
      <c r="BP48" s="36" t="n"/>
      <c r="BQ48" s="36" t="n"/>
      <c r="BR48" s="36" t="n"/>
      <c r="BS48" s="36" t="n"/>
      <c r="BT48" s="36" t="n"/>
      <c r="BU48" s="36" t="n"/>
      <c r="BV48" s="36" t="n"/>
      <c r="BW48" s="36" t="n"/>
      <c r="BX48" s="36" t="n"/>
      <c r="BY48" s="36" t="n"/>
      <c r="BZ48" s="36" t="n"/>
      <c r="CA48" s="36" t="n"/>
      <c r="CB48" s="36" t="n"/>
      <c r="CC48" s="36" t="n"/>
      <c r="CD48" s="36" t="n"/>
      <c r="CE48" s="36" t="n"/>
      <c r="CF48" s="36" t="n"/>
      <c r="CG48" s="36" t="n"/>
      <c r="CH48" s="36" t="n"/>
      <c r="CI48" s="36" t="n"/>
      <c r="CJ48" s="36" t="n"/>
      <c r="CK48" s="36" t="n"/>
    </row>
    <row r="49" ht="34" customHeight="1">
      <c r="A49" s="16" t="inlineStr">
        <is>
          <t>Judging</t>
        </is>
      </c>
      <c r="B49" s="35" t="inlineStr"/>
      <c r="C49" s="26">
        <f>IF(TRIM($B49)="","",IFERROR(INDEX(People!$A$2:$A$199,MATCH(TRIM($B49),People!$B$2:$B$199,0)),IFERROR(INDEX(Teams!$A$2:$A$9,MATCH(TRIM($B49),Teams!$B$2:$B$9,0)),"?? CHECK NAME")))</f>
        <v/>
      </c>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c r="BL49" s="36" t="n"/>
      <c r="BM49" s="36" t="n"/>
      <c r="BN49" s="36" t="n"/>
      <c r="BO49" s="36" t="n"/>
      <c r="BP49" s="36" t="n"/>
      <c r="BQ49" s="36" t="n"/>
      <c r="BR49" s="36" t="n"/>
      <c r="BS49" s="36" t="n"/>
      <c r="BT49" s="36" t="n"/>
      <c r="BU49" s="36" t="n"/>
      <c r="BV49" s="36" t="n"/>
      <c r="BW49" s="36" t="n"/>
      <c r="BX49" s="36" t="n"/>
      <c r="BY49" s="36" t="n"/>
      <c r="BZ49" s="36" t="n"/>
      <c r="CA49" s="36" t="n"/>
      <c r="CB49" s="36" t="n"/>
      <c r="CC49" s="36" t="n"/>
      <c r="CD49" s="36" t="n"/>
      <c r="CE49" s="36" t="n"/>
      <c r="CF49" s="36" t="n"/>
      <c r="CG49" s="36" t="n"/>
      <c r="CH49" s="36" t="n"/>
      <c r="CI49" s="36" t="n"/>
      <c r="CJ49" s="36" t="n"/>
      <c r="CK49" s="36" t="n"/>
    </row>
    <row r="50" ht="34" customHeight="1">
      <c r="A50" s="37" t="n"/>
      <c r="B50" s="35" t="inlineStr"/>
      <c r="C50" s="26">
        <f>IF(TRIM($B50)="","",IFERROR(INDEX(People!$A$2:$A$199,MATCH(TRIM($B50),People!$B$2:$B$199,0)),IFERROR(INDEX(Teams!$A$2:$A$9,MATCH(TRIM($B50),Teams!$B$2:$B$9,0)),"?? CHECK NAME")))</f>
        <v/>
      </c>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c r="AF50" s="36" t="n"/>
      <c r="AG50" s="36" t="n"/>
      <c r="AH50" s="36" t="n"/>
      <c r="AI50" s="36" t="n"/>
      <c r="AJ50" s="36" t="n"/>
      <c r="AK50" s="36" t="n"/>
      <c r="AL50" s="36" t="n"/>
      <c r="AM50" s="36" t="n"/>
      <c r="AN50" s="36" t="n"/>
      <c r="AO50" s="36" t="n"/>
      <c r="AP50" s="36" t="n"/>
      <c r="AQ50" s="36" t="n"/>
      <c r="AR50" s="36" t="n"/>
      <c r="AS50" s="36" t="n"/>
      <c r="AT50" s="36" t="n"/>
      <c r="AU50" s="36" t="n"/>
      <c r="AV50" s="36" t="n"/>
      <c r="AW50" s="36" t="n"/>
      <c r="AX50" s="36" t="n"/>
      <c r="AY50" s="36" t="n"/>
      <c r="AZ50" s="36" t="n"/>
      <c r="BA50" s="36" t="n"/>
      <c r="BB50" s="36" t="n"/>
      <c r="BC50" s="36" t="n"/>
      <c r="BD50" s="36" t="n"/>
      <c r="BE50" s="36" t="n"/>
      <c r="BF50" s="36" t="n"/>
      <c r="BG50" s="36" t="n"/>
      <c r="BH50" s="36" t="n"/>
      <c r="BI50" s="36" t="n"/>
      <c r="BJ50" s="36" t="n"/>
      <c r="BK50" s="36" t="n"/>
      <c r="BL50" s="36" t="n"/>
      <c r="BM50" s="36" t="n"/>
      <c r="BN50" s="36" t="n"/>
      <c r="BO50" s="36" t="n"/>
      <c r="BP50" s="36" t="n"/>
      <c r="BQ50" s="36" t="n"/>
      <c r="BR50" s="36" t="n"/>
      <c r="BS50" s="36" t="n"/>
      <c r="BT50" s="36" t="n"/>
      <c r="BU50" s="36" t="n"/>
      <c r="BV50" s="36" t="n"/>
      <c r="BW50" s="36" t="n"/>
      <c r="BX50" s="36" t="n"/>
      <c r="BY50" s="36" t="n"/>
      <c r="BZ50" s="36" t="n"/>
      <c r="CA50" s="36" t="n"/>
      <c r="CB50" s="36" t="n"/>
      <c r="CC50" s="36" t="n"/>
      <c r="CD50" s="36" t="n"/>
      <c r="CE50" s="36" t="n"/>
      <c r="CF50" s="36" t="n"/>
      <c r="CG50" s="36" t="n"/>
      <c r="CH50" s="36" t="n"/>
      <c r="CI50" s="36" t="n"/>
      <c r="CJ50" s="36" t="n"/>
      <c r="CK50" s="36" t="n"/>
    </row>
    <row r="51" ht="34" customHeight="1">
      <c r="A51" s="37" t="n"/>
      <c r="B51" s="35" t="inlineStr"/>
      <c r="C51" s="26">
        <f>IF(TRIM($B51)="","",IFERROR(INDEX(People!$A$2:$A$199,MATCH(TRIM($B51),People!$B$2:$B$199,0)),IFERROR(INDEX(Teams!$A$2:$A$9,MATCH(TRIM($B51),Teams!$B$2:$B$9,0)),"?? CHECK NAME")))</f>
        <v/>
      </c>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6" t="n"/>
      <c r="AL51" s="36" t="n"/>
      <c r="AM51" s="36" t="n"/>
      <c r="AN51" s="36" t="n"/>
      <c r="AO51" s="36" t="n"/>
      <c r="AP51" s="36" t="n"/>
      <c r="AQ51" s="36" t="n"/>
      <c r="AR51" s="36" t="n"/>
      <c r="AS51" s="36" t="n"/>
      <c r="AT51" s="36" t="n"/>
      <c r="AU51" s="36" t="n"/>
      <c r="AV51" s="36" t="n"/>
      <c r="AW51" s="36" t="n"/>
      <c r="AX51" s="36" t="n"/>
      <c r="AY51" s="36" t="n"/>
      <c r="AZ51" s="36" t="n"/>
      <c r="BA51" s="36" t="n"/>
      <c r="BB51" s="36" t="n"/>
      <c r="BC51" s="36" t="n"/>
      <c r="BD51" s="36" t="n"/>
      <c r="BE51" s="36" t="n"/>
      <c r="BF51" s="36" t="n"/>
      <c r="BG51" s="36" t="n"/>
      <c r="BH51" s="36" t="n"/>
      <c r="BI51" s="36" t="n"/>
      <c r="BJ51" s="36" t="n"/>
      <c r="BK51" s="36" t="n"/>
      <c r="BL51" s="36" t="n"/>
      <c r="BM51" s="36" t="n"/>
      <c r="BN51" s="36" t="n"/>
      <c r="BO51" s="36" t="n"/>
      <c r="BP51" s="36" t="n"/>
      <c r="BQ51" s="36" t="n"/>
      <c r="BR51" s="36" t="n"/>
      <c r="BS51" s="36" t="n"/>
      <c r="BT51" s="36" t="n"/>
      <c r="BU51" s="36" t="n"/>
      <c r="BV51" s="36" t="n"/>
      <c r="BW51" s="36" t="n"/>
      <c r="BX51" s="36" t="n"/>
      <c r="BY51" s="36" t="n"/>
      <c r="BZ51" s="36" t="n"/>
      <c r="CA51" s="36" t="n"/>
      <c r="CB51" s="36" t="n"/>
      <c r="CC51" s="36" t="n"/>
      <c r="CD51" s="36" t="n"/>
      <c r="CE51" s="36" t="n"/>
      <c r="CF51" s="36" t="n"/>
      <c r="CG51" s="36" t="n"/>
      <c r="CH51" s="36" t="n"/>
      <c r="CI51" s="36" t="n"/>
      <c r="CJ51" s="36" t="n"/>
      <c r="CK51" s="36" t="n"/>
    </row>
    <row r="52" ht="34" customHeight="1">
      <c r="A52" s="37" t="n"/>
      <c r="B52" s="35" t="inlineStr"/>
      <c r="C52" s="26">
        <f>IF(TRIM($B52)="","",IFERROR(INDEX(People!$A$2:$A$199,MATCH(TRIM($B52),People!$B$2:$B$199,0)),IFERROR(INDEX(Teams!$A$2:$A$9,MATCH(TRIM($B52),Teams!$B$2:$B$9,0)),"?? CHECK NAME")))</f>
        <v/>
      </c>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c r="AF52" s="36" t="n"/>
      <c r="AG52" s="36" t="n"/>
      <c r="AH52" s="36" t="n"/>
      <c r="AI52" s="36" t="n"/>
      <c r="AJ52" s="36" t="n"/>
      <c r="AK52" s="36" t="n"/>
      <c r="AL52" s="36" t="n"/>
      <c r="AM52" s="36" t="n"/>
      <c r="AN52" s="36" t="n"/>
      <c r="AO52" s="36" t="n"/>
      <c r="AP52" s="36" t="n"/>
      <c r="AQ52" s="36" t="n"/>
      <c r="AR52" s="36" t="n"/>
      <c r="AS52" s="36" t="n"/>
      <c r="AT52" s="36" t="n"/>
      <c r="AU52" s="36" t="n"/>
      <c r="AV52" s="36" t="n"/>
      <c r="AW52" s="36" t="n"/>
      <c r="AX52" s="36" t="n"/>
      <c r="AY52" s="36" t="n"/>
      <c r="AZ52" s="36" t="n"/>
      <c r="BA52" s="36" t="n"/>
      <c r="BB52" s="36" t="n"/>
      <c r="BC52" s="36" t="n"/>
      <c r="BD52" s="36" t="n"/>
      <c r="BE52" s="36" t="n"/>
      <c r="BF52" s="36" t="n"/>
      <c r="BG52" s="36" t="n"/>
      <c r="BH52" s="36" t="n"/>
      <c r="BI52" s="36" t="n"/>
      <c r="BJ52" s="36" t="n"/>
      <c r="BK52" s="36" t="n"/>
      <c r="BL52" s="36" t="n"/>
      <c r="BM52" s="36" t="n"/>
      <c r="BN52" s="36" t="n"/>
      <c r="BO52" s="36" t="n"/>
      <c r="BP52" s="36" t="n"/>
      <c r="BQ52" s="36" t="n"/>
      <c r="BR52" s="36" t="n"/>
      <c r="BS52" s="36" t="n"/>
      <c r="BT52" s="36" t="n"/>
      <c r="BU52" s="36" t="n"/>
      <c r="BV52" s="36" t="n"/>
      <c r="BW52" s="36" t="n"/>
      <c r="BX52" s="36" t="n"/>
      <c r="BY52" s="36" t="n"/>
      <c r="BZ52" s="36" t="n"/>
      <c r="CA52" s="36" t="n"/>
      <c r="CB52" s="36" t="n"/>
      <c r="CC52" s="36" t="n"/>
      <c r="CD52" s="36" t="n"/>
      <c r="CE52" s="36" t="n"/>
      <c r="CF52" s="36" t="n"/>
      <c r="CG52" s="36" t="n"/>
      <c r="CH52" s="36" t="n"/>
      <c r="CI52" s="36" t="n"/>
      <c r="CJ52" s="36" t="n"/>
      <c r="CK52" s="36" t="n"/>
    </row>
    <row r="53" ht="34" customHeight="1">
      <c r="A53" s="38" t="n"/>
      <c r="B53" s="35" t="inlineStr"/>
      <c r="C53" s="26">
        <f>IF(TRIM($B53)="","",IFERROR(INDEX(People!$A$2:$A$199,MATCH(TRIM($B53),People!$B$2:$B$199,0)),IFERROR(INDEX(Teams!$A$2:$A$9,MATCH(TRIM($B53),Teams!$B$2:$B$9,0)),"?? CHECK NAME")))</f>
        <v/>
      </c>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c r="AF53" s="36" t="n"/>
      <c r="AG53" s="36" t="n"/>
      <c r="AH53" s="36" t="n"/>
      <c r="AI53" s="36" t="n"/>
      <c r="AJ53" s="36" t="n"/>
      <c r="AK53" s="36" t="n"/>
      <c r="AL53" s="36" t="n"/>
      <c r="AM53" s="36" t="n"/>
      <c r="AN53" s="36" t="n"/>
      <c r="AO53" s="36" t="n"/>
      <c r="AP53" s="36" t="n"/>
      <c r="AQ53" s="36" t="n"/>
      <c r="AR53" s="36" t="n"/>
      <c r="AS53" s="36" t="n"/>
      <c r="AT53" s="36" t="n"/>
      <c r="AU53" s="36" t="n"/>
      <c r="AV53" s="36" t="n"/>
      <c r="AW53" s="36" t="n"/>
      <c r="AX53" s="36" t="n"/>
      <c r="AY53" s="36" t="n"/>
      <c r="AZ53" s="36" t="n"/>
      <c r="BA53" s="36" t="n"/>
      <c r="BB53" s="36" t="n"/>
      <c r="BC53" s="36" t="n"/>
      <c r="BD53" s="36" t="n"/>
      <c r="BE53" s="36" t="n"/>
      <c r="BF53" s="36" t="n"/>
      <c r="BG53" s="36" t="n"/>
      <c r="BH53" s="36" t="n"/>
      <c r="BI53" s="36" t="n"/>
      <c r="BJ53" s="36" t="n"/>
      <c r="BK53" s="36" t="n"/>
      <c r="BL53" s="36" t="n"/>
      <c r="BM53" s="36" t="n"/>
      <c r="BN53" s="36" t="n"/>
      <c r="BO53" s="36" t="n"/>
      <c r="BP53" s="36" t="n"/>
      <c r="BQ53" s="36" t="n"/>
      <c r="BR53" s="36" t="n"/>
      <c r="BS53" s="36" t="n"/>
      <c r="BT53" s="36" t="n"/>
      <c r="BU53" s="36" t="n"/>
      <c r="BV53" s="36" t="n"/>
      <c r="BW53" s="36" t="n"/>
      <c r="BX53" s="36" t="n"/>
      <c r="BY53" s="36" t="n"/>
      <c r="BZ53" s="36" t="n"/>
      <c r="CA53" s="36" t="n"/>
      <c r="CB53" s="36" t="n"/>
      <c r="CC53" s="36" t="n"/>
      <c r="CD53" s="36" t="n"/>
      <c r="CE53" s="36" t="n"/>
      <c r="CF53" s="36" t="n"/>
      <c r="CG53" s="36" t="n"/>
      <c r="CH53" s="36" t="n"/>
      <c r="CI53" s="36" t="n"/>
      <c r="CJ53" s="36" t="n"/>
      <c r="CK53" s="36" t="n"/>
    </row>
    <row r="54" ht="34" customHeight="1">
      <c r="A54" s="16" t="inlineStr">
        <is>
          <t>Fundraising</t>
        </is>
      </c>
      <c r="B54" s="35" t="inlineStr"/>
      <c r="C54" s="26">
        <f>IF(TRIM($B54)="","",IFERROR(INDEX(People!$A$2:$A$199,MATCH(TRIM($B54),People!$B$2:$B$199,0)),IFERROR(INDEX(Teams!$A$2:$A$9,MATCH(TRIM($B54),Teams!$B$2:$B$9,0)),"?? CHECK NAME")))</f>
        <v/>
      </c>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c r="AF54" s="36" t="n"/>
      <c r="AG54" s="36" t="n"/>
      <c r="AH54" s="36" t="n"/>
      <c r="AI54" s="36" t="n"/>
      <c r="AJ54" s="36" t="n"/>
      <c r="AK54" s="36" t="n"/>
      <c r="AL54" s="36" t="n"/>
      <c r="AM54" s="36" t="n"/>
      <c r="AN54" s="36" t="n"/>
      <c r="AO54" s="36" t="n"/>
      <c r="AP54" s="36" t="n"/>
      <c r="AQ54" s="36" t="n"/>
      <c r="AR54" s="36" t="n"/>
      <c r="AS54" s="36" t="n"/>
      <c r="AT54" s="36" t="n"/>
      <c r="AU54" s="36" t="n"/>
      <c r="AV54" s="36" t="n"/>
      <c r="AW54" s="36" t="n"/>
      <c r="AX54" s="36" t="n"/>
      <c r="AY54" s="36" t="n"/>
      <c r="AZ54" s="36" t="n"/>
      <c r="BA54" s="36" t="n"/>
      <c r="BB54" s="36" t="n"/>
      <c r="BC54" s="36" t="n"/>
      <c r="BD54" s="36" t="n"/>
      <c r="BE54" s="36" t="n"/>
      <c r="BF54" s="36" t="n"/>
      <c r="BG54" s="36" t="n"/>
      <c r="BH54" s="36" t="n"/>
      <c r="BI54" s="36" t="n"/>
      <c r="BJ54" s="36" t="n"/>
      <c r="BK54" s="36" t="n"/>
      <c r="BL54" s="36" t="n"/>
      <c r="BM54" s="36" t="n"/>
      <c r="BN54" s="36" t="n"/>
      <c r="BO54" s="36" t="n"/>
      <c r="BP54" s="36" t="n"/>
      <c r="BQ54" s="36" t="n"/>
      <c r="BR54" s="36" t="n"/>
      <c r="BS54" s="36" t="n"/>
      <c r="BT54" s="36" t="n"/>
      <c r="BU54" s="36" t="n"/>
      <c r="BV54" s="36" t="n"/>
      <c r="BW54" s="36" t="n"/>
      <c r="BX54" s="36" t="n"/>
      <c r="BY54" s="36" t="n"/>
      <c r="BZ54" s="36" t="n"/>
      <c r="CA54" s="36" t="n"/>
      <c r="CB54" s="36" t="n"/>
      <c r="CC54" s="36" t="n"/>
      <c r="CD54" s="36" t="n"/>
      <c r="CE54" s="36" t="n"/>
      <c r="CF54" s="36" t="n"/>
      <c r="CG54" s="36" t="n"/>
      <c r="CH54" s="36" t="n"/>
      <c r="CI54" s="36" t="n"/>
      <c r="CJ54" s="36" t="n"/>
      <c r="CK54" s="36" t="n"/>
    </row>
    <row r="55" ht="34" customHeight="1">
      <c r="A55" s="37" t="n"/>
      <c r="B55" s="35" t="inlineStr"/>
      <c r="C55" s="26">
        <f>IF(TRIM($B55)="","",IFERROR(INDEX(People!$A$2:$A$199,MATCH(TRIM($B55),People!$B$2:$B$199,0)),IFERROR(INDEX(Teams!$A$2:$A$9,MATCH(TRIM($B55),Teams!$B$2:$B$9,0)),"?? CHECK NAME")))</f>
        <v/>
      </c>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c r="AF55" s="36" t="n"/>
      <c r="AG55" s="36" t="n"/>
      <c r="AH55" s="36" t="n"/>
      <c r="AI55" s="36" t="n"/>
      <c r="AJ55" s="36" t="n"/>
      <c r="AK55" s="36" t="n"/>
      <c r="AL55" s="36" t="n"/>
      <c r="AM55" s="36" t="n"/>
      <c r="AN55" s="36" t="n"/>
      <c r="AO55" s="36" t="n"/>
      <c r="AP55" s="36" t="n"/>
      <c r="AQ55" s="36" t="n"/>
      <c r="AR55" s="36" t="n"/>
      <c r="AS55" s="36" t="n"/>
      <c r="AT55" s="36" t="n"/>
      <c r="AU55" s="36" t="n"/>
      <c r="AV55" s="36" t="n"/>
      <c r="AW55" s="36" t="n"/>
      <c r="AX55" s="36" t="n"/>
      <c r="AY55" s="36" t="n"/>
      <c r="AZ55" s="36" t="n"/>
      <c r="BA55" s="36" t="n"/>
      <c r="BB55" s="36" t="n"/>
      <c r="BC55" s="36" t="n"/>
      <c r="BD55" s="36" t="n"/>
      <c r="BE55" s="36" t="n"/>
      <c r="BF55" s="36" t="n"/>
      <c r="BG55" s="36" t="n"/>
      <c r="BH55" s="36" t="n"/>
      <c r="BI55" s="36" t="n"/>
      <c r="BJ55" s="36" t="n"/>
      <c r="BK55" s="36" t="n"/>
      <c r="BL55" s="36" t="n"/>
      <c r="BM55" s="36" t="n"/>
      <c r="BN55" s="36" t="n"/>
      <c r="BO55" s="36" t="n"/>
      <c r="BP55" s="36" t="n"/>
      <c r="BQ55" s="36" t="n"/>
      <c r="BR55" s="36" t="n"/>
      <c r="BS55" s="36" t="n"/>
      <c r="BT55" s="36" t="n"/>
      <c r="BU55" s="36" t="n"/>
      <c r="BV55" s="36" t="n"/>
      <c r="BW55" s="36" t="n"/>
      <c r="BX55" s="36" t="n"/>
      <c r="BY55" s="36" t="n"/>
      <c r="BZ55" s="36" t="n"/>
      <c r="CA55" s="36" t="n"/>
      <c r="CB55" s="36" t="n"/>
      <c r="CC55" s="36" t="n"/>
      <c r="CD55" s="36" t="n"/>
      <c r="CE55" s="36" t="n"/>
      <c r="CF55" s="36" t="n"/>
      <c r="CG55" s="36" t="n"/>
      <c r="CH55" s="36" t="n"/>
      <c r="CI55" s="36" t="n"/>
      <c r="CJ55" s="36" t="n"/>
      <c r="CK55" s="36" t="n"/>
    </row>
    <row r="56" ht="34" customHeight="1">
      <c r="A56" s="37" t="n"/>
      <c r="B56" s="35" t="inlineStr"/>
      <c r="C56" s="26">
        <f>IF(TRIM($B56)="","",IFERROR(INDEX(People!$A$2:$A$199,MATCH(TRIM($B56),People!$B$2:$B$199,0)),IFERROR(INDEX(Teams!$A$2:$A$9,MATCH(TRIM($B56),Teams!$B$2:$B$9,0)),"?? CHECK NAME")))</f>
        <v/>
      </c>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c r="AF56" s="36" t="n"/>
      <c r="AG56" s="36" t="n"/>
      <c r="AH56" s="36" t="n"/>
      <c r="AI56" s="36" t="n"/>
      <c r="AJ56" s="36" t="n"/>
      <c r="AK56" s="36" t="n"/>
      <c r="AL56" s="36" t="n"/>
      <c r="AM56" s="36" t="n"/>
      <c r="AN56" s="36" t="n"/>
      <c r="AO56" s="36" t="n"/>
      <c r="AP56" s="36" t="n"/>
      <c r="AQ56" s="36" t="n"/>
      <c r="AR56" s="36" t="n"/>
      <c r="AS56" s="36" t="n"/>
      <c r="AT56" s="36" t="n"/>
      <c r="AU56" s="36" t="n"/>
      <c r="AV56" s="36" t="n"/>
      <c r="AW56" s="36" t="n"/>
      <c r="AX56" s="36" t="n"/>
      <c r="AY56" s="36" t="n"/>
      <c r="AZ56" s="36" t="n"/>
      <c r="BA56" s="36" t="n"/>
      <c r="BB56" s="36" t="n"/>
      <c r="BC56" s="36" t="n"/>
      <c r="BD56" s="36" t="n"/>
      <c r="BE56" s="36" t="n"/>
      <c r="BF56" s="36" t="n"/>
      <c r="BG56" s="36" t="n"/>
      <c r="BH56" s="36" t="n"/>
      <c r="BI56" s="36" t="n"/>
      <c r="BJ56" s="36" t="n"/>
      <c r="BK56" s="36" t="n"/>
      <c r="BL56" s="36" t="n"/>
      <c r="BM56" s="36" t="n"/>
      <c r="BN56" s="36" t="n"/>
      <c r="BO56" s="36" t="n"/>
      <c r="BP56" s="36" t="n"/>
      <c r="BQ56" s="36" t="n"/>
      <c r="BR56" s="36" t="n"/>
      <c r="BS56" s="36" t="n"/>
      <c r="BT56" s="36" t="n"/>
      <c r="BU56" s="36" t="n"/>
      <c r="BV56" s="36" t="n"/>
      <c r="BW56" s="36" t="n"/>
      <c r="BX56" s="36" t="n"/>
      <c r="BY56" s="36" t="n"/>
      <c r="BZ56" s="36" t="n"/>
      <c r="CA56" s="36" t="n"/>
      <c r="CB56" s="36" t="n"/>
      <c r="CC56" s="36" t="n"/>
      <c r="CD56" s="36" t="n"/>
      <c r="CE56" s="36" t="n"/>
      <c r="CF56" s="36" t="n"/>
      <c r="CG56" s="36" t="n"/>
      <c r="CH56" s="36" t="n"/>
      <c r="CI56" s="36" t="n"/>
      <c r="CJ56" s="36" t="n"/>
      <c r="CK56" s="36" t="n"/>
    </row>
    <row r="57" ht="34" customHeight="1">
      <c r="A57" s="37" t="n"/>
      <c r="B57" s="35" t="inlineStr"/>
      <c r="C57" s="26">
        <f>IF(TRIM($B57)="","",IFERROR(INDEX(People!$A$2:$A$199,MATCH(TRIM($B57),People!$B$2:$B$199,0)),IFERROR(INDEX(Teams!$A$2:$A$9,MATCH(TRIM($B57),Teams!$B$2:$B$9,0)),"?? CHECK NAME")))</f>
        <v/>
      </c>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6" t="n"/>
      <c r="AL57" s="36" t="n"/>
      <c r="AM57" s="36" t="n"/>
      <c r="AN57" s="36" t="n"/>
      <c r="AO57" s="36" t="n"/>
      <c r="AP57" s="36" t="n"/>
      <c r="AQ57" s="36" t="n"/>
      <c r="AR57" s="36" t="n"/>
      <c r="AS57" s="36" t="n"/>
      <c r="AT57" s="36" t="n"/>
      <c r="AU57" s="36" t="n"/>
      <c r="AV57" s="36" t="n"/>
      <c r="AW57" s="36" t="n"/>
      <c r="AX57" s="36" t="n"/>
      <c r="AY57" s="36" t="n"/>
      <c r="AZ57" s="36" t="n"/>
      <c r="BA57" s="36" t="n"/>
      <c r="BB57" s="36" t="n"/>
      <c r="BC57" s="36" t="n"/>
      <c r="BD57" s="36" t="n"/>
      <c r="BE57" s="36" t="n"/>
      <c r="BF57" s="36" t="n"/>
      <c r="BG57" s="36" t="n"/>
      <c r="BH57" s="36" t="n"/>
      <c r="BI57" s="36" t="n"/>
      <c r="BJ57" s="36" t="n"/>
      <c r="BK57" s="36" t="n"/>
      <c r="BL57" s="36" t="n"/>
      <c r="BM57" s="36" t="n"/>
      <c r="BN57" s="36" t="n"/>
      <c r="BO57" s="36" t="n"/>
      <c r="BP57" s="36" t="n"/>
      <c r="BQ57" s="36" t="n"/>
      <c r="BR57" s="36" t="n"/>
      <c r="BS57" s="36" t="n"/>
      <c r="BT57" s="36" t="n"/>
      <c r="BU57" s="36" t="n"/>
      <c r="BV57" s="36" t="n"/>
      <c r="BW57" s="36" t="n"/>
      <c r="BX57" s="36" t="n"/>
      <c r="BY57" s="36" t="n"/>
      <c r="BZ57" s="36" t="n"/>
      <c r="CA57" s="36" t="n"/>
      <c r="CB57" s="36" t="n"/>
      <c r="CC57" s="36" t="n"/>
      <c r="CD57" s="36" t="n"/>
      <c r="CE57" s="36" t="n"/>
      <c r="CF57" s="36" t="n"/>
      <c r="CG57" s="36" t="n"/>
      <c r="CH57" s="36" t="n"/>
      <c r="CI57" s="36" t="n"/>
      <c r="CJ57" s="36" t="n"/>
      <c r="CK57" s="36" t="n"/>
    </row>
    <row r="58" ht="34" customHeight="1">
      <c r="A58" s="38" t="n"/>
      <c r="B58" s="35" t="inlineStr"/>
      <c r="C58" s="26">
        <f>IF(TRIM($B58)="","",IFERROR(INDEX(People!$A$2:$A$199,MATCH(TRIM($B58),People!$B$2:$B$199,0)),IFERROR(INDEX(Teams!$A$2:$A$9,MATCH(TRIM($B58),Teams!$B$2:$B$9,0)),"?? CHECK NAME")))</f>
        <v/>
      </c>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c r="AF58" s="36" t="n"/>
      <c r="AG58" s="36" t="n"/>
      <c r="AH58" s="36" t="n"/>
      <c r="AI58" s="36" t="n"/>
      <c r="AJ58" s="36" t="n"/>
      <c r="AK58" s="36" t="n"/>
      <c r="AL58" s="36" t="n"/>
      <c r="AM58" s="36" t="n"/>
      <c r="AN58" s="36" t="n"/>
      <c r="AO58" s="36" t="n"/>
      <c r="AP58" s="36" t="n"/>
      <c r="AQ58" s="36" t="n"/>
      <c r="AR58" s="36" t="n"/>
      <c r="AS58" s="36" t="n"/>
      <c r="AT58" s="36" t="n"/>
      <c r="AU58" s="36" t="n"/>
      <c r="AV58" s="36" t="n"/>
      <c r="AW58" s="36" t="n"/>
      <c r="AX58" s="36" t="n"/>
      <c r="AY58" s="36" t="n"/>
      <c r="AZ58" s="36" t="n"/>
      <c r="BA58" s="36" t="n"/>
      <c r="BB58" s="36" t="n"/>
      <c r="BC58" s="36" t="n"/>
      <c r="BD58" s="36" t="n"/>
      <c r="BE58" s="36" t="n"/>
      <c r="BF58" s="36" t="n"/>
      <c r="BG58" s="36" t="n"/>
      <c r="BH58" s="36" t="n"/>
      <c r="BI58" s="36" t="n"/>
      <c r="BJ58" s="36" t="n"/>
      <c r="BK58" s="36" t="n"/>
      <c r="BL58" s="36" t="n"/>
      <c r="BM58" s="36" t="n"/>
      <c r="BN58" s="36" t="n"/>
      <c r="BO58" s="36" t="n"/>
      <c r="BP58" s="36" t="n"/>
      <c r="BQ58" s="36" t="n"/>
      <c r="BR58" s="36" t="n"/>
      <c r="BS58" s="36" t="n"/>
      <c r="BT58" s="36" t="n"/>
      <c r="BU58" s="36" t="n"/>
      <c r="BV58" s="36" t="n"/>
      <c r="BW58" s="36" t="n"/>
      <c r="BX58" s="36" t="n"/>
      <c r="BY58" s="36" t="n"/>
      <c r="BZ58" s="36" t="n"/>
      <c r="CA58" s="36" t="n"/>
      <c r="CB58" s="36" t="n"/>
      <c r="CC58" s="36" t="n"/>
      <c r="CD58" s="36" t="n"/>
      <c r="CE58" s="36" t="n"/>
      <c r="CF58" s="36" t="n"/>
      <c r="CG58" s="36" t="n"/>
      <c r="CH58" s="36" t="n"/>
      <c r="CI58" s="36" t="n"/>
      <c r="CJ58" s="36" t="n"/>
      <c r="CK58" s="36" t="n"/>
    </row>
    <row r="59" ht="34" customHeight="1">
      <c r="A59" s="16" t="inlineStr">
        <is>
          <t>Campus Wellness</t>
        </is>
      </c>
      <c r="B59" s="35" t="inlineStr"/>
      <c r="C59" s="26">
        <f>IF(TRIM($B59)="","",IFERROR(INDEX(People!$A$2:$A$199,MATCH(TRIM($B59),People!$B$2:$B$199,0)),IFERROR(INDEX(Teams!$A$2:$A$9,MATCH(TRIM($B59),Teams!$B$2:$B$9,0)),"?? CHECK NAME")))</f>
        <v/>
      </c>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c r="AF59" s="36" t="n"/>
      <c r="AG59" s="36" t="n"/>
      <c r="AH59" s="36" t="n"/>
      <c r="AI59" s="36" t="n"/>
      <c r="AJ59" s="36" t="n"/>
      <c r="AK59" s="36" t="n"/>
      <c r="AL59" s="36" t="n"/>
      <c r="AM59" s="36" t="n"/>
      <c r="AN59" s="36" t="n"/>
      <c r="AO59" s="36" t="n"/>
      <c r="AP59" s="36" t="n"/>
      <c r="AQ59" s="36" t="n"/>
      <c r="AR59" s="36" t="n"/>
      <c r="AS59" s="36" t="n"/>
      <c r="AT59" s="36" t="n"/>
      <c r="AU59" s="36" t="n"/>
      <c r="AV59" s="36" t="n"/>
      <c r="AW59" s="36" t="n"/>
      <c r="AX59" s="36" t="n"/>
      <c r="AY59" s="36" t="n"/>
      <c r="AZ59" s="36" t="n"/>
      <c r="BA59" s="36" t="n"/>
      <c r="BB59" s="36" t="n"/>
      <c r="BC59" s="36" t="n"/>
      <c r="BD59" s="36" t="n"/>
      <c r="BE59" s="36" t="n"/>
      <c r="BF59" s="36" t="n"/>
      <c r="BG59" s="36" t="n"/>
      <c r="BH59" s="36" t="n"/>
      <c r="BI59" s="36" t="n"/>
      <c r="BJ59" s="36" t="n"/>
      <c r="BK59" s="36" t="n"/>
      <c r="BL59" s="36" t="n"/>
      <c r="BM59" s="36" t="n"/>
      <c r="BN59" s="36" t="n"/>
      <c r="BO59" s="36" t="n"/>
      <c r="BP59" s="36" t="n"/>
      <c r="BQ59" s="36" t="n"/>
      <c r="BR59" s="36" t="n"/>
      <c r="BS59" s="36" t="n"/>
      <c r="BT59" s="36" t="n"/>
      <c r="BU59" s="36" t="n"/>
      <c r="BV59" s="36" t="n"/>
      <c r="BW59" s="36" t="n"/>
      <c r="BX59" s="36" t="n"/>
      <c r="BY59" s="36" t="n"/>
      <c r="BZ59" s="36" t="n"/>
      <c r="CA59" s="36" t="n"/>
      <c r="CB59" s="36" t="n"/>
      <c r="CC59" s="36" t="n"/>
      <c r="CD59" s="36" t="n"/>
      <c r="CE59" s="36" t="n"/>
      <c r="CF59" s="36" t="n"/>
      <c r="CG59" s="36" t="n"/>
      <c r="CH59" s="36" t="n"/>
      <c r="CI59" s="36" t="n"/>
      <c r="CJ59" s="36" t="n"/>
      <c r="CK59" s="36" t="n"/>
    </row>
    <row r="60" ht="34" customHeight="1">
      <c r="A60" s="37" t="n"/>
      <c r="B60" s="35" t="inlineStr"/>
      <c r="C60" s="26">
        <f>IF(TRIM($B60)="","",IFERROR(INDEX(People!$A$2:$A$199,MATCH(TRIM($B60),People!$B$2:$B$199,0)),IFERROR(INDEX(Teams!$A$2:$A$9,MATCH(TRIM($B60),Teams!$B$2:$B$9,0)),"?? CHECK NAME")))</f>
        <v/>
      </c>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c r="AF60" s="36" t="n"/>
      <c r="AG60" s="36" t="n"/>
      <c r="AH60" s="36" t="n"/>
      <c r="AI60" s="36" t="n"/>
      <c r="AJ60" s="36" t="n"/>
      <c r="AK60" s="36" t="n"/>
      <c r="AL60" s="36" t="n"/>
      <c r="AM60" s="36" t="n"/>
      <c r="AN60" s="36" t="n"/>
      <c r="AO60" s="36" t="n"/>
      <c r="AP60" s="36" t="n"/>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c r="BL60" s="36" t="n"/>
      <c r="BM60" s="36" t="n"/>
      <c r="BN60" s="36" t="n"/>
      <c r="BO60" s="36" t="n"/>
      <c r="BP60" s="36" t="n"/>
      <c r="BQ60" s="36" t="n"/>
      <c r="BR60" s="36" t="n"/>
      <c r="BS60" s="36" t="n"/>
      <c r="BT60" s="36" t="n"/>
      <c r="BU60" s="36" t="n"/>
      <c r="BV60" s="36" t="n"/>
      <c r="BW60" s="36" t="n"/>
      <c r="BX60" s="36" t="n"/>
      <c r="BY60" s="36" t="n"/>
      <c r="BZ60" s="36" t="n"/>
      <c r="CA60" s="36" t="n"/>
      <c r="CB60" s="36" t="n"/>
      <c r="CC60" s="36" t="n"/>
      <c r="CD60" s="36" t="n"/>
      <c r="CE60" s="36" t="n"/>
      <c r="CF60" s="36" t="n"/>
      <c r="CG60" s="36" t="n"/>
      <c r="CH60" s="36" t="n"/>
      <c r="CI60" s="36" t="n"/>
      <c r="CJ60" s="36" t="n"/>
      <c r="CK60" s="36" t="n"/>
    </row>
    <row r="61" ht="34" customHeight="1">
      <c r="A61" s="37" t="n"/>
      <c r="B61" s="35" t="inlineStr"/>
      <c r="C61" s="26">
        <f>IF(TRIM($B61)="","",IFERROR(INDEX(People!$A$2:$A$199,MATCH(TRIM($B61),People!$B$2:$B$199,0)),IFERROR(INDEX(Teams!$A$2:$A$9,MATCH(TRIM($B61),Teams!$B$2:$B$9,0)),"?? CHECK NAME")))</f>
        <v/>
      </c>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c r="AF61" s="36" t="n"/>
      <c r="AG61" s="36" t="n"/>
      <c r="AH61" s="36" t="n"/>
      <c r="AI61" s="36" t="n"/>
      <c r="AJ61" s="36" t="n"/>
      <c r="AK61" s="36" t="n"/>
      <c r="AL61" s="36" t="n"/>
      <c r="AM61" s="36" t="n"/>
      <c r="AN61" s="36" t="n"/>
      <c r="AO61" s="36" t="n"/>
      <c r="AP61" s="36" t="n"/>
      <c r="AQ61" s="36" t="n"/>
      <c r="AR61" s="36" t="n"/>
      <c r="AS61" s="36" t="n"/>
      <c r="AT61" s="36" t="n"/>
      <c r="AU61" s="36" t="n"/>
      <c r="AV61" s="36" t="n"/>
      <c r="AW61" s="36" t="n"/>
      <c r="AX61" s="36" t="n"/>
      <c r="AY61" s="36" t="n"/>
      <c r="AZ61" s="36" t="n"/>
      <c r="BA61" s="36" t="n"/>
      <c r="BB61" s="36" t="n"/>
      <c r="BC61" s="36" t="n"/>
      <c r="BD61" s="36" t="n"/>
      <c r="BE61" s="36" t="n"/>
      <c r="BF61" s="36" t="n"/>
      <c r="BG61" s="36" t="n"/>
      <c r="BH61" s="36" t="n"/>
      <c r="BI61" s="36" t="n"/>
      <c r="BJ61" s="36" t="n"/>
      <c r="BK61" s="36" t="n"/>
      <c r="BL61" s="36" t="n"/>
      <c r="BM61" s="36" t="n"/>
      <c r="BN61" s="36" t="n"/>
      <c r="BO61" s="36" t="n"/>
      <c r="BP61" s="36" t="n"/>
      <c r="BQ61" s="36" t="n"/>
      <c r="BR61" s="36" t="n"/>
      <c r="BS61" s="36" t="n"/>
      <c r="BT61" s="36" t="n"/>
      <c r="BU61" s="36" t="n"/>
      <c r="BV61" s="36" t="n"/>
      <c r="BW61" s="36" t="n"/>
      <c r="BX61" s="36" t="n"/>
      <c r="BY61" s="36" t="n"/>
      <c r="BZ61" s="36" t="n"/>
      <c r="CA61" s="36" t="n"/>
      <c r="CB61" s="36" t="n"/>
      <c r="CC61" s="36" t="n"/>
      <c r="CD61" s="36" t="n"/>
      <c r="CE61" s="36" t="n"/>
      <c r="CF61" s="36" t="n"/>
      <c r="CG61" s="36" t="n"/>
      <c r="CH61" s="36" t="n"/>
      <c r="CI61" s="36" t="n"/>
      <c r="CJ61" s="36" t="n"/>
      <c r="CK61" s="36" t="n"/>
    </row>
    <row r="62" ht="34" customHeight="1">
      <c r="A62" s="37" t="n"/>
      <c r="B62" s="35" t="inlineStr"/>
      <c r="C62" s="26">
        <f>IF(TRIM($B62)="","",IFERROR(INDEX(People!$A$2:$A$199,MATCH(TRIM($B62),People!$B$2:$B$199,0)),IFERROR(INDEX(Teams!$A$2:$A$9,MATCH(TRIM($B62),Teams!$B$2:$B$9,0)),"?? CHECK NAME")))</f>
        <v/>
      </c>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c r="AF62" s="36" t="n"/>
      <c r="AG62" s="36" t="n"/>
      <c r="AH62" s="36" t="n"/>
      <c r="AI62" s="36" t="n"/>
      <c r="AJ62" s="36" t="n"/>
      <c r="AK62" s="36" t="n"/>
      <c r="AL62" s="36" t="n"/>
      <c r="AM62" s="36" t="n"/>
      <c r="AN62" s="36" t="n"/>
      <c r="AO62" s="36" t="n"/>
      <c r="AP62" s="36" t="n"/>
      <c r="AQ62" s="36" t="n"/>
      <c r="AR62" s="36" t="n"/>
      <c r="AS62" s="36" t="n"/>
      <c r="AT62" s="36" t="n"/>
      <c r="AU62" s="36" t="n"/>
      <c r="AV62" s="36" t="n"/>
      <c r="AW62" s="36" t="n"/>
      <c r="AX62" s="36" t="n"/>
      <c r="AY62" s="36" t="n"/>
      <c r="AZ62" s="36" t="n"/>
      <c r="BA62" s="36" t="n"/>
      <c r="BB62" s="36" t="n"/>
      <c r="BC62" s="36" t="n"/>
      <c r="BD62" s="36" t="n"/>
      <c r="BE62" s="36" t="n"/>
      <c r="BF62" s="36" t="n"/>
      <c r="BG62" s="36" t="n"/>
      <c r="BH62" s="36" t="n"/>
      <c r="BI62" s="36" t="n"/>
      <c r="BJ62" s="36" t="n"/>
      <c r="BK62" s="36" t="n"/>
      <c r="BL62" s="36" t="n"/>
      <c r="BM62" s="36" t="n"/>
      <c r="BN62" s="36" t="n"/>
      <c r="BO62" s="36" t="n"/>
      <c r="BP62" s="36" t="n"/>
      <c r="BQ62" s="36" t="n"/>
      <c r="BR62" s="36" t="n"/>
      <c r="BS62" s="36" t="n"/>
      <c r="BT62" s="36" t="n"/>
      <c r="BU62" s="36" t="n"/>
      <c r="BV62" s="36" t="n"/>
      <c r="BW62" s="36" t="n"/>
      <c r="BX62" s="36" t="n"/>
      <c r="BY62" s="36" t="n"/>
      <c r="BZ62" s="36" t="n"/>
      <c r="CA62" s="36" t="n"/>
      <c r="CB62" s="36" t="n"/>
      <c r="CC62" s="36" t="n"/>
      <c r="CD62" s="36" t="n"/>
      <c r="CE62" s="36" t="n"/>
      <c r="CF62" s="36" t="n"/>
      <c r="CG62" s="36" t="n"/>
      <c r="CH62" s="36" t="n"/>
      <c r="CI62" s="36" t="n"/>
      <c r="CJ62" s="36" t="n"/>
      <c r="CK62" s="36" t="n"/>
    </row>
    <row r="63" ht="34" customHeight="1">
      <c r="A63" s="38" t="n"/>
      <c r="B63" s="35" t="inlineStr"/>
      <c r="C63" s="26">
        <f>IF(TRIM($B63)="","",IFERROR(INDEX(People!$A$2:$A$199,MATCH(TRIM($B63),People!$B$2:$B$199,0)),IFERROR(INDEX(Teams!$A$2:$A$9,MATCH(TRIM($B63),Teams!$B$2:$B$9,0)),"?? CHECK NAME")))</f>
        <v/>
      </c>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c r="AF63" s="36" t="n"/>
      <c r="AG63" s="36" t="n"/>
      <c r="AH63" s="36" t="n"/>
      <c r="AI63" s="36" t="n"/>
      <c r="AJ63" s="36" t="n"/>
      <c r="AK63" s="36" t="n"/>
      <c r="AL63" s="36" t="n"/>
      <c r="AM63" s="36" t="n"/>
      <c r="AN63" s="36" t="n"/>
      <c r="AO63" s="36" t="n"/>
      <c r="AP63" s="36" t="n"/>
      <c r="AQ63" s="36" t="n"/>
      <c r="AR63" s="36" t="n"/>
      <c r="AS63" s="36" t="n"/>
      <c r="AT63" s="36" t="n"/>
      <c r="AU63" s="36" t="n"/>
      <c r="AV63" s="36" t="n"/>
      <c r="AW63" s="36" t="n"/>
      <c r="AX63" s="36" t="n"/>
      <c r="AY63" s="36" t="n"/>
      <c r="AZ63" s="36" t="n"/>
      <c r="BA63" s="36" t="n"/>
      <c r="BB63" s="36" t="n"/>
      <c r="BC63" s="36" t="n"/>
      <c r="BD63" s="36" t="n"/>
      <c r="BE63" s="36" t="n"/>
      <c r="BF63" s="36" t="n"/>
      <c r="BG63" s="36" t="n"/>
      <c r="BH63" s="36" t="n"/>
      <c r="BI63" s="36" t="n"/>
      <c r="BJ63" s="36" t="n"/>
      <c r="BK63" s="36" t="n"/>
      <c r="BL63" s="36" t="n"/>
      <c r="BM63" s="36" t="n"/>
      <c r="BN63" s="36" t="n"/>
      <c r="BO63" s="36" t="n"/>
      <c r="BP63" s="36" t="n"/>
      <c r="BQ63" s="36" t="n"/>
      <c r="BR63" s="36" t="n"/>
      <c r="BS63" s="36" t="n"/>
      <c r="BT63" s="36" t="n"/>
      <c r="BU63" s="36" t="n"/>
      <c r="BV63" s="36" t="n"/>
      <c r="BW63" s="36" t="n"/>
      <c r="BX63" s="36" t="n"/>
      <c r="BY63" s="36" t="n"/>
      <c r="BZ63" s="36" t="n"/>
      <c r="CA63" s="36" t="n"/>
      <c r="CB63" s="36" t="n"/>
      <c r="CC63" s="36" t="n"/>
      <c r="CD63" s="36" t="n"/>
      <c r="CE63" s="36" t="n"/>
      <c r="CF63" s="36" t="n"/>
      <c r="CG63" s="36" t="n"/>
      <c r="CH63" s="36" t="n"/>
      <c r="CI63" s="36" t="n"/>
      <c r="CJ63" s="36" t="n"/>
      <c r="CK63" s="36" t="n"/>
    </row>
    <row r="64" ht="34" customHeight="1">
      <c r="A64" s="16" t="inlineStr">
        <is>
          <t>FreshReps</t>
        </is>
      </c>
      <c r="B64" s="35" t="inlineStr"/>
      <c r="C64" s="26">
        <f>IF(TRIM($B64)="","",IFERROR(INDEX(People!$A$2:$A$199,MATCH(TRIM($B64),People!$B$2:$B$199,0)),IFERROR(INDEX(Teams!$A$2:$A$9,MATCH(TRIM($B64),Teams!$B$2:$B$9,0)),"?? CHECK NAME")))</f>
        <v/>
      </c>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c r="AF64" s="36" t="n"/>
      <c r="AG64" s="36" t="n"/>
      <c r="AH64" s="36" t="n"/>
      <c r="AI64" s="36" t="n"/>
      <c r="AJ64" s="36" t="n"/>
      <c r="AK64" s="36" t="n"/>
      <c r="AL64" s="36" t="n"/>
      <c r="AM64" s="36" t="n"/>
      <c r="AN64" s="36" t="n"/>
      <c r="AO64" s="36" t="n"/>
      <c r="AP64" s="36" t="n"/>
      <c r="AQ64" s="36" t="n"/>
      <c r="AR64" s="36" t="n"/>
      <c r="AS64" s="36" t="n"/>
      <c r="AT64" s="36" t="n"/>
      <c r="AU64" s="36" t="n"/>
      <c r="AV64" s="36" t="n"/>
      <c r="AW64" s="36" t="n"/>
      <c r="AX64" s="36" t="n"/>
      <c r="AY64" s="36" t="n"/>
      <c r="AZ64" s="36" t="n"/>
      <c r="BA64" s="36" t="n"/>
      <c r="BB64" s="36" t="n"/>
      <c r="BC64" s="36" t="n"/>
      <c r="BD64" s="36" t="n"/>
      <c r="BE64" s="36" t="n"/>
      <c r="BF64" s="36" t="n"/>
      <c r="BG64" s="36" t="n"/>
      <c r="BH64" s="36" t="n"/>
      <c r="BI64" s="36" t="n"/>
      <c r="BJ64" s="36" t="n"/>
      <c r="BK64" s="36" t="n"/>
      <c r="BL64" s="36" t="n"/>
      <c r="BM64" s="36" t="n"/>
      <c r="BN64" s="36" t="n"/>
      <c r="BO64" s="36" t="n"/>
      <c r="BP64" s="36" t="n"/>
      <c r="BQ64" s="36" t="n"/>
      <c r="BR64" s="36" t="n"/>
      <c r="BS64" s="36" t="n"/>
      <c r="BT64" s="36" t="n"/>
      <c r="BU64" s="36" t="n"/>
      <c r="BV64" s="36" t="n"/>
      <c r="BW64" s="36" t="n"/>
      <c r="BX64" s="36" t="n"/>
      <c r="BY64" s="36" t="n"/>
      <c r="BZ64" s="36" t="n"/>
      <c r="CA64" s="36" t="n"/>
      <c r="CB64" s="36" t="n"/>
      <c r="CC64" s="36" t="n"/>
      <c r="CD64" s="36" t="n"/>
      <c r="CE64" s="36" t="n"/>
      <c r="CF64" s="36" t="n"/>
      <c r="CG64" s="36" t="n"/>
      <c r="CH64" s="36" t="n"/>
      <c r="CI64" s="36" t="n"/>
      <c r="CJ64" s="36" t="n"/>
      <c r="CK64" s="36" t="n"/>
    </row>
    <row r="65" ht="34" customHeight="1">
      <c r="A65" s="37" t="n"/>
      <c r="B65" s="35" t="inlineStr"/>
      <c r="C65" s="26">
        <f>IF(TRIM($B65)="","",IFERROR(INDEX(People!$A$2:$A$199,MATCH(TRIM($B65),People!$B$2:$B$199,0)),IFERROR(INDEX(Teams!$A$2:$A$9,MATCH(TRIM($B65),Teams!$B$2:$B$9,0)),"?? CHECK NAME")))</f>
        <v/>
      </c>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c r="AF65" s="36" t="n"/>
      <c r="AG65" s="36" t="n"/>
      <c r="AH65" s="36" t="n"/>
      <c r="AI65" s="36" t="n"/>
      <c r="AJ65" s="36" t="n"/>
      <c r="AK65" s="36" t="n"/>
      <c r="AL65" s="36" t="n"/>
      <c r="AM65" s="36" t="n"/>
      <c r="AN65" s="36" t="n"/>
      <c r="AO65" s="36" t="n"/>
      <c r="AP65" s="36" t="n"/>
      <c r="AQ65" s="36" t="n"/>
      <c r="AR65" s="36" t="n"/>
      <c r="AS65" s="36" t="n"/>
      <c r="AT65" s="36" t="n"/>
      <c r="AU65" s="36" t="n"/>
      <c r="AV65" s="36" t="n"/>
      <c r="AW65" s="36" t="n"/>
      <c r="AX65" s="36" t="n"/>
      <c r="AY65" s="36" t="n"/>
      <c r="AZ65" s="36" t="n"/>
      <c r="BA65" s="36" t="n"/>
      <c r="BB65" s="36" t="n"/>
      <c r="BC65" s="36" t="n"/>
      <c r="BD65" s="36" t="n"/>
      <c r="BE65" s="36" t="n"/>
      <c r="BF65" s="36" t="n"/>
      <c r="BG65" s="36" t="n"/>
      <c r="BH65" s="36" t="n"/>
      <c r="BI65" s="36" t="n"/>
      <c r="BJ65" s="36" t="n"/>
      <c r="BK65" s="36" t="n"/>
      <c r="BL65" s="36" t="n"/>
      <c r="BM65" s="36" t="n"/>
      <c r="BN65" s="36" t="n"/>
      <c r="BO65" s="36" t="n"/>
      <c r="BP65" s="36" t="n"/>
      <c r="BQ65" s="36" t="n"/>
      <c r="BR65" s="36" t="n"/>
      <c r="BS65" s="36" t="n"/>
      <c r="BT65" s="36" t="n"/>
      <c r="BU65" s="36" t="n"/>
      <c r="BV65" s="36" t="n"/>
      <c r="BW65" s="36" t="n"/>
      <c r="BX65" s="36" t="n"/>
      <c r="BY65" s="36" t="n"/>
      <c r="BZ65" s="36" t="n"/>
      <c r="CA65" s="36" t="n"/>
      <c r="CB65" s="36" t="n"/>
      <c r="CC65" s="36" t="n"/>
      <c r="CD65" s="36" t="n"/>
      <c r="CE65" s="36" t="n"/>
      <c r="CF65" s="36" t="n"/>
      <c r="CG65" s="36" t="n"/>
      <c r="CH65" s="36" t="n"/>
      <c r="CI65" s="36" t="n"/>
      <c r="CJ65" s="36" t="n"/>
      <c r="CK65" s="36" t="n"/>
    </row>
    <row r="66" ht="34" customHeight="1">
      <c r="A66" s="37" t="n"/>
      <c r="B66" s="35" t="inlineStr"/>
      <c r="C66" s="26">
        <f>IF(TRIM($B66)="","",IFERROR(INDEX(People!$A$2:$A$199,MATCH(TRIM($B66),People!$B$2:$B$199,0)),IFERROR(INDEX(Teams!$A$2:$A$9,MATCH(TRIM($B66),Teams!$B$2:$B$9,0)),"?? CHECK NAME")))</f>
        <v/>
      </c>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c r="AF66" s="36" t="n"/>
      <c r="AG66" s="36" t="n"/>
      <c r="AH66" s="36" t="n"/>
      <c r="AI66" s="36" t="n"/>
      <c r="AJ66" s="36" t="n"/>
      <c r="AK66" s="36" t="n"/>
      <c r="AL66" s="36" t="n"/>
      <c r="AM66" s="36" t="n"/>
      <c r="AN66" s="36" t="n"/>
      <c r="AO66" s="36" t="n"/>
      <c r="AP66" s="36" t="n"/>
      <c r="AQ66" s="36" t="n"/>
      <c r="AR66" s="36" t="n"/>
      <c r="AS66" s="36" t="n"/>
      <c r="AT66" s="36" t="n"/>
      <c r="AU66" s="36" t="n"/>
      <c r="AV66" s="36" t="n"/>
      <c r="AW66" s="36" t="n"/>
      <c r="AX66" s="36" t="n"/>
      <c r="AY66" s="36" t="n"/>
      <c r="AZ66" s="36" t="n"/>
      <c r="BA66" s="36" t="n"/>
      <c r="BB66" s="36" t="n"/>
      <c r="BC66" s="36" t="n"/>
      <c r="BD66" s="36" t="n"/>
      <c r="BE66" s="36" t="n"/>
      <c r="BF66" s="36" t="n"/>
      <c r="BG66" s="36" t="n"/>
      <c r="BH66" s="36" t="n"/>
      <c r="BI66" s="36" t="n"/>
      <c r="BJ66" s="36" t="n"/>
      <c r="BK66" s="36" t="n"/>
      <c r="BL66" s="36" t="n"/>
      <c r="BM66" s="36" t="n"/>
      <c r="BN66" s="36" t="n"/>
      <c r="BO66" s="36" t="n"/>
      <c r="BP66" s="36" t="n"/>
      <c r="BQ66" s="36" t="n"/>
      <c r="BR66" s="36" t="n"/>
      <c r="BS66" s="36" t="n"/>
      <c r="BT66" s="36" t="n"/>
      <c r="BU66" s="36" t="n"/>
      <c r="BV66" s="36" t="n"/>
      <c r="BW66" s="36" t="n"/>
      <c r="BX66" s="36" t="n"/>
      <c r="BY66" s="36" t="n"/>
      <c r="BZ66" s="36" t="n"/>
      <c r="CA66" s="36" t="n"/>
      <c r="CB66" s="36" t="n"/>
      <c r="CC66" s="36" t="n"/>
      <c r="CD66" s="36" t="n"/>
      <c r="CE66" s="36" t="n"/>
      <c r="CF66" s="36" t="n"/>
      <c r="CG66" s="36" t="n"/>
      <c r="CH66" s="36" t="n"/>
      <c r="CI66" s="36" t="n"/>
      <c r="CJ66" s="36" t="n"/>
      <c r="CK66" s="36" t="n"/>
    </row>
    <row r="67" ht="34" customHeight="1">
      <c r="A67" s="37" t="n"/>
      <c r="B67" s="35" t="inlineStr"/>
      <c r="C67" s="26">
        <f>IF(TRIM($B67)="","",IFERROR(INDEX(People!$A$2:$A$199,MATCH(TRIM($B67),People!$B$2:$B$199,0)),IFERROR(INDEX(Teams!$A$2:$A$9,MATCH(TRIM($B67),Teams!$B$2:$B$9,0)),"?? CHECK NAME")))</f>
        <v/>
      </c>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c r="AF67" s="36" t="n"/>
      <c r="AG67" s="36" t="n"/>
      <c r="AH67" s="36" t="n"/>
      <c r="AI67" s="36" t="n"/>
      <c r="AJ67" s="36" t="n"/>
      <c r="AK67" s="36" t="n"/>
      <c r="AL67" s="36" t="n"/>
      <c r="AM67" s="36" t="n"/>
      <c r="AN67" s="36" t="n"/>
      <c r="AO67" s="36" t="n"/>
      <c r="AP67" s="36" t="n"/>
      <c r="AQ67" s="36" t="n"/>
      <c r="AR67" s="36" t="n"/>
      <c r="AS67" s="36" t="n"/>
      <c r="AT67" s="36" t="n"/>
      <c r="AU67" s="36" t="n"/>
      <c r="AV67" s="36" t="n"/>
      <c r="AW67" s="36" t="n"/>
      <c r="AX67" s="36" t="n"/>
      <c r="AY67" s="36" t="n"/>
      <c r="AZ67" s="36" t="n"/>
      <c r="BA67" s="36" t="n"/>
      <c r="BB67" s="36" t="n"/>
      <c r="BC67" s="36" t="n"/>
      <c r="BD67" s="36" t="n"/>
      <c r="BE67" s="36" t="n"/>
      <c r="BF67" s="36" t="n"/>
      <c r="BG67" s="36" t="n"/>
      <c r="BH67" s="36" t="n"/>
      <c r="BI67" s="36" t="n"/>
      <c r="BJ67" s="36" t="n"/>
      <c r="BK67" s="36" t="n"/>
      <c r="BL67" s="36" t="n"/>
      <c r="BM67" s="36" t="n"/>
      <c r="BN67" s="36" t="n"/>
      <c r="BO67" s="36" t="n"/>
      <c r="BP67" s="36" t="n"/>
      <c r="BQ67" s="36" t="n"/>
      <c r="BR67" s="36" t="n"/>
      <c r="BS67" s="36" t="n"/>
      <c r="BT67" s="36" t="n"/>
      <c r="BU67" s="36" t="n"/>
      <c r="BV67" s="36" t="n"/>
      <c r="BW67" s="36" t="n"/>
      <c r="BX67" s="36" t="n"/>
      <c r="BY67" s="36" t="n"/>
      <c r="BZ67" s="36" t="n"/>
      <c r="CA67" s="36" t="n"/>
      <c r="CB67" s="36" t="n"/>
      <c r="CC67" s="36" t="n"/>
      <c r="CD67" s="36" t="n"/>
      <c r="CE67" s="36" t="n"/>
      <c r="CF67" s="36" t="n"/>
      <c r="CG67" s="36" t="n"/>
      <c r="CH67" s="36" t="n"/>
      <c r="CI67" s="36" t="n"/>
      <c r="CJ67" s="36" t="n"/>
      <c r="CK67" s="36" t="n"/>
    </row>
    <row r="68" ht="34" customHeight="1">
      <c r="A68" s="38" t="n"/>
      <c r="B68" s="35" t="inlineStr"/>
      <c r="C68" s="26">
        <f>IF(TRIM($B68)="","",IFERROR(INDEX(People!$A$2:$A$199,MATCH(TRIM($B68),People!$B$2:$B$199,0)),IFERROR(INDEX(Teams!$A$2:$A$9,MATCH(TRIM($B68),Teams!$B$2:$B$9,0)),"?? CHECK NAME")))</f>
        <v/>
      </c>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c r="AF68" s="36" t="n"/>
      <c r="AG68" s="36" t="n"/>
      <c r="AH68" s="36" t="n"/>
      <c r="AI68" s="36" t="n"/>
      <c r="AJ68" s="36" t="n"/>
      <c r="AK68" s="36" t="n"/>
      <c r="AL68" s="36" t="n"/>
      <c r="AM68" s="36" t="n"/>
      <c r="AN68" s="36" t="n"/>
      <c r="AO68" s="36" t="n"/>
      <c r="AP68" s="36" t="n"/>
      <c r="AQ68" s="36" t="n"/>
      <c r="AR68" s="36" t="n"/>
      <c r="AS68" s="36" t="n"/>
      <c r="AT68" s="36" t="n"/>
      <c r="AU68" s="36" t="n"/>
      <c r="AV68" s="36" t="n"/>
      <c r="AW68" s="36" t="n"/>
      <c r="AX68" s="36" t="n"/>
      <c r="AY68" s="36" t="n"/>
      <c r="AZ68" s="36" t="n"/>
      <c r="BA68" s="36" t="n"/>
      <c r="BB68" s="36" t="n"/>
      <c r="BC68" s="36" t="n"/>
      <c r="BD68" s="36" t="n"/>
      <c r="BE68" s="36" t="n"/>
      <c r="BF68" s="36" t="n"/>
      <c r="BG68" s="36" t="n"/>
      <c r="BH68" s="36" t="n"/>
      <c r="BI68" s="36" t="n"/>
      <c r="BJ68" s="36" t="n"/>
      <c r="BK68" s="36" t="n"/>
      <c r="BL68" s="36" t="n"/>
      <c r="BM68" s="36" t="n"/>
      <c r="BN68" s="36" t="n"/>
      <c r="BO68" s="36" t="n"/>
      <c r="BP68" s="36" t="n"/>
      <c r="BQ68" s="36" t="n"/>
      <c r="BR68" s="36" t="n"/>
      <c r="BS68" s="36" t="n"/>
      <c r="BT68" s="36" t="n"/>
      <c r="BU68" s="36" t="n"/>
      <c r="BV68" s="36" t="n"/>
      <c r="BW68" s="36" t="n"/>
      <c r="BX68" s="36" t="n"/>
      <c r="BY68" s="36" t="n"/>
      <c r="BZ68" s="36" t="n"/>
      <c r="CA68" s="36" t="n"/>
      <c r="CB68" s="36" t="n"/>
      <c r="CC68" s="36" t="n"/>
      <c r="CD68" s="36" t="n"/>
      <c r="CE68" s="36" t="n"/>
      <c r="CF68" s="36" t="n"/>
      <c r="CG68" s="36" t="n"/>
      <c r="CH68" s="36" t="n"/>
      <c r="CI68" s="36" t="n"/>
      <c r="CJ68" s="36" t="n"/>
      <c r="CK68" s="36" t="n"/>
    </row>
    <row r="69" ht="18" customHeight="1">
      <c r="A69" s="32" t="inlineStr">
        <is>
          <t>SHOW ORDER SLOTS  —  fill Show Order on the Teams tab and these resolve to teams</t>
        </is>
      </c>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c r="AA69" s="33" t="n"/>
      <c r="AB69" s="33" t="n"/>
      <c r="AC69" s="33" t="n"/>
      <c r="AD69" s="33" t="n"/>
      <c r="AE69" s="33" t="n"/>
      <c r="AF69" s="33" t="n"/>
      <c r="AG69" s="33" t="n"/>
      <c r="AH69" s="33" t="n"/>
      <c r="AI69" s="33" t="n"/>
      <c r="AJ69" s="33" t="n"/>
      <c r="AK69" s="33" t="n"/>
      <c r="AL69" s="33" t="n"/>
      <c r="AM69" s="33" t="n"/>
      <c r="AN69" s="33" t="n"/>
      <c r="AO69" s="33" t="n"/>
      <c r="AP69" s="33" t="n"/>
      <c r="AQ69" s="33" t="n"/>
      <c r="AR69" s="33" t="n"/>
      <c r="AS69" s="33" t="n"/>
      <c r="AT69" s="33" t="n"/>
      <c r="AU69" s="33" t="n"/>
      <c r="AV69" s="33" t="n"/>
      <c r="AW69" s="33" t="n"/>
      <c r="AX69" s="33" t="n"/>
      <c r="AY69" s="33" t="n"/>
      <c r="AZ69" s="33" t="n"/>
      <c r="BA69" s="33" t="n"/>
      <c r="BB69" s="33" t="n"/>
      <c r="BC69" s="33" t="n"/>
      <c r="BD69" s="33" t="n"/>
      <c r="BE69" s="33" t="n"/>
      <c r="BF69" s="33" t="n"/>
      <c r="BG69" s="33" t="n"/>
      <c r="BH69" s="33" t="n"/>
      <c r="BI69" s="33" t="n"/>
      <c r="BJ69" s="33" t="n"/>
      <c r="BK69" s="33" t="n"/>
      <c r="BL69" s="33" t="n"/>
      <c r="BM69" s="33" t="n"/>
      <c r="BN69" s="33" t="n"/>
      <c r="BO69" s="33" t="n"/>
      <c r="BP69" s="33" t="n"/>
      <c r="BQ69" s="33" t="n"/>
      <c r="BR69" s="33" t="n"/>
      <c r="BS69" s="33" t="n"/>
      <c r="BT69" s="33" t="n"/>
      <c r="BU69" s="33" t="n"/>
      <c r="BV69" s="33" t="n"/>
      <c r="BW69" s="33" t="n"/>
      <c r="BX69" s="33" t="n"/>
      <c r="BY69" s="33" t="n"/>
      <c r="BZ69" s="33" t="n"/>
      <c r="CA69" s="33" t="n"/>
      <c r="CB69" s="33" t="n"/>
      <c r="CC69" s="33" t="n"/>
      <c r="CD69" s="33" t="n"/>
      <c r="CE69" s="33" t="n"/>
      <c r="CF69" s="33" t="n"/>
      <c r="CG69" s="33" t="n"/>
      <c r="CH69" s="33" t="n"/>
      <c r="CI69" s="33" t="n"/>
      <c r="CJ69" s="33" t="n"/>
      <c r="CK69" s="34" t="n"/>
    </row>
    <row r="70" ht="34" customHeight="1">
      <c r="A70" s="16">
        <f>IFERROR(INDEX(Teams!$B$2:$B$9,MATCH($C70,Teams!$A$2:$A$9,0)),"(not drawn)")</f>
        <v/>
      </c>
      <c r="B70" s="17" t="inlineStr">
        <is>
          <t>Show Order 1</t>
        </is>
      </c>
      <c r="C70" s="26">
        <f>IF(TRIM($B70)="","",IFERROR(INDEX(Teams!$A$2:$A$9,MATCH(IFERROR(VALUE(TRIM(SUBSTITUTE(UPPER(TRIM($B70)),"SHOW ORDER",""))),-1),Teams!$D$2:$D$9,0)),"(not drawn)"))</f>
        <v/>
      </c>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c r="AP70" s="40" t="n"/>
      <c r="AQ70" s="40" t="n"/>
      <c r="AR70" s="40" t="n"/>
      <c r="AS70" s="40" t="n"/>
      <c r="AT70" s="40" t="n"/>
      <c r="AU70" s="40" t="n"/>
      <c r="AV70" s="40" t="n"/>
      <c r="AW70" s="40" t="n"/>
      <c r="AX70" s="40" t="n"/>
      <c r="AY70" s="40" t="n"/>
      <c r="AZ70" s="40" t="n"/>
      <c r="BA70" s="40" t="n"/>
      <c r="BB70" s="40" t="n"/>
      <c r="BC70" s="40" t="n"/>
      <c r="BD70" s="40" t="n"/>
      <c r="BE70" s="40" t="n"/>
      <c r="BF70" s="40" t="n"/>
      <c r="BG70" s="40" t="n"/>
      <c r="BH70" s="40" t="n"/>
      <c r="BI70" s="40" t="n"/>
      <c r="BJ70" s="40" t="n"/>
      <c r="BK70" s="40" t="n"/>
      <c r="BL70" s="40" t="n"/>
      <c r="BM70" s="40" t="n"/>
      <c r="BN70" s="40" t="n"/>
      <c r="BO70" s="40" t="n"/>
      <c r="BP70" s="40" t="n"/>
      <c r="BQ70" s="40" t="n"/>
      <c r="BR70" s="40" t="n"/>
      <c r="BS70" s="40" t="n"/>
      <c r="BT70" s="40" t="n"/>
      <c r="BU70" s="40" t="n"/>
      <c r="BV70" s="40" t="n"/>
      <c r="BW70" s="40" t="n"/>
      <c r="BX70" s="40" t="n"/>
      <c r="BY70" s="40" t="n"/>
      <c r="BZ70" s="40" t="n"/>
      <c r="CA70" s="40" t="n"/>
      <c r="CB70" s="40" t="n"/>
      <c r="CC70" s="40" t="n"/>
      <c r="CD70" s="40" t="n"/>
      <c r="CE70" s="40" t="n"/>
      <c r="CF70" s="40" t="n"/>
      <c r="CG70" s="40" t="n"/>
      <c r="CH70" s="40" t="n"/>
      <c r="CI70" s="40" t="n"/>
      <c r="CJ70" s="40" t="n"/>
      <c r="CK70" s="40" t="n"/>
    </row>
    <row r="71" ht="34" customHeight="1">
      <c r="A71" s="16">
        <f>IFERROR(INDEX(Teams!$B$2:$B$9,MATCH($C71,Teams!$A$2:$A$9,0)),"(not drawn)")</f>
        <v/>
      </c>
      <c r="B71" s="17" t="inlineStr">
        <is>
          <t>Show Order 2</t>
        </is>
      </c>
      <c r="C71" s="26">
        <f>IF(TRIM($B71)="","",IFERROR(INDEX(Teams!$A$2:$A$9,MATCH(IFERROR(VALUE(TRIM(SUBSTITUTE(UPPER(TRIM($B71)),"SHOW ORDER",""))),-1),Teams!$D$2:$D$9,0)),"(not drawn)"))</f>
        <v/>
      </c>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c r="AP71" s="40" t="n"/>
      <c r="AQ71" s="40" t="n"/>
      <c r="AR71" s="40" t="n"/>
      <c r="AS71" s="40" t="n"/>
      <c r="AT71" s="40" t="n"/>
      <c r="AU71" s="40" t="n"/>
      <c r="AV71" s="40" t="n"/>
      <c r="AW71" s="40" t="n"/>
      <c r="AX71" s="40" t="n"/>
      <c r="AY71" s="40" t="n"/>
      <c r="AZ71" s="40" t="n"/>
      <c r="BA71" s="40" t="n"/>
      <c r="BB71" s="40" t="n"/>
      <c r="BC71" s="40" t="n"/>
      <c r="BD71" s="40" t="n"/>
      <c r="BE71" s="40" t="n"/>
      <c r="BF71" s="40" t="n"/>
      <c r="BG71" s="40" t="n"/>
      <c r="BH71" s="40" t="n"/>
      <c r="BI71" s="40" t="n"/>
      <c r="BJ71" s="40" t="n"/>
      <c r="BK71" s="40" t="n"/>
      <c r="BL71" s="40" t="n"/>
      <c r="BM71" s="40" t="n"/>
      <c r="BN71" s="40" t="n"/>
      <c r="BO71" s="40" t="n"/>
      <c r="BP71" s="40" t="n"/>
      <c r="BQ71" s="40" t="n"/>
      <c r="BR71" s="40" t="n"/>
      <c r="BS71" s="40" t="n"/>
      <c r="BT71" s="40" t="n"/>
      <c r="BU71" s="40" t="n"/>
      <c r="BV71" s="40" t="n"/>
      <c r="BW71" s="40" t="n"/>
      <c r="BX71" s="40" t="n"/>
      <c r="BY71" s="40" t="n"/>
      <c r="BZ71" s="40" t="n"/>
      <c r="CA71" s="40" t="n"/>
      <c r="CB71" s="40" t="n"/>
      <c r="CC71" s="40" t="n"/>
      <c r="CD71" s="40" t="n"/>
      <c r="CE71" s="40" t="n"/>
      <c r="CF71" s="40" t="n"/>
      <c r="CG71" s="40" t="n"/>
      <c r="CH71" s="40" t="n"/>
      <c r="CI71" s="40" t="n"/>
      <c r="CJ71" s="40" t="n"/>
      <c r="CK71" s="40" t="n"/>
    </row>
    <row r="72" ht="34" customHeight="1">
      <c r="A72" s="16">
        <f>IFERROR(INDEX(Teams!$B$2:$B$9,MATCH($C72,Teams!$A$2:$A$9,0)),"(not drawn)")</f>
        <v/>
      </c>
      <c r="B72" s="17" t="inlineStr">
        <is>
          <t>Show Order 3</t>
        </is>
      </c>
      <c r="C72" s="26">
        <f>IF(TRIM($B72)="","",IFERROR(INDEX(Teams!$A$2:$A$9,MATCH(IFERROR(VALUE(TRIM(SUBSTITUTE(UPPER(TRIM($B72)),"SHOW ORDER",""))),-1),Teams!$D$2:$D$9,0)),"(not drawn)"))</f>
        <v/>
      </c>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c r="AP72" s="40" t="n"/>
      <c r="AQ72" s="40" t="n"/>
      <c r="AR72" s="40" t="n"/>
      <c r="AS72" s="40" t="n"/>
      <c r="AT72" s="40" t="n"/>
      <c r="AU72" s="40" t="n"/>
      <c r="AV72" s="40" t="n"/>
      <c r="AW72" s="40" t="n"/>
      <c r="AX72" s="40" t="n"/>
      <c r="AY72" s="40" t="n"/>
      <c r="AZ72" s="40" t="n"/>
      <c r="BA72" s="40" t="n"/>
      <c r="BB72" s="40" t="n"/>
      <c r="BC72" s="40" t="n"/>
      <c r="BD72" s="40" t="n"/>
      <c r="BE72" s="40" t="n"/>
      <c r="BF72" s="40" t="n"/>
      <c r="BG72" s="40" t="n"/>
      <c r="BH72" s="40" t="n"/>
      <c r="BI72" s="40" t="n"/>
      <c r="BJ72" s="40" t="n"/>
      <c r="BK72" s="40" t="n"/>
      <c r="BL72" s="40" t="n"/>
      <c r="BM72" s="40" t="n"/>
      <c r="BN72" s="40" t="n"/>
      <c r="BO72" s="40" t="n"/>
      <c r="BP72" s="40" t="n"/>
      <c r="BQ72" s="40" t="n"/>
      <c r="BR72" s="40" t="n"/>
      <c r="BS72" s="40" t="n"/>
      <c r="BT72" s="40" t="n"/>
      <c r="BU72" s="40" t="n"/>
      <c r="BV72" s="40" t="n"/>
      <c r="BW72" s="40" t="n"/>
      <c r="BX72" s="40" t="n"/>
      <c r="BY72" s="40" t="n"/>
      <c r="BZ72" s="40" t="n"/>
      <c r="CA72" s="40" t="n"/>
      <c r="CB72" s="40" t="n"/>
      <c r="CC72" s="40" t="n"/>
      <c r="CD72" s="40" t="n"/>
      <c r="CE72" s="40" t="n"/>
      <c r="CF72" s="40" t="n"/>
      <c r="CG72" s="40" t="n"/>
      <c r="CH72" s="40" t="n"/>
      <c r="CI72" s="40" t="n"/>
      <c r="CJ72" s="40" t="n"/>
      <c r="CK72" s="40" t="n"/>
    </row>
    <row r="73" ht="34" customHeight="1">
      <c r="A73" s="16">
        <f>IFERROR(INDEX(Teams!$B$2:$B$9,MATCH($C73,Teams!$A$2:$A$9,0)),"(not drawn)")</f>
        <v/>
      </c>
      <c r="B73" s="17" t="inlineStr">
        <is>
          <t>Show Order 4</t>
        </is>
      </c>
      <c r="C73" s="26">
        <f>IF(TRIM($B73)="","",IFERROR(INDEX(Teams!$A$2:$A$9,MATCH(IFERROR(VALUE(TRIM(SUBSTITUTE(UPPER(TRIM($B73)),"SHOW ORDER",""))),-1),Teams!$D$2:$D$9,0)),"(not drawn)"))</f>
        <v/>
      </c>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c r="AP73" s="40" t="n"/>
      <c r="AQ73" s="40" t="n"/>
      <c r="AR73" s="40" t="n"/>
      <c r="AS73" s="40" t="n"/>
      <c r="AT73" s="40" t="n"/>
      <c r="AU73" s="40" t="n"/>
      <c r="AV73" s="40" t="n"/>
      <c r="AW73" s="40" t="n"/>
      <c r="AX73" s="40" t="n"/>
      <c r="AY73" s="40" t="n"/>
      <c r="AZ73" s="40" t="n"/>
      <c r="BA73" s="40" t="n"/>
      <c r="BB73" s="40" t="n"/>
      <c r="BC73" s="40" t="n"/>
      <c r="BD73" s="40" t="n"/>
      <c r="BE73" s="40" t="n"/>
      <c r="BF73" s="40" t="n"/>
      <c r="BG73" s="40" t="n"/>
      <c r="BH73" s="40" t="n"/>
      <c r="BI73" s="40" t="n"/>
      <c r="BJ73" s="40" t="n"/>
      <c r="BK73" s="40" t="n"/>
      <c r="BL73" s="40" t="n"/>
      <c r="BM73" s="40" t="n"/>
      <c r="BN73" s="40" t="n"/>
      <c r="BO73" s="40" t="n"/>
      <c r="BP73" s="40" t="n"/>
      <c r="BQ73" s="40" t="n"/>
      <c r="BR73" s="40" t="n"/>
      <c r="BS73" s="40" t="n"/>
      <c r="BT73" s="40" t="n"/>
      <c r="BU73" s="40" t="n"/>
      <c r="BV73" s="40" t="n"/>
      <c r="BW73" s="40" t="n"/>
      <c r="BX73" s="40" t="n"/>
      <c r="BY73" s="40" t="n"/>
      <c r="BZ73" s="40" t="n"/>
      <c r="CA73" s="40" t="n"/>
      <c r="CB73" s="40" t="n"/>
      <c r="CC73" s="40" t="n"/>
      <c r="CD73" s="40" t="n"/>
      <c r="CE73" s="40" t="n"/>
      <c r="CF73" s="40" t="n"/>
      <c r="CG73" s="40" t="n"/>
      <c r="CH73" s="40" t="n"/>
      <c r="CI73" s="40" t="n"/>
      <c r="CJ73" s="40" t="n"/>
      <c r="CK73" s="40" t="n"/>
    </row>
    <row r="74" ht="34" customHeight="1">
      <c r="A74" s="16">
        <f>IFERROR(INDEX(Teams!$B$2:$B$9,MATCH($C74,Teams!$A$2:$A$9,0)),"(not drawn)")</f>
        <v/>
      </c>
      <c r="B74" s="17" t="inlineStr">
        <is>
          <t>Show Order 5</t>
        </is>
      </c>
      <c r="C74" s="26">
        <f>IF(TRIM($B74)="","",IFERROR(INDEX(Teams!$A$2:$A$9,MATCH(IFERROR(VALUE(TRIM(SUBSTITUTE(UPPER(TRIM($B74)),"SHOW ORDER",""))),-1),Teams!$D$2:$D$9,0)),"(not drawn)"))</f>
        <v/>
      </c>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c r="AP74" s="40" t="n"/>
      <c r="AQ74" s="40" t="n"/>
      <c r="AR74" s="40" t="n"/>
      <c r="AS74" s="40" t="n"/>
      <c r="AT74" s="40" t="n"/>
      <c r="AU74" s="40" t="n"/>
      <c r="AV74" s="40" t="n"/>
      <c r="AW74" s="40" t="n"/>
      <c r="AX74" s="40" t="n"/>
      <c r="AY74" s="40" t="n"/>
      <c r="AZ74" s="40" t="n"/>
      <c r="BA74" s="40" t="n"/>
      <c r="BB74" s="40" t="n"/>
      <c r="BC74" s="40" t="n"/>
      <c r="BD74" s="40" t="n"/>
      <c r="BE74" s="40" t="n"/>
      <c r="BF74" s="40" t="n"/>
      <c r="BG74" s="40" t="n"/>
      <c r="BH74" s="40" t="n"/>
      <c r="BI74" s="40" t="n"/>
      <c r="BJ74" s="40" t="n"/>
      <c r="BK74" s="40" t="n"/>
      <c r="BL74" s="40" t="n"/>
      <c r="BM74" s="40" t="n"/>
      <c r="BN74" s="40" t="n"/>
      <c r="BO74" s="40" t="n"/>
      <c r="BP74" s="40" t="n"/>
      <c r="BQ74" s="40" t="n"/>
      <c r="BR74" s="40" t="n"/>
      <c r="BS74" s="40" t="n"/>
      <c r="BT74" s="40" t="n"/>
      <c r="BU74" s="40" t="n"/>
      <c r="BV74" s="40" t="n"/>
      <c r="BW74" s="40" t="n"/>
      <c r="BX74" s="40" t="n"/>
      <c r="BY74" s="40" t="n"/>
      <c r="BZ74" s="40" t="n"/>
      <c r="CA74" s="40" t="n"/>
      <c r="CB74" s="40" t="n"/>
      <c r="CC74" s="40" t="n"/>
      <c r="CD74" s="40" t="n"/>
      <c r="CE74" s="40" t="n"/>
      <c r="CF74" s="40" t="n"/>
      <c r="CG74" s="40" t="n"/>
      <c r="CH74" s="40" t="n"/>
      <c r="CI74" s="40" t="n"/>
      <c r="CJ74" s="40" t="n"/>
      <c r="CK74" s="40" t="n"/>
    </row>
    <row r="75" ht="34" customHeight="1">
      <c r="A75" s="16">
        <f>IFERROR(INDEX(Teams!$B$2:$B$9,MATCH($C75,Teams!$A$2:$A$9,0)),"(not drawn)")</f>
        <v/>
      </c>
      <c r="B75" s="17" t="inlineStr">
        <is>
          <t>Show Order 6</t>
        </is>
      </c>
      <c r="C75" s="26">
        <f>IF(TRIM($B75)="","",IFERROR(INDEX(Teams!$A$2:$A$9,MATCH(IFERROR(VALUE(TRIM(SUBSTITUTE(UPPER(TRIM($B75)),"SHOW ORDER",""))),-1),Teams!$D$2:$D$9,0)),"(not drawn)"))</f>
        <v/>
      </c>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c r="AP75" s="40" t="n"/>
      <c r="AQ75" s="40" t="n"/>
      <c r="AR75" s="40" t="n"/>
      <c r="AS75" s="40" t="n"/>
      <c r="AT75" s="40" t="n"/>
      <c r="AU75" s="40" t="n"/>
      <c r="AV75" s="40" t="n"/>
      <c r="AW75" s="40" t="n"/>
      <c r="AX75" s="40" t="n"/>
      <c r="AY75" s="40" t="n"/>
      <c r="AZ75" s="40" t="n"/>
      <c r="BA75" s="40" t="n"/>
      <c r="BB75" s="40" t="n"/>
      <c r="BC75" s="40" t="n"/>
      <c r="BD75" s="40" t="n"/>
      <c r="BE75" s="40" t="n"/>
      <c r="BF75" s="40" t="n"/>
      <c r="BG75" s="40" t="n"/>
      <c r="BH75" s="40" t="n"/>
      <c r="BI75" s="40" t="n"/>
      <c r="BJ75" s="40" t="n"/>
      <c r="BK75" s="40" t="n"/>
      <c r="BL75" s="40" t="n"/>
      <c r="BM75" s="40" t="n"/>
      <c r="BN75" s="40" t="n"/>
      <c r="BO75" s="40" t="n"/>
      <c r="BP75" s="40" t="n"/>
      <c r="BQ75" s="40" t="n"/>
      <c r="BR75" s="40" t="n"/>
      <c r="BS75" s="40" t="n"/>
      <c r="BT75" s="40" t="n"/>
      <c r="BU75" s="40" t="n"/>
      <c r="BV75" s="40" t="n"/>
      <c r="BW75" s="40" t="n"/>
      <c r="BX75" s="40" t="n"/>
      <c r="BY75" s="40" t="n"/>
      <c r="BZ75" s="40" t="n"/>
      <c r="CA75" s="40" t="n"/>
      <c r="CB75" s="40" t="n"/>
      <c r="CC75" s="40" t="n"/>
      <c r="CD75" s="40" t="n"/>
      <c r="CE75" s="40" t="n"/>
      <c r="CF75" s="40" t="n"/>
      <c r="CG75" s="40" t="n"/>
      <c r="CH75" s="40" t="n"/>
      <c r="CI75" s="40" t="n"/>
      <c r="CJ75" s="40" t="n"/>
      <c r="CK75" s="40" t="n"/>
    </row>
    <row r="76" ht="34" customHeight="1">
      <c r="A76" s="16">
        <f>IFERROR(INDEX(Teams!$B$2:$B$9,MATCH($C76,Teams!$A$2:$A$9,0)),"(not drawn)")</f>
        <v/>
      </c>
      <c r="B76" s="17" t="inlineStr">
        <is>
          <t>Show Order 7</t>
        </is>
      </c>
      <c r="C76" s="26">
        <f>IF(TRIM($B76)="","",IFERROR(INDEX(Teams!$A$2:$A$9,MATCH(IFERROR(VALUE(TRIM(SUBSTITUTE(UPPER(TRIM($B76)),"SHOW ORDER",""))),-1),Teams!$D$2:$D$9,0)),"(not drawn)"))</f>
        <v/>
      </c>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c r="AP76" s="40" t="n"/>
      <c r="AQ76" s="40" t="n"/>
      <c r="AR76" s="40" t="n"/>
      <c r="AS76" s="40" t="n"/>
      <c r="AT76" s="40" t="n"/>
      <c r="AU76" s="40" t="n"/>
      <c r="AV76" s="40" t="n"/>
      <c r="AW76" s="40" t="n"/>
      <c r="AX76" s="40" t="n"/>
      <c r="AY76" s="40" t="n"/>
      <c r="AZ76" s="40" t="n"/>
      <c r="BA76" s="40" t="n"/>
      <c r="BB76" s="40" t="n"/>
      <c r="BC76" s="40" t="n"/>
      <c r="BD76" s="40" t="n"/>
      <c r="BE76" s="40" t="n"/>
      <c r="BF76" s="40" t="n"/>
      <c r="BG76" s="40" t="n"/>
      <c r="BH76" s="40" t="n"/>
      <c r="BI76" s="40" t="n"/>
      <c r="BJ76" s="40" t="n"/>
      <c r="BK76" s="40" t="n"/>
      <c r="BL76" s="40" t="n"/>
      <c r="BM76" s="40" t="n"/>
      <c r="BN76" s="40" t="n"/>
      <c r="BO76" s="40" t="n"/>
      <c r="BP76" s="40" t="n"/>
      <c r="BQ76" s="40" t="n"/>
      <c r="BR76" s="40" t="n"/>
      <c r="BS76" s="40" t="n"/>
      <c r="BT76" s="40" t="n"/>
      <c r="BU76" s="40" t="n"/>
      <c r="BV76" s="40" t="n"/>
      <c r="BW76" s="40" t="n"/>
      <c r="BX76" s="40" t="n"/>
      <c r="BY76" s="40" t="n"/>
      <c r="BZ76" s="40" t="n"/>
      <c r="CA76" s="40" t="n"/>
      <c r="CB76" s="40" t="n"/>
      <c r="CC76" s="40" t="n"/>
      <c r="CD76" s="40" t="n"/>
      <c r="CE76" s="40" t="n"/>
      <c r="CF76" s="40" t="n"/>
      <c r="CG76" s="40" t="n"/>
      <c r="CH76" s="40" t="n"/>
      <c r="CI76" s="40" t="n"/>
      <c r="CJ76" s="40" t="n"/>
      <c r="CK76" s="40" t="n"/>
    </row>
    <row r="77" ht="34" customHeight="1">
      <c r="A77" s="16">
        <f>IFERROR(INDEX(Teams!$B$2:$B$9,MATCH($C77,Teams!$A$2:$A$9,0)),"(not drawn)")</f>
        <v/>
      </c>
      <c r="B77" s="17" t="inlineStr">
        <is>
          <t>Show Order 8</t>
        </is>
      </c>
      <c r="C77" s="26">
        <f>IF(TRIM($B77)="","",IFERROR(INDEX(Teams!$A$2:$A$9,MATCH(IFERROR(VALUE(TRIM(SUBSTITUTE(UPPER(TRIM($B77)),"SHOW ORDER",""))),-1),Teams!$D$2:$D$9,0)),"(not drawn)"))</f>
        <v/>
      </c>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c r="AP77" s="40" t="n"/>
      <c r="AQ77" s="40" t="n"/>
      <c r="AR77" s="40" t="n"/>
      <c r="AS77" s="40" t="n"/>
      <c r="AT77" s="40" t="n"/>
      <c r="AU77" s="40" t="n"/>
      <c r="AV77" s="40" t="n"/>
      <c r="AW77" s="40" t="n"/>
      <c r="AX77" s="40" t="n"/>
      <c r="AY77" s="40" t="n"/>
      <c r="AZ77" s="40" t="n"/>
      <c r="BA77" s="40" t="n"/>
      <c r="BB77" s="40" t="n"/>
      <c r="BC77" s="40" t="n"/>
      <c r="BD77" s="40" t="n"/>
      <c r="BE77" s="40" t="n"/>
      <c r="BF77" s="40" t="n"/>
      <c r="BG77" s="40" t="n"/>
      <c r="BH77" s="40" t="n"/>
      <c r="BI77" s="40" t="n"/>
      <c r="BJ77" s="40" t="n"/>
      <c r="BK77" s="40" t="n"/>
      <c r="BL77" s="40" t="n"/>
      <c r="BM77" s="40" t="n"/>
      <c r="BN77" s="40" t="n"/>
      <c r="BO77" s="40" t="n"/>
      <c r="BP77" s="40" t="n"/>
      <c r="BQ77" s="40" t="n"/>
      <c r="BR77" s="40" t="n"/>
      <c r="BS77" s="40" t="n"/>
      <c r="BT77" s="40" t="n"/>
      <c r="BU77" s="40" t="n"/>
      <c r="BV77" s="40" t="n"/>
      <c r="BW77" s="40" t="n"/>
      <c r="BX77" s="40" t="n"/>
      <c r="BY77" s="40" t="n"/>
      <c r="BZ77" s="40" t="n"/>
      <c r="CA77" s="40" t="n"/>
      <c r="CB77" s="40" t="n"/>
      <c r="CC77" s="40" t="n"/>
      <c r="CD77" s="40" t="n"/>
      <c r="CE77" s="40" t="n"/>
      <c r="CF77" s="40" t="n"/>
      <c r="CG77" s="40" t="n"/>
      <c r="CH77" s="40" t="n"/>
      <c r="CI77" s="40" t="n"/>
      <c r="CJ77" s="40" t="n"/>
      <c r="CK77" s="40" t="n"/>
    </row>
    <row r="78" ht="18" customHeight="1">
      <c r="A78" s="32" t="inlineStr">
        <is>
          <t>JUDGES, VIDEOGRAPHERS &amp; RAS REPS</t>
        </is>
      </c>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c r="AA78" s="33" t="n"/>
      <c r="AB78" s="33" t="n"/>
      <c r="AC78" s="33" t="n"/>
      <c r="AD78" s="33" t="n"/>
      <c r="AE78" s="33" t="n"/>
      <c r="AF78" s="33" t="n"/>
      <c r="AG78" s="33" t="n"/>
      <c r="AH78" s="33" t="n"/>
      <c r="AI78" s="33" t="n"/>
      <c r="AJ78" s="33" t="n"/>
      <c r="AK78" s="33" t="n"/>
      <c r="AL78" s="33" t="n"/>
      <c r="AM78" s="33" t="n"/>
      <c r="AN78" s="33" t="n"/>
      <c r="AO78" s="33" t="n"/>
      <c r="AP78" s="33" t="n"/>
      <c r="AQ78" s="33" t="n"/>
      <c r="AR78" s="33" t="n"/>
      <c r="AS78" s="33" t="n"/>
      <c r="AT78" s="33" t="n"/>
      <c r="AU78" s="33" t="n"/>
      <c r="AV78" s="33" t="n"/>
      <c r="AW78" s="33" t="n"/>
      <c r="AX78" s="33" t="n"/>
      <c r="AY78" s="33" t="n"/>
      <c r="AZ78" s="33" t="n"/>
      <c r="BA78" s="33" t="n"/>
      <c r="BB78" s="33" t="n"/>
      <c r="BC78" s="33" t="n"/>
      <c r="BD78" s="33" t="n"/>
      <c r="BE78" s="33" t="n"/>
      <c r="BF78" s="33" t="n"/>
      <c r="BG78" s="33" t="n"/>
      <c r="BH78" s="33" t="n"/>
      <c r="BI78" s="33" t="n"/>
      <c r="BJ78" s="33" t="n"/>
      <c r="BK78" s="33" t="n"/>
      <c r="BL78" s="33" t="n"/>
      <c r="BM78" s="33" t="n"/>
      <c r="BN78" s="33" t="n"/>
      <c r="BO78" s="33" t="n"/>
      <c r="BP78" s="33" t="n"/>
      <c r="BQ78" s="33" t="n"/>
      <c r="BR78" s="33" t="n"/>
      <c r="BS78" s="33" t="n"/>
      <c r="BT78" s="33" t="n"/>
      <c r="BU78" s="33" t="n"/>
      <c r="BV78" s="33" t="n"/>
      <c r="BW78" s="33" t="n"/>
      <c r="BX78" s="33" t="n"/>
      <c r="BY78" s="33" t="n"/>
      <c r="BZ78" s="33" t="n"/>
      <c r="CA78" s="33" t="n"/>
      <c r="CB78" s="33" t="n"/>
      <c r="CC78" s="33" t="n"/>
      <c r="CD78" s="33" t="n"/>
      <c r="CE78" s="33" t="n"/>
      <c r="CF78" s="33" t="n"/>
      <c r="CG78" s="33" t="n"/>
      <c r="CH78" s="33" t="n"/>
      <c r="CI78" s="33" t="n"/>
      <c r="CJ78" s="33" t="n"/>
      <c r="CK78" s="34" t="n"/>
    </row>
    <row r="79" ht="34" customHeight="1">
      <c r="A79" s="16" t="inlineStr">
        <is>
          <t>Judges</t>
        </is>
      </c>
      <c r="B79" s="17" t="inlineStr">
        <is>
          <t>All Judges</t>
        </is>
      </c>
      <c r="C79" s="26" t="inlineStr">
        <is>
          <t>ROLE-JUDGES</t>
        </is>
      </c>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c r="AP79" s="40" t="n"/>
      <c r="AQ79" s="40" t="n"/>
      <c r="AR79" s="40" t="n"/>
      <c r="AS79" s="40" t="n"/>
      <c r="AT79" s="40" t="n"/>
      <c r="AU79" s="40" t="n"/>
      <c r="AV79" s="40" t="n"/>
      <c r="AW79" s="40" t="n"/>
      <c r="AX79" s="40" t="n"/>
      <c r="AY79" s="40" t="n"/>
      <c r="AZ79" s="40" t="n"/>
      <c r="BA79" s="40" t="n"/>
      <c r="BB79" s="40" t="n"/>
      <c r="BC79" s="40" t="n"/>
      <c r="BD79" s="40" t="n"/>
      <c r="BE79" s="40" t="n"/>
      <c r="BF79" s="40" t="n"/>
      <c r="BG79" s="40" t="n"/>
      <c r="BH79" s="40" t="n"/>
      <c r="BI79" s="40" t="n"/>
      <c r="BJ79" s="40" t="n"/>
      <c r="BK79" s="40" t="n"/>
      <c r="BL79" s="40" t="n"/>
      <c r="BM79" s="40" t="n"/>
      <c r="BN79" s="40" t="n"/>
      <c r="BO79" s="40" t="n"/>
      <c r="BP79" s="40" t="n"/>
      <c r="BQ79" s="40" t="n"/>
      <c r="BR79" s="40" t="n"/>
      <c r="BS79" s="40" t="n"/>
      <c r="BT79" s="40" t="n"/>
      <c r="BU79" s="40" t="n"/>
      <c r="BV79" s="40" t="n"/>
      <c r="BW79" s="40" t="n"/>
      <c r="BX79" s="40" t="n"/>
      <c r="BY79" s="40" t="n"/>
      <c r="BZ79" s="40" t="n"/>
      <c r="CA79" s="40" t="n"/>
      <c r="CB79" s="40" t="n"/>
      <c r="CC79" s="40" t="n"/>
      <c r="CD79" s="40" t="n"/>
      <c r="CE79" s="40" t="n"/>
      <c r="CF79" s="40" t="n"/>
      <c r="CG79" s="40" t="n"/>
      <c r="CH79" s="40" t="n"/>
      <c r="CI79" s="40" t="n"/>
      <c r="CJ79" s="40" t="n"/>
      <c r="CK79" s="40" t="n"/>
    </row>
    <row r="80" ht="34" customHeight="1">
      <c r="A80" s="16" t="inlineStr">
        <is>
          <t>Videographers</t>
        </is>
      </c>
      <c r="B80" s="17" t="inlineStr">
        <is>
          <t>All Videographers</t>
        </is>
      </c>
      <c r="C80" s="26" t="inlineStr">
        <is>
          <t>ROLE-VIDEO</t>
        </is>
      </c>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c r="AP80" s="40" t="n"/>
      <c r="AQ80" s="40" t="n"/>
      <c r="AR80" s="40" t="n"/>
      <c r="AS80" s="40" t="n"/>
      <c r="AT80" s="40" t="n"/>
      <c r="AU80" s="40" t="n"/>
      <c r="AV80" s="40" t="n"/>
      <c r="AW80" s="40" t="n"/>
      <c r="AX80" s="40" t="n"/>
      <c r="AY80" s="40" t="n"/>
      <c r="AZ80" s="40" t="n"/>
      <c r="BA80" s="40" t="n"/>
      <c r="BB80" s="40" t="n"/>
      <c r="BC80" s="40" t="n"/>
      <c r="BD80" s="40" t="n"/>
      <c r="BE80" s="40" t="n"/>
      <c r="BF80" s="40" t="n"/>
      <c r="BG80" s="40" t="n"/>
      <c r="BH80" s="40" t="n"/>
      <c r="BI80" s="40" t="n"/>
      <c r="BJ80" s="40" t="n"/>
      <c r="BK80" s="40" t="n"/>
      <c r="BL80" s="40" t="n"/>
      <c r="BM80" s="40" t="n"/>
      <c r="BN80" s="40" t="n"/>
      <c r="BO80" s="40" t="n"/>
      <c r="BP80" s="40" t="n"/>
      <c r="BQ80" s="40" t="n"/>
      <c r="BR80" s="40" t="n"/>
      <c r="BS80" s="40" t="n"/>
      <c r="BT80" s="40" t="n"/>
      <c r="BU80" s="40" t="n"/>
      <c r="BV80" s="40" t="n"/>
      <c r="BW80" s="40" t="n"/>
      <c r="BX80" s="40" t="n"/>
      <c r="BY80" s="40" t="n"/>
      <c r="BZ80" s="40" t="n"/>
      <c r="CA80" s="40" t="n"/>
      <c r="CB80" s="40" t="n"/>
      <c r="CC80" s="40" t="n"/>
      <c r="CD80" s="40" t="n"/>
      <c r="CE80" s="40" t="n"/>
      <c r="CF80" s="40" t="n"/>
      <c r="CG80" s="40" t="n"/>
      <c r="CH80" s="40" t="n"/>
      <c r="CI80" s="40" t="n"/>
      <c r="CJ80" s="40" t="n"/>
      <c r="CK80" s="40" t="n"/>
    </row>
    <row r="81" ht="34" customHeight="1">
      <c r="A81" s="16" t="inlineStr">
        <is>
          <t>RAS Reps</t>
        </is>
      </c>
      <c r="B81" s="35" t="inlineStr"/>
      <c r="C81" s="26">
        <f>IF(TRIM($B81)="","",IFERROR(INDEX(People!$A$2:$A$199,MATCH(TRIM($B81),People!$B$2:$B$199,0)),IFERROR(INDEX(Teams!$A$2:$A$9,MATCH(TRIM($B81),Teams!$B$2:$B$9,0)),"?? CHECK NAME")))</f>
        <v/>
      </c>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c r="AF81" s="36" t="n"/>
      <c r="AG81" s="36" t="n"/>
      <c r="AH81" s="36" t="n"/>
      <c r="AI81" s="36" t="n"/>
      <c r="AJ81" s="36" t="n"/>
      <c r="AK81" s="36" t="n"/>
      <c r="AL81" s="36" t="n"/>
      <c r="AM81" s="36" t="n"/>
      <c r="AN81" s="36" t="n"/>
      <c r="AO81" s="36" t="n"/>
      <c r="AP81" s="36" t="n"/>
      <c r="AQ81" s="36" t="n"/>
      <c r="AR81" s="36" t="n"/>
      <c r="AS81" s="36" t="n"/>
      <c r="AT81" s="36" t="n"/>
      <c r="AU81" s="36" t="n"/>
      <c r="AV81" s="36" t="n"/>
      <c r="AW81" s="36" t="n"/>
      <c r="AX81" s="36" t="n"/>
      <c r="AY81" s="36" t="n"/>
      <c r="AZ81" s="36" t="n"/>
      <c r="BA81" s="36" t="n"/>
      <c r="BB81" s="36" t="n"/>
      <c r="BC81" s="36" t="n"/>
      <c r="BD81" s="36" t="n"/>
      <c r="BE81" s="36" t="n"/>
      <c r="BF81" s="36" t="n"/>
      <c r="BG81" s="36" t="n"/>
      <c r="BH81" s="36" t="n"/>
      <c r="BI81" s="36" t="n"/>
      <c r="BJ81" s="36" t="n"/>
      <c r="BK81" s="36" t="n"/>
      <c r="BL81" s="36" t="n"/>
      <c r="BM81" s="36" t="n"/>
      <c r="BN81" s="36" t="n"/>
      <c r="BO81" s="36" t="n"/>
      <c r="BP81" s="36" t="n"/>
      <c r="BQ81" s="36" t="n"/>
      <c r="BR81" s="36" t="n"/>
      <c r="BS81" s="36" t="n"/>
      <c r="BT81" s="36" t="n"/>
      <c r="BU81" s="36" t="n"/>
      <c r="BV81" s="36" t="n"/>
      <c r="BW81" s="36" t="n"/>
      <c r="BX81" s="36" t="n"/>
      <c r="BY81" s="36" t="n"/>
      <c r="BZ81" s="36" t="n"/>
      <c r="CA81" s="36" t="n"/>
      <c r="CB81" s="36" t="n"/>
      <c r="CC81" s="36" t="n"/>
      <c r="CD81" s="36" t="n"/>
      <c r="CE81" s="36" t="n"/>
      <c r="CF81" s="36" t="n"/>
      <c r="CG81" s="36" t="n"/>
      <c r="CH81" s="36" t="n"/>
      <c r="CI81" s="36" t="n"/>
      <c r="CJ81" s="36" t="n"/>
      <c r="CK81" s="36" t="n"/>
    </row>
    <row r="82" ht="34" customHeight="1">
      <c r="A82" s="37" t="n"/>
      <c r="B82" s="35" t="inlineStr"/>
      <c r="C82" s="26">
        <f>IF(TRIM($B82)="","",IFERROR(INDEX(People!$A$2:$A$199,MATCH(TRIM($B82),People!$B$2:$B$199,0)),IFERROR(INDEX(Teams!$A$2:$A$9,MATCH(TRIM($B82),Teams!$B$2:$B$9,0)),"?? CHECK NAME")))</f>
        <v/>
      </c>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c r="AF82" s="36" t="n"/>
      <c r="AG82" s="36" t="n"/>
      <c r="AH82" s="36" t="n"/>
      <c r="AI82" s="36" t="n"/>
      <c r="AJ82" s="36" t="n"/>
      <c r="AK82" s="36" t="n"/>
      <c r="AL82" s="36" t="n"/>
      <c r="AM82" s="36" t="n"/>
      <c r="AN82" s="36" t="n"/>
      <c r="AO82" s="36" t="n"/>
      <c r="AP82" s="36" t="n"/>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c r="BL82" s="36" t="n"/>
      <c r="BM82" s="36" t="n"/>
      <c r="BN82" s="36" t="n"/>
      <c r="BO82" s="36" t="n"/>
      <c r="BP82" s="36" t="n"/>
      <c r="BQ82" s="36" t="n"/>
      <c r="BR82" s="36" t="n"/>
      <c r="BS82" s="36" t="n"/>
      <c r="BT82" s="36" t="n"/>
      <c r="BU82" s="36" t="n"/>
      <c r="BV82" s="36" t="n"/>
      <c r="BW82" s="36" t="n"/>
      <c r="BX82" s="36" t="n"/>
      <c r="BY82" s="36" t="n"/>
      <c r="BZ82" s="36" t="n"/>
      <c r="CA82" s="36" t="n"/>
      <c r="CB82" s="36" t="n"/>
      <c r="CC82" s="36" t="n"/>
      <c r="CD82" s="36" t="n"/>
      <c r="CE82" s="36" t="n"/>
      <c r="CF82" s="36" t="n"/>
      <c r="CG82" s="36" t="n"/>
      <c r="CH82" s="36" t="n"/>
      <c r="CI82" s="36" t="n"/>
      <c r="CJ82" s="36" t="n"/>
      <c r="CK82" s="36" t="n"/>
    </row>
    <row r="83" ht="34" customHeight="1">
      <c r="A83" s="37" t="n"/>
      <c r="B83" s="35" t="inlineStr"/>
      <c r="C83" s="26">
        <f>IF(TRIM($B83)="","",IFERROR(INDEX(People!$A$2:$A$199,MATCH(TRIM($B83),People!$B$2:$B$199,0)),IFERROR(INDEX(Teams!$A$2:$A$9,MATCH(TRIM($B83),Teams!$B$2:$B$9,0)),"?? CHECK NAME")))</f>
        <v/>
      </c>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c r="AF83" s="36" t="n"/>
      <c r="AG83" s="36" t="n"/>
      <c r="AH83" s="36" t="n"/>
      <c r="AI83" s="36" t="n"/>
      <c r="AJ83" s="36" t="n"/>
      <c r="AK83" s="36" t="n"/>
      <c r="AL83" s="36" t="n"/>
      <c r="AM83" s="36" t="n"/>
      <c r="AN83" s="36" t="n"/>
      <c r="AO83" s="36" t="n"/>
      <c r="AP83" s="36" t="n"/>
      <c r="AQ83" s="36" t="n"/>
      <c r="AR83" s="36" t="n"/>
      <c r="AS83" s="36" t="n"/>
      <c r="AT83" s="36" t="n"/>
      <c r="AU83" s="36" t="n"/>
      <c r="AV83" s="36" t="n"/>
      <c r="AW83" s="36" t="n"/>
      <c r="AX83" s="36" t="n"/>
      <c r="AY83" s="36" t="n"/>
      <c r="AZ83" s="36" t="n"/>
      <c r="BA83" s="36" t="n"/>
      <c r="BB83" s="36" t="n"/>
      <c r="BC83" s="36" t="n"/>
      <c r="BD83" s="36" t="n"/>
      <c r="BE83" s="36" t="n"/>
      <c r="BF83" s="36" t="n"/>
      <c r="BG83" s="36" t="n"/>
      <c r="BH83" s="36" t="n"/>
      <c r="BI83" s="36" t="n"/>
      <c r="BJ83" s="36" t="n"/>
      <c r="BK83" s="36" t="n"/>
      <c r="BL83" s="36" t="n"/>
      <c r="BM83" s="36" t="n"/>
      <c r="BN83" s="36" t="n"/>
      <c r="BO83" s="36" t="n"/>
      <c r="BP83" s="36" t="n"/>
      <c r="BQ83" s="36" t="n"/>
      <c r="BR83" s="36" t="n"/>
      <c r="BS83" s="36" t="n"/>
      <c r="BT83" s="36" t="n"/>
      <c r="BU83" s="36" t="n"/>
      <c r="BV83" s="36" t="n"/>
      <c r="BW83" s="36" t="n"/>
      <c r="BX83" s="36" t="n"/>
      <c r="BY83" s="36" t="n"/>
      <c r="BZ83" s="36" t="n"/>
      <c r="CA83" s="36" t="n"/>
      <c r="CB83" s="36" t="n"/>
      <c r="CC83" s="36" t="n"/>
      <c r="CD83" s="36" t="n"/>
      <c r="CE83" s="36" t="n"/>
      <c r="CF83" s="36" t="n"/>
      <c r="CG83" s="36" t="n"/>
      <c r="CH83" s="36" t="n"/>
      <c r="CI83" s="36" t="n"/>
      <c r="CJ83" s="36" t="n"/>
      <c r="CK83" s="36" t="n"/>
    </row>
    <row r="84" ht="34" customHeight="1">
      <c r="A84" s="37" t="n"/>
      <c r="B84" s="35" t="inlineStr"/>
      <c r="C84" s="26">
        <f>IF(TRIM($B84)="","",IFERROR(INDEX(People!$A$2:$A$199,MATCH(TRIM($B84),People!$B$2:$B$199,0)),IFERROR(INDEX(Teams!$A$2:$A$9,MATCH(TRIM($B84),Teams!$B$2:$B$9,0)),"?? CHECK NAME")))</f>
        <v/>
      </c>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c r="AF84" s="36" t="n"/>
      <c r="AG84" s="36" t="n"/>
      <c r="AH84" s="36" t="n"/>
      <c r="AI84" s="36" t="n"/>
      <c r="AJ84" s="36" t="n"/>
      <c r="AK84" s="36" t="n"/>
      <c r="AL84" s="36" t="n"/>
      <c r="AM84" s="36" t="n"/>
      <c r="AN84" s="36" t="n"/>
      <c r="AO84" s="36" t="n"/>
      <c r="AP84" s="36" t="n"/>
      <c r="AQ84" s="36" t="n"/>
      <c r="AR84" s="36" t="n"/>
      <c r="AS84" s="36" t="n"/>
      <c r="AT84" s="36" t="n"/>
      <c r="AU84" s="36" t="n"/>
      <c r="AV84" s="36" t="n"/>
      <c r="AW84" s="36" t="n"/>
      <c r="AX84" s="36" t="n"/>
      <c r="AY84" s="36" t="n"/>
      <c r="AZ84" s="36" t="n"/>
      <c r="BA84" s="36" t="n"/>
      <c r="BB84" s="36" t="n"/>
      <c r="BC84" s="36" t="n"/>
      <c r="BD84" s="36" t="n"/>
      <c r="BE84" s="36" t="n"/>
      <c r="BF84" s="36" t="n"/>
      <c r="BG84" s="36" t="n"/>
      <c r="BH84" s="36" t="n"/>
      <c r="BI84" s="36" t="n"/>
      <c r="BJ84" s="36" t="n"/>
      <c r="BK84" s="36" t="n"/>
      <c r="BL84" s="36" t="n"/>
      <c r="BM84" s="36" t="n"/>
      <c r="BN84" s="36" t="n"/>
      <c r="BO84" s="36" t="n"/>
      <c r="BP84" s="36" t="n"/>
      <c r="BQ84" s="36" t="n"/>
      <c r="BR84" s="36" t="n"/>
      <c r="BS84" s="36" t="n"/>
      <c r="BT84" s="36" t="n"/>
      <c r="BU84" s="36" t="n"/>
      <c r="BV84" s="36" t="n"/>
      <c r="BW84" s="36" t="n"/>
      <c r="BX84" s="36" t="n"/>
      <c r="BY84" s="36" t="n"/>
      <c r="BZ84" s="36" t="n"/>
      <c r="CA84" s="36" t="n"/>
      <c r="CB84" s="36" t="n"/>
      <c r="CC84" s="36" t="n"/>
      <c r="CD84" s="36" t="n"/>
      <c r="CE84" s="36" t="n"/>
      <c r="CF84" s="36" t="n"/>
      <c r="CG84" s="36" t="n"/>
      <c r="CH84" s="36" t="n"/>
      <c r="CI84" s="36" t="n"/>
      <c r="CJ84" s="36" t="n"/>
      <c r="CK84" s="36" t="n"/>
    </row>
    <row r="85" ht="34" customHeight="1">
      <c r="A85" s="38" t="n"/>
      <c r="B85" s="35" t="inlineStr"/>
      <c r="C85" s="26">
        <f>IF(TRIM($B85)="","",IFERROR(INDEX(People!$A$2:$A$199,MATCH(TRIM($B85),People!$B$2:$B$199,0)),IFERROR(INDEX(Teams!$A$2:$A$9,MATCH(TRIM($B85),Teams!$B$2:$B$9,0)),"?? CHECK NAME")))</f>
        <v/>
      </c>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c r="AF85" s="36" t="n"/>
      <c r="AG85" s="36" t="n"/>
      <c r="AH85" s="36" t="n"/>
      <c r="AI85" s="36" t="n"/>
      <c r="AJ85" s="36" t="n"/>
      <c r="AK85" s="36" t="n"/>
      <c r="AL85" s="36" t="n"/>
      <c r="AM85" s="36" t="n"/>
      <c r="AN85" s="36" t="n"/>
      <c r="AO85" s="36" t="n"/>
      <c r="AP85" s="36" t="n"/>
      <c r="AQ85" s="36" t="n"/>
      <c r="AR85" s="36" t="n"/>
      <c r="AS85" s="36" t="n"/>
      <c r="AT85" s="36" t="n"/>
      <c r="AU85" s="36" t="n"/>
      <c r="AV85" s="36" t="n"/>
      <c r="AW85" s="36" t="n"/>
      <c r="AX85" s="36" t="n"/>
      <c r="AY85" s="36" t="n"/>
      <c r="AZ85" s="36" t="n"/>
      <c r="BA85" s="36" t="n"/>
      <c r="BB85" s="36" t="n"/>
      <c r="BC85" s="36" t="n"/>
      <c r="BD85" s="36" t="n"/>
      <c r="BE85" s="36" t="n"/>
      <c r="BF85" s="36" t="n"/>
      <c r="BG85" s="36" t="n"/>
      <c r="BH85" s="36" t="n"/>
      <c r="BI85" s="36" t="n"/>
      <c r="BJ85" s="36" t="n"/>
      <c r="BK85" s="36" t="n"/>
      <c r="BL85" s="36" t="n"/>
      <c r="BM85" s="36" t="n"/>
      <c r="BN85" s="36" t="n"/>
      <c r="BO85" s="36" t="n"/>
      <c r="BP85" s="36" t="n"/>
      <c r="BQ85" s="36" t="n"/>
      <c r="BR85" s="36" t="n"/>
      <c r="BS85" s="36" t="n"/>
      <c r="BT85" s="36" t="n"/>
      <c r="BU85" s="36" t="n"/>
      <c r="BV85" s="36" t="n"/>
      <c r="BW85" s="36" t="n"/>
      <c r="BX85" s="36" t="n"/>
      <c r="BY85" s="36" t="n"/>
      <c r="BZ85" s="36" t="n"/>
      <c r="CA85" s="36" t="n"/>
      <c r="CB85" s="36" t="n"/>
      <c r="CC85" s="36" t="n"/>
      <c r="CD85" s="36" t="n"/>
      <c r="CE85" s="36" t="n"/>
      <c r="CF85" s="36" t="n"/>
      <c r="CG85" s="36" t="n"/>
      <c r="CH85" s="36" t="n"/>
      <c r="CI85" s="36" t="n"/>
      <c r="CJ85" s="36" t="n"/>
      <c r="CK85" s="36" t="n"/>
    </row>
    <row r="86" ht="18" customHeight="1">
      <c r="A86" s="32" t="inlineStr">
        <is>
          <t>LIAISONS  —  in show order; names come from the People tab</t>
        </is>
      </c>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c r="AA86" s="33" t="n"/>
      <c r="AB86" s="33" t="n"/>
      <c r="AC86" s="33" t="n"/>
      <c r="AD86" s="33" t="n"/>
      <c r="AE86" s="33" t="n"/>
      <c r="AF86" s="33" t="n"/>
      <c r="AG86" s="33" t="n"/>
      <c r="AH86" s="33" t="n"/>
      <c r="AI86" s="33" t="n"/>
      <c r="AJ86" s="33" t="n"/>
      <c r="AK86" s="33" t="n"/>
      <c r="AL86" s="33" t="n"/>
      <c r="AM86" s="33" t="n"/>
      <c r="AN86" s="33" t="n"/>
      <c r="AO86" s="33" t="n"/>
      <c r="AP86" s="33" t="n"/>
      <c r="AQ86" s="33" t="n"/>
      <c r="AR86" s="33" t="n"/>
      <c r="AS86" s="33" t="n"/>
      <c r="AT86" s="33" t="n"/>
      <c r="AU86" s="33" t="n"/>
      <c r="AV86" s="33" t="n"/>
      <c r="AW86" s="33" t="n"/>
      <c r="AX86" s="33" t="n"/>
      <c r="AY86" s="33" t="n"/>
      <c r="AZ86" s="33" t="n"/>
      <c r="BA86" s="33" t="n"/>
      <c r="BB86" s="33" t="n"/>
      <c r="BC86" s="33" t="n"/>
      <c r="BD86" s="33" t="n"/>
      <c r="BE86" s="33" t="n"/>
      <c r="BF86" s="33" t="n"/>
      <c r="BG86" s="33" t="n"/>
      <c r="BH86" s="33" t="n"/>
      <c r="BI86" s="33" t="n"/>
      <c r="BJ86" s="33" t="n"/>
      <c r="BK86" s="33" t="n"/>
      <c r="BL86" s="33" t="n"/>
      <c r="BM86" s="33" t="n"/>
      <c r="BN86" s="33" t="n"/>
      <c r="BO86" s="33" t="n"/>
      <c r="BP86" s="33" t="n"/>
      <c r="BQ86" s="33" t="n"/>
      <c r="BR86" s="33" t="n"/>
      <c r="BS86" s="33" t="n"/>
      <c r="BT86" s="33" t="n"/>
      <c r="BU86" s="33" t="n"/>
      <c r="BV86" s="33" t="n"/>
      <c r="BW86" s="33" t="n"/>
      <c r="BX86" s="33" t="n"/>
      <c r="BY86" s="33" t="n"/>
      <c r="BZ86" s="33" t="n"/>
      <c r="CA86" s="33" t="n"/>
      <c r="CB86" s="33" t="n"/>
      <c r="CC86" s="33" t="n"/>
      <c r="CD86" s="33" t="n"/>
      <c r="CE86" s="33" t="n"/>
      <c r="CF86" s="33" t="n"/>
      <c r="CG86" s="33" t="n"/>
      <c r="CH86" s="33" t="n"/>
      <c r="CI86" s="33" t="n"/>
      <c r="CJ86" s="33" t="n"/>
      <c r="CK86" s="34" t="n"/>
    </row>
    <row r="87" ht="34" customHeight="1">
      <c r="A87" s="41">
        <f>IFERROR("Show Order "&amp;1&amp;"  —  "&amp;INDEX(Teams!$B$2:$B$9,MATCH(1,Teams!$D$2:$D$9,0)),"Show Order "&amp;1&amp;"  —  (not drawn)")</f>
        <v/>
      </c>
      <c r="B87" s="42">
        <f>IFERROR(INDEX(People!$B$2:$B$199,MATCH(INDEX(Teams!$B$2:$B$9,MATCH(1,Teams!$D$2:$D$9,0))&amp;"#"&amp;1,People!$H$2:$H$199,0)),"")</f>
        <v/>
      </c>
      <c r="C87" s="26">
        <f>IF(TRIM($B87)="","",IFERROR(INDEX(People!$A$2:$A$199,MATCH(TRIM($B87),People!$B$2:$B$199,0)),"?? CHECK NAME"))</f>
        <v/>
      </c>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c r="AF87" s="36" t="n"/>
      <c r="AG87" s="36" t="n"/>
      <c r="AH87" s="36" t="n"/>
      <c r="AI87" s="36" t="n"/>
      <c r="AJ87" s="36" t="n"/>
      <c r="AK87" s="36" t="n"/>
      <c r="AL87" s="36" t="n"/>
      <c r="AM87" s="36" t="n"/>
      <c r="AN87" s="36" t="n"/>
      <c r="AO87" s="36" t="n"/>
      <c r="AP87" s="36" t="n"/>
      <c r="AQ87" s="36" t="n"/>
      <c r="AR87" s="36" t="n"/>
      <c r="AS87" s="36" t="n"/>
      <c r="AT87" s="36" t="n"/>
      <c r="AU87" s="36" t="n"/>
      <c r="AV87" s="36" t="n"/>
      <c r="AW87" s="36" t="n"/>
      <c r="AX87" s="36" t="n"/>
      <c r="AY87" s="36" t="n"/>
      <c r="AZ87" s="36" t="n"/>
      <c r="BA87" s="36" t="n"/>
      <c r="BB87" s="36" t="n"/>
      <c r="BC87" s="36" t="n"/>
      <c r="BD87" s="36" t="n"/>
      <c r="BE87" s="36" t="n"/>
      <c r="BF87" s="36" t="n"/>
      <c r="BG87" s="36" t="n"/>
      <c r="BH87" s="36" t="n"/>
      <c r="BI87" s="36" t="n"/>
      <c r="BJ87" s="36" t="n"/>
      <c r="BK87" s="36" t="n"/>
      <c r="BL87" s="36" t="n"/>
      <c r="BM87" s="36" t="n"/>
      <c r="BN87" s="36" t="n"/>
      <c r="BO87" s="36" t="n"/>
      <c r="BP87" s="36" t="n"/>
      <c r="BQ87" s="36" t="n"/>
      <c r="BR87" s="36" t="n"/>
      <c r="BS87" s="36" t="n"/>
      <c r="BT87" s="36" t="n"/>
      <c r="BU87" s="36" t="n"/>
      <c r="BV87" s="36" t="n"/>
      <c r="BW87" s="36" t="n"/>
      <c r="BX87" s="36" t="n"/>
      <c r="BY87" s="36" t="n"/>
      <c r="BZ87" s="36" t="n"/>
      <c r="CA87" s="36" t="n"/>
      <c r="CB87" s="36" t="n"/>
      <c r="CC87" s="36" t="n"/>
      <c r="CD87" s="36" t="n"/>
      <c r="CE87" s="36" t="n"/>
      <c r="CF87" s="36" t="n"/>
      <c r="CG87" s="36" t="n"/>
      <c r="CH87" s="36" t="n"/>
      <c r="CI87" s="36" t="n"/>
      <c r="CJ87" s="36" t="n"/>
      <c r="CK87" s="36" t="n"/>
    </row>
    <row r="88" ht="34" customHeight="1">
      <c r="A88" s="37" t="n"/>
      <c r="B88" s="42">
        <f>IFERROR(INDEX(People!$B$2:$B$199,MATCH(INDEX(Teams!$B$2:$B$9,MATCH(1,Teams!$D$2:$D$9,0))&amp;"#"&amp;2,People!$H$2:$H$199,0)),"")</f>
        <v/>
      </c>
      <c r="C88" s="26">
        <f>IF(TRIM($B88)="","",IFERROR(INDEX(People!$A$2:$A$199,MATCH(TRIM($B88),People!$B$2:$B$199,0)),"?? CHECK NAME"))</f>
        <v/>
      </c>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c r="AF88" s="36" t="n"/>
      <c r="AG88" s="36" t="n"/>
      <c r="AH88" s="36" t="n"/>
      <c r="AI88" s="36" t="n"/>
      <c r="AJ88" s="36" t="n"/>
      <c r="AK88" s="36" t="n"/>
      <c r="AL88" s="36" t="n"/>
      <c r="AM88" s="36" t="n"/>
      <c r="AN88" s="36" t="n"/>
      <c r="AO88" s="36" t="n"/>
      <c r="AP88" s="36" t="n"/>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c r="BP88" s="36" t="n"/>
      <c r="BQ88" s="36" t="n"/>
      <c r="BR88" s="36" t="n"/>
      <c r="BS88" s="36" t="n"/>
      <c r="BT88" s="36" t="n"/>
      <c r="BU88" s="36" t="n"/>
      <c r="BV88" s="36" t="n"/>
      <c r="BW88" s="36" t="n"/>
      <c r="BX88" s="36" t="n"/>
      <c r="BY88" s="36" t="n"/>
      <c r="BZ88" s="36" t="n"/>
      <c r="CA88" s="36" t="n"/>
      <c r="CB88" s="36" t="n"/>
      <c r="CC88" s="36" t="n"/>
      <c r="CD88" s="36" t="n"/>
      <c r="CE88" s="36" t="n"/>
      <c r="CF88" s="36" t="n"/>
      <c r="CG88" s="36" t="n"/>
      <c r="CH88" s="36" t="n"/>
      <c r="CI88" s="36" t="n"/>
      <c r="CJ88" s="36" t="n"/>
      <c r="CK88" s="36" t="n"/>
    </row>
    <row r="89" ht="34" customHeight="1">
      <c r="A89" s="37" t="n"/>
      <c r="B89" s="42">
        <f>IFERROR(INDEX(People!$B$2:$B$199,MATCH(INDEX(Teams!$B$2:$B$9,MATCH(1,Teams!$D$2:$D$9,0))&amp;"#"&amp;3,People!$H$2:$H$199,0)),"")</f>
        <v/>
      </c>
      <c r="C89" s="26">
        <f>IF(TRIM($B89)="","",IFERROR(INDEX(People!$A$2:$A$199,MATCH(TRIM($B89),People!$B$2:$B$199,0)),"?? CHECK NAME"))</f>
        <v/>
      </c>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c r="BP89" s="36" t="n"/>
      <c r="BQ89" s="36" t="n"/>
      <c r="BR89" s="36" t="n"/>
      <c r="BS89" s="36" t="n"/>
      <c r="BT89" s="36" t="n"/>
      <c r="BU89" s="36" t="n"/>
      <c r="BV89" s="36" t="n"/>
      <c r="BW89" s="36" t="n"/>
      <c r="BX89" s="36" t="n"/>
      <c r="BY89" s="36" t="n"/>
      <c r="BZ89" s="36" t="n"/>
      <c r="CA89" s="36" t="n"/>
      <c r="CB89" s="36" t="n"/>
      <c r="CC89" s="36" t="n"/>
      <c r="CD89" s="36" t="n"/>
      <c r="CE89" s="36" t="n"/>
      <c r="CF89" s="36" t="n"/>
      <c r="CG89" s="36" t="n"/>
      <c r="CH89" s="36" t="n"/>
      <c r="CI89" s="36" t="n"/>
      <c r="CJ89" s="36" t="n"/>
      <c r="CK89" s="36" t="n"/>
    </row>
    <row r="90" ht="34" customHeight="1">
      <c r="A90" s="37" t="n"/>
      <c r="B90" s="42">
        <f>IFERROR(INDEX(People!$B$2:$B$199,MATCH(INDEX(Teams!$B$2:$B$9,MATCH(1,Teams!$D$2:$D$9,0))&amp;"#"&amp;4,People!$H$2:$H$199,0)),"")</f>
        <v/>
      </c>
      <c r="C90" s="26">
        <f>IF(TRIM($B90)="","",IFERROR(INDEX(People!$A$2:$A$199,MATCH(TRIM($B90),People!$B$2:$B$199,0)),"?? CHECK NAME"))</f>
        <v/>
      </c>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c r="AF90" s="36" t="n"/>
      <c r="AG90" s="36" t="n"/>
      <c r="AH90" s="36" t="n"/>
      <c r="AI90" s="36" t="n"/>
      <c r="AJ90" s="36" t="n"/>
      <c r="AK90" s="36" t="n"/>
      <c r="AL90" s="36" t="n"/>
      <c r="AM90" s="36" t="n"/>
      <c r="AN90" s="36" t="n"/>
      <c r="AO90" s="36" t="n"/>
      <c r="AP90" s="36" t="n"/>
      <c r="AQ90" s="36" t="n"/>
      <c r="AR90" s="36" t="n"/>
      <c r="AS90" s="36" t="n"/>
      <c r="AT90" s="36" t="n"/>
      <c r="AU90" s="36" t="n"/>
      <c r="AV90" s="36" t="n"/>
      <c r="AW90" s="36" t="n"/>
      <c r="AX90" s="36" t="n"/>
      <c r="AY90" s="36" t="n"/>
      <c r="AZ90" s="36" t="n"/>
      <c r="BA90" s="36" t="n"/>
      <c r="BB90" s="36" t="n"/>
      <c r="BC90" s="36" t="n"/>
      <c r="BD90" s="36" t="n"/>
      <c r="BE90" s="36" t="n"/>
      <c r="BF90" s="36" t="n"/>
      <c r="BG90" s="36" t="n"/>
      <c r="BH90" s="36" t="n"/>
      <c r="BI90" s="36" t="n"/>
      <c r="BJ90" s="36" t="n"/>
      <c r="BK90" s="36" t="n"/>
      <c r="BL90" s="36" t="n"/>
      <c r="BM90" s="36" t="n"/>
      <c r="BN90" s="36" t="n"/>
      <c r="BO90" s="36" t="n"/>
      <c r="BP90" s="36" t="n"/>
      <c r="BQ90" s="36" t="n"/>
      <c r="BR90" s="36" t="n"/>
      <c r="BS90" s="36" t="n"/>
      <c r="BT90" s="36" t="n"/>
      <c r="BU90" s="36" t="n"/>
      <c r="BV90" s="36" t="n"/>
      <c r="BW90" s="36" t="n"/>
      <c r="BX90" s="36" t="n"/>
      <c r="BY90" s="36" t="n"/>
      <c r="BZ90" s="36" t="n"/>
      <c r="CA90" s="36" t="n"/>
      <c r="CB90" s="36" t="n"/>
      <c r="CC90" s="36" t="n"/>
      <c r="CD90" s="36" t="n"/>
      <c r="CE90" s="36" t="n"/>
      <c r="CF90" s="36" t="n"/>
      <c r="CG90" s="36" t="n"/>
      <c r="CH90" s="36" t="n"/>
      <c r="CI90" s="36" t="n"/>
      <c r="CJ90" s="36" t="n"/>
      <c r="CK90" s="36" t="n"/>
    </row>
    <row r="91" ht="34" customHeight="1">
      <c r="A91" s="38" t="n"/>
      <c r="B91" s="42">
        <f>IFERROR(INDEX(People!$B$2:$B$199,MATCH(INDEX(Teams!$B$2:$B$9,MATCH(1,Teams!$D$2:$D$9,0))&amp;"#"&amp;5,People!$H$2:$H$199,0)),"")</f>
        <v/>
      </c>
      <c r="C91" s="26">
        <f>IF(TRIM($B91)="","",IFERROR(INDEX(People!$A$2:$A$199,MATCH(TRIM($B91),People!$B$2:$B$199,0)),"?? CHECK NAME"))</f>
        <v/>
      </c>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c r="BP91" s="36" t="n"/>
      <c r="BQ91" s="36" t="n"/>
      <c r="BR91" s="36" t="n"/>
      <c r="BS91" s="36" t="n"/>
      <c r="BT91" s="36" t="n"/>
      <c r="BU91" s="36" t="n"/>
      <c r="BV91" s="36" t="n"/>
      <c r="BW91" s="36" t="n"/>
      <c r="BX91" s="36" t="n"/>
      <c r="BY91" s="36" t="n"/>
      <c r="BZ91" s="36" t="n"/>
      <c r="CA91" s="36" t="n"/>
      <c r="CB91" s="36" t="n"/>
      <c r="CC91" s="36" t="n"/>
      <c r="CD91" s="36" t="n"/>
      <c r="CE91" s="36" t="n"/>
      <c r="CF91" s="36" t="n"/>
      <c r="CG91" s="36" t="n"/>
      <c r="CH91" s="36" t="n"/>
      <c r="CI91" s="36" t="n"/>
      <c r="CJ91" s="36" t="n"/>
      <c r="CK91" s="36" t="n"/>
    </row>
    <row r="92" ht="34" customHeight="1">
      <c r="A92" s="41">
        <f>IFERROR("Show Order "&amp;2&amp;"  —  "&amp;INDEX(Teams!$B$2:$B$9,MATCH(2,Teams!$D$2:$D$9,0)),"Show Order "&amp;2&amp;"  —  (not drawn)")</f>
        <v/>
      </c>
      <c r="B92" s="42">
        <f>IFERROR(INDEX(People!$B$2:$B$199,MATCH(INDEX(Teams!$B$2:$B$9,MATCH(2,Teams!$D$2:$D$9,0))&amp;"#"&amp;1,People!$H$2:$H$199,0)),"")</f>
        <v/>
      </c>
      <c r="C92" s="26">
        <f>IF(TRIM($B92)="","",IFERROR(INDEX(People!$A$2:$A$199,MATCH(TRIM($B92),People!$B$2:$B$199,0)),"?? CHECK NAME"))</f>
        <v/>
      </c>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c r="AF92" s="36" t="n"/>
      <c r="AG92" s="36" t="n"/>
      <c r="AH92" s="36" t="n"/>
      <c r="AI92" s="36" t="n"/>
      <c r="AJ92" s="36" t="n"/>
      <c r="AK92" s="36" t="n"/>
      <c r="AL92" s="36" t="n"/>
      <c r="AM92" s="36" t="n"/>
      <c r="AN92" s="36" t="n"/>
      <c r="AO92" s="36" t="n"/>
      <c r="AP92" s="36" t="n"/>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c r="BL92" s="36" t="n"/>
      <c r="BM92" s="36" t="n"/>
      <c r="BN92" s="36" t="n"/>
      <c r="BO92" s="36" t="n"/>
      <c r="BP92" s="36" t="n"/>
      <c r="BQ92" s="36" t="n"/>
      <c r="BR92" s="36" t="n"/>
      <c r="BS92" s="36" t="n"/>
      <c r="BT92" s="36" t="n"/>
      <c r="BU92" s="36" t="n"/>
      <c r="BV92" s="36" t="n"/>
      <c r="BW92" s="36" t="n"/>
      <c r="BX92" s="36" t="n"/>
      <c r="BY92" s="36" t="n"/>
      <c r="BZ92" s="36" t="n"/>
      <c r="CA92" s="36" t="n"/>
      <c r="CB92" s="36" t="n"/>
      <c r="CC92" s="36" t="n"/>
      <c r="CD92" s="36" t="n"/>
      <c r="CE92" s="36" t="n"/>
      <c r="CF92" s="36" t="n"/>
      <c r="CG92" s="36" t="n"/>
      <c r="CH92" s="36" t="n"/>
      <c r="CI92" s="36" t="n"/>
      <c r="CJ92" s="36" t="n"/>
      <c r="CK92" s="36" t="n"/>
    </row>
    <row r="93" ht="34" customHeight="1">
      <c r="A93" s="37" t="n"/>
      <c r="B93" s="42">
        <f>IFERROR(INDEX(People!$B$2:$B$199,MATCH(INDEX(Teams!$B$2:$B$9,MATCH(2,Teams!$D$2:$D$9,0))&amp;"#"&amp;2,People!$H$2:$H$199,0)),"")</f>
        <v/>
      </c>
      <c r="C93" s="26">
        <f>IF(TRIM($B93)="","",IFERROR(INDEX(People!$A$2:$A$199,MATCH(TRIM($B93),People!$B$2:$B$199,0)),"?? CHECK NAME"))</f>
        <v/>
      </c>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c r="AF93" s="36" t="n"/>
      <c r="AG93" s="36" t="n"/>
      <c r="AH93" s="36" t="n"/>
      <c r="AI93" s="36" t="n"/>
      <c r="AJ93" s="36" t="n"/>
      <c r="AK93" s="36" t="n"/>
      <c r="AL93" s="36" t="n"/>
      <c r="AM93" s="36" t="n"/>
      <c r="AN93" s="36" t="n"/>
      <c r="AO93" s="36" t="n"/>
      <c r="AP93" s="36" t="n"/>
      <c r="AQ93" s="36" t="n"/>
      <c r="AR93" s="36" t="n"/>
      <c r="AS93" s="36" t="n"/>
      <c r="AT93" s="36" t="n"/>
      <c r="AU93" s="36" t="n"/>
      <c r="AV93" s="36" t="n"/>
      <c r="AW93" s="36" t="n"/>
      <c r="AX93" s="36" t="n"/>
      <c r="AY93" s="36" t="n"/>
      <c r="AZ93" s="36" t="n"/>
      <c r="BA93" s="36" t="n"/>
      <c r="BB93" s="36" t="n"/>
      <c r="BC93" s="36" t="n"/>
      <c r="BD93" s="36" t="n"/>
      <c r="BE93" s="36" t="n"/>
      <c r="BF93" s="36" t="n"/>
      <c r="BG93" s="36" t="n"/>
      <c r="BH93" s="36" t="n"/>
      <c r="BI93" s="36" t="n"/>
      <c r="BJ93" s="36" t="n"/>
      <c r="BK93" s="36" t="n"/>
      <c r="BL93" s="36" t="n"/>
      <c r="BM93" s="36" t="n"/>
      <c r="BN93" s="36" t="n"/>
      <c r="BO93" s="36" t="n"/>
      <c r="BP93" s="36" t="n"/>
      <c r="BQ93" s="36" t="n"/>
      <c r="BR93" s="36" t="n"/>
      <c r="BS93" s="36" t="n"/>
      <c r="BT93" s="36" t="n"/>
      <c r="BU93" s="36" t="n"/>
      <c r="BV93" s="36" t="n"/>
      <c r="BW93" s="36" t="n"/>
      <c r="BX93" s="36" t="n"/>
      <c r="BY93" s="36" t="n"/>
      <c r="BZ93" s="36" t="n"/>
      <c r="CA93" s="36" t="n"/>
      <c r="CB93" s="36" t="n"/>
      <c r="CC93" s="36" t="n"/>
      <c r="CD93" s="36" t="n"/>
      <c r="CE93" s="36" t="n"/>
      <c r="CF93" s="36" t="n"/>
      <c r="CG93" s="36" t="n"/>
      <c r="CH93" s="36" t="n"/>
      <c r="CI93" s="36" t="n"/>
      <c r="CJ93" s="36" t="n"/>
      <c r="CK93" s="36" t="n"/>
    </row>
    <row r="94" ht="34" customHeight="1">
      <c r="A94" s="37" t="n"/>
      <c r="B94" s="42">
        <f>IFERROR(INDEX(People!$B$2:$B$199,MATCH(INDEX(Teams!$B$2:$B$9,MATCH(2,Teams!$D$2:$D$9,0))&amp;"#"&amp;3,People!$H$2:$H$199,0)),"")</f>
        <v/>
      </c>
      <c r="C94" s="26">
        <f>IF(TRIM($B94)="","",IFERROR(INDEX(People!$A$2:$A$199,MATCH(TRIM($B94),People!$B$2:$B$199,0)),"?? CHECK NAME"))</f>
        <v/>
      </c>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c r="AF94" s="36" t="n"/>
      <c r="AG94" s="36" t="n"/>
      <c r="AH94" s="36" t="n"/>
      <c r="AI94" s="36" t="n"/>
      <c r="AJ94" s="36" t="n"/>
      <c r="AK94" s="36" t="n"/>
      <c r="AL94" s="36" t="n"/>
      <c r="AM94" s="36" t="n"/>
      <c r="AN94" s="36" t="n"/>
      <c r="AO94" s="36" t="n"/>
      <c r="AP94" s="36" t="n"/>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c r="BP94" s="36" t="n"/>
      <c r="BQ94" s="36" t="n"/>
      <c r="BR94" s="36" t="n"/>
      <c r="BS94" s="36" t="n"/>
      <c r="BT94" s="36" t="n"/>
      <c r="BU94" s="36" t="n"/>
      <c r="BV94" s="36" t="n"/>
      <c r="BW94" s="36" t="n"/>
      <c r="BX94" s="36" t="n"/>
      <c r="BY94" s="36" t="n"/>
      <c r="BZ94" s="36" t="n"/>
      <c r="CA94" s="36" t="n"/>
      <c r="CB94" s="36" t="n"/>
      <c r="CC94" s="36" t="n"/>
      <c r="CD94" s="36" t="n"/>
      <c r="CE94" s="36" t="n"/>
      <c r="CF94" s="36" t="n"/>
      <c r="CG94" s="36" t="n"/>
      <c r="CH94" s="36" t="n"/>
      <c r="CI94" s="36" t="n"/>
      <c r="CJ94" s="36" t="n"/>
      <c r="CK94" s="36" t="n"/>
    </row>
    <row r="95" ht="34" customHeight="1">
      <c r="A95" s="37" t="n"/>
      <c r="B95" s="42">
        <f>IFERROR(INDEX(People!$B$2:$B$199,MATCH(INDEX(Teams!$B$2:$B$9,MATCH(2,Teams!$D$2:$D$9,0))&amp;"#"&amp;4,People!$H$2:$H$199,0)),"")</f>
        <v/>
      </c>
      <c r="C95" s="26">
        <f>IF(TRIM($B95)="","",IFERROR(INDEX(People!$A$2:$A$199,MATCH(TRIM($B95),People!$B$2:$B$199,0)),"?? CHECK NAME"))</f>
        <v/>
      </c>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c r="AF95" s="36" t="n"/>
      <c r="AG95" s="36" t="n"/>
      <c r="AH95" s="36" t="n"/>
      <c r="AI95" s="36" t="n"/>
      <c r="AJ95" s="36" t="n"/>
      <c r="AK95" s="36" t="n"/>
      <c r="AL95" s="36" t="n"/>
      <c r="AM95" s="36" t="n"/>
      <c r="AN95" s="36" t="n"/>
      <c r="AO95" s="36" t="n"/>
      <c r="AP95" s="36" t="n"/>
      <c r="AQ95" s="36" t="n"/>
      <c r="AR95" s="36" t="n"/>
      <c r="AS95" s="36" t="n"/>
      <c r="AT95" s="36" t="n"/>
      <c r="AU95" s="36" t="n"/>
      <c r="AV95" s="36" t="n"/>
      <c r="AW95" s="36" t="n"/>
      <c r="AX95" s="36" t="n"/>
      <c r="AY95" s="36" t="n"/>
      <c r="AZ95" s="36" t="n"/>
      <c r="BA95" s="36" t="n"/>
      <c r="BB95" s="36" t="n"/>
      <c r="BC95" s="36" t="n"/>
      <c r="BD95" s="36" t="n"/>
      <c r="BE95" s="36" t="n"/>
      <c r="BF95" s="36" t="n"/>
      <c r="BG95" s="36" t="n"/>
      <c r="BH95" s="36" t="n"/>
      <c r="BI95" s="36" t="n"/>
      <c r="BJ95" s="36" t="n"/>
      <c r="BK95" s="36" t="n"/>
      <c r="BL95" s="36" t="n"/>
      <c r="BM95" s="36" t="n"/>
      <c r="BN95" s="36" t="n"/>
      <c r="BO95" s="36" t="n"/>
      <c r="BP95" s="36" t="n"/>
      <c r="BQ95" s="36" t="n"/>
      <c r="BR95" s="36" t="n"/>
      <c r="BS95" s="36" t="n"/>
      <c r="BT95" s="36" t="n"/>
      <c r="BU95" s="36" t="n"/>
      <c r="BV95" s="36" t="n"/>
      <c r="BW95" s="36" t="n"/>
      <c r="BX95" s="36" t="n"/>
      <c r="BY95" s="36" t="n"/>
      <c r="BZ95" s="36" t="n"/>
      <c r="CA95" s="36" t="n"/>
      <c r="CB95" s="36" t="n"/>
      <c r="CC95" s="36" t="n"/>
      <c r="CD95" s="36" t="n"/>
      <c r="CE95" s="36" t="n"/>
      <c r="CF95" s="36" t="n"/>
      <c r="CG95" s="36" t="n"/>
      <c r="CH95" s="36" t="n"/>
      <c r="CI95" s="36" t="n"/>
      <c r="CJ95" s="36" t="n"/>
      <c r="CK95" s="36" t="n"/>
    </row>
    <row r="96" ht="34" customHeight="1">
      <c r="A96" s="38" t="n"/>
      <c r="B96" s="42">
        <f>IFERROR(INDEX(People!$B$2:$B$199,MATCH(INDEX(Teams!$B$2:$B$9,MATCH(2,Teams!$D$2:$D$9,0))&amp;"#"&amp;5,People!$H$2:$H$199,0)),"")</f>
        <v/>
      </c>
      <c r="C96" s="26">
        <f>IF(TRIM($B96)="","",IFERROR(INDEX(People!$A$2:$A$199,MATCH(TRIM($B96),People!$B$2:$B$199,0)),"?? CHECK NAME"))</f>
        <v/>
      </c>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c r="AF96" s="36" t="n"/>
      <c r="AG96" s="36" t="n"/>
      <c r="AH96" s="36" t="n"/>
      <c r="AI96" s="36" t="n"/>
      <c r="AJ96" s="36" t="n"/>
      <c r="AK96" s="36" t="n"/>
      <c r="AL96" s="36" t="n"/>
      <c r="AM96" s="36" t="n"/>
      <c r="AN96" s="36" t="n"/>
      <c r="AO96" s="36" t="n"/>
      <c r="AP96" s="36" t="n"/>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c r="BL96" s="36" t="n"/>
      <c r="BM96" s="36" t="n"/>
      <c r="BN96" s="36" t="n"/>
      <c r="BO96" s="36" t="n"/>
      <c r="BP96" s="36" t="n"/>
      <c r="BQ96" s="36" t="n"/>
      <c r="BR96" s="36" t="n"/>
      <c r="BS96" s="36" t="n"/>
      <c r="BT96" s="36" t="n"/>
      <c r="BU96" s="36" t="n"/>
      <c r="BV96" s="36" t="n"/>
      <c r="BW96" s="36" t="n"/>
      <c r="BX96" s="36" t="n"/>
      <c r="BY96" s="36" t="n"/>
      <c r="BZ96" s="36" t="n"/>
      <c r="CA96" s="36" t="n"/>
      <c r="CB96" s="36" t="n"/>
      <c r="CC96" s="36" t="n"/>
      <c r="CD96" s="36" t="n"/>
      <c r="CE96" s="36" t="n"/>
      <c r="CF96" s="36" t="n"/>
      <c r="CG96" s="36" t="n"/>
      <c r="CH96" s="36" t="n"/>
      <c r="CI96" s="36" t="n"/>
      <c r="CJ96" s="36" t="n"/>
      <c r="CK96" s="36" t="n"/>
    </row>
    <row r="97" ht="34" customHeight="1">
      <c r="A97" s="41">
        <f>IFERROR("Show Order "&amp;3&amp;"  —  "&amp;INDEX(Teams!$B$2:$B$9,MATCH(3,Teams!$D$2:$D$9,0)),"Show Order "&amp;3&amp;"  —  (not drawn)")</f>
        <v/>
      </c>
      <c r="B97" s="42">
        <f>IFERROR(INDEX(People!$B$2:$B$199,MATCH(INDEX(Teams!$B$2:$B$9,MATCH(3,Teams!$D$2:$D$9,0))&amp;"#"&amp;1,People!$H$2:$H$199,0)),"")</f>
        <v/>
      </c>
      <c r="C97" s="26">
        <f>IF(TRIM($B97)="","",IFERROR(INDEX(People!$A$2:$A$199,MATCH(TRIM($B97),People!$B$2:$B$199,0)),"?? CHECK NAME"))</f>
        <v/>
      </c>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c r="AF97" s="36" t="n"/>
      <c r="AG97" s="36" t="n"/>
      <c r="AH97" s="36" t="n"/>
      <c r="AI97" s="36" t="n"/>
      <c r="AJ97" s="36" t="n"/>
      <c r="AK97" s="36" t="n"/>
      <c r="AL97" s="36" t="n"/>
      <c r="AM97" s="36" t="n"/>
      <c r="AN97" s="36" t="n"/>
      <c r="AO97" s="36" t="n"/>
      <c r="AP97" s="36" t="n"/>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c r="BP97" s="36" t="n"/>
      <c r="BQ97" s="36" t="n"/>
      <c r="BR97" s="36" t="n"/>
      <c r="BS97" s="36" t="n"/>
      <c r="BT97" s="36" t="n"/>
      <c r="BU97" s="36" t="n"/>
      <c r="BV97" s="36" t="n"/>
      <c r="BW97" s="36" t="n"/>
      <c r="BX97" s="36" t="n"/>
      <c r="BY97" s="36" t="n"/>
      <c r="BZ97" s="36" t="n"/>
      <c r="CA97" s="36" t="n"/>
      <c r="CB97" s="36" t="n"/>
      <c r="CC97" s="36" t="n"/>
      <c r="CD97" s="36" t="n"/>
      <c r="CE97" s="36" t="n"/>
      <c r="CF97" s="36" t="n"/>
      <c r="CG97" s="36" t="n"/>
      <c r="CH97" s="36" t="n"/>
      <c r="CI97" s="36" t="n"/>
      <c r="CJ97" s="36" t="n"/>
      <c r="CK97" s="36" t="n"/>
    </row>
    <row r="98" ht="34" customHeight="1">
      <c r="A98" s="37" t="n"/>
      <c r="B98" s="42">
        <f>IFERROR(INDEX(People!$B$2:$B$199,MATCH(INDEX(Teams!$B$2:$B$9,MATCH(3,Teams!$D$2:$D$9,0))&amp;"#"&amp;2,People!$H$2:$H$199,0)),"")</f>
        <v/>
      </c>
      <c r="C98" s="26">
        <f>IF(TRIM($B98)="","",IFERROR(INDEX(People!$A$2:$A$199,MATCH(TRIM($B98),People!$B$2:$B$199,0)),"?? CHECK NAME"))</f>
        <v/>
      </c>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c r="BL98" s="36" t="n"/>
      <c r="BM98" s="36" t="n"/>
      <c r="BN98" s="36" t="n"/>
      <c r="BO98" s="36" t="n"/>
      <c r="BP98" s="36" t="n"/>
      <c r="BQ98" s="36" t="n"/>
      <c r="BR98" s="36" t="n"/>
      <c r="BS98" s="36" t="n"/>
      <c r="BT98" s="36" t="n"/>
      <c r="BU98" s="36" t="n"/>
      <c r="BV98" s="36" t="n"/>
      <c r="BW98" s="36" t="n"/>
      <c r="BX98" s="36" t="n"/>
      <c r="BY98" s="36" t="n"/>
      <c r="BZ98" s="36" t="n"/>
      <c r="CA98" s="36" t="n"/>
      <c r="CB98" s="36" t="n"/>
      <c r="CC98" s="36" t="n"/>
      <c r="CD98" s="36" t="n"/>
      <c r="CE98" s="36" t="n"/>
      <c r="CF98" s="36" t="n"/>
      <c r="CG98" s="36" t="n"/>
      <c r="CH98" s="36" t="n"/>
      <c r="CI98" s="36" t="n"/>
      <c r="CJ98" s="36" t="n"/>
      <c r="CK98" s="36" t="n"/>
    </row>
    <row r="99" ht="34" customHeight="1">
      <c r="A99" s="37" t="n"/>
      <c r="B99" s="42">
        <f>IFERROR(INDEX(People!$B$2:$B$199,MATCH(INDEX(Teams!$B$2:$B$9,MATCH(3,Teams!$D$2:$D$9,0))&amp;"#"&amp;3,People!$H$2:$H$199,0)),"")</f>
        <v/>
      </c>
      <c r="C99" s="26">
        <f>IF(TRIM($B99)="","",IFERROR(INDEX(People!$A$2:$A$199,MATCH(TRIM($B99),People!$B$2:$B$199,0)),"?? CHECK NAME"))</f>
        <v/>
      </c>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c r="AF99" s="36" t="n"/>
      <c r="AG99" s="36" t="n"/>
      <c r="AH99" s="36" t="n"/>
      <c r="AI99" s="36" t="n"/>
      <c r="AJ99" s="36" t="n"/>
      <c r="AK99" s="36" t="n"/>
      <c r="AL99" s="36" t="n"/>
      <c r="AM99" s="36" t="n"/>
      <c r="AN99" s="36" t="n"/>
      <c r="AO99" s="36" t="n"/>
      <c r="AP99" s="36" t="n"/>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c r="BL99" s="36" t="n"/>
      <c r="BM99" s="36" t="n"/>
      <c r="BN99" s="36" t="n"/>
      <c r="BO99" s="36" t="n"/>
      <c r="BP99" s="36" t="n"/>
      <c r="BQ99" s="36" t="n"/>
      <c r="BR99" s="36" t="n"/>
      <c r="BS99" s="36" t="n"/>
      <c r="BT99" s="36" t="n"/>
      <c r="BU99" s="36" t="n"/>
      <c r="BV99" s="36" t="n"/>
      <c r="BW99" s="36" t="n"/>
      <c r="BX99" s="36" t="n"/>
      <c r="BY99" s="36" t="n"/>
      <c r="BZ99" s="36" t="n"/>
      <c r="CA99" s="36" t="n"/>
      <c r="CB99" s="36" t="n"/>
      <c r="CC99" s="36" t="n"/>
      <c r="CD99" s="36" t="n"/>
      <c r="CE99" s="36" t="n"/>
      <c r="CF99" s="36" t="n"/>
      <c r="CG99" s="36" t="n"/>
      <c r="CH99" s="36" t="n"/>
      <c r="CI99" s="36" t="n"/>
      <c r="CJ99" s="36" t="n"/>
      <c r="CK99" s="36" t="n"/>
    </row>
    <row r="100" ht="34" customHeight="1">
      <c r="A100" s="37" t="n"/>
      <c r="B100" s="42">
        <f>IFERROR(INDEX(People!$B$2:$B$199,MATCH(INDEX(Teams!$B$2:$B$9,MATCH(3,Teams!$D$2:$D$9,0))&amp;"#"&amp;4,People!$H$2:$H$199,0)),"")</f>
        <v/>
      </c>
      <c r="C100" s="26">
        <f>IF(TRIM($B100)="","",IFERROR(INDEX(People!$A$2:$A$199,MATCH(TRIM($B100),People!$B$2:$B$199,0)),"?? CHECK NAME"))</f>
        <v/>
      </c>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c r="AF100" s="36" t="n"/>
      <c r="AG100" s="36" t="n"/>
      <c r="AH100" s="36" t="n"/>
      <c r="AI100" s="36" t="n"/>
      <c r="AJ100" s="36" t="n"/>
      <c r="AK100" s="36" t="n"/>
      <c r="AL100" s="36" t="n"/>
      <c r="AM100" s="36" t="n"/>
      <c r="AN100" s="36" t="n"/>
      <c r="AO100" s="36" t="n"/>
      <c r="AP100" s="36" t="n"/>
      <c r="AQ100" s="36" t="n"/>
      <c r="AR100" s="36" t="n"/>
      <c r="AS100" s="36" t="n"/>
      <c r="AT100" s="36" t="n"/>
      <c r="AU100" s="36" t="n"/>
      <c r="AV100" s="36" t="n"/>
      <c r="AW100" s="36" t="n"/>
      <c r="AX100" s="36" t="n"/>
      <c r="AY100" s="36" t="n"/>
      <c r="AZ100" s="36" t="n"/>
      <c r="BA100" s="36" t="n"/>
      <c r="BB100" s="36" t="n"/>
      <c r="BC100" s="36" t="n"/>
      <c r="BD100" s="36" t="n"/>
      <c r="BE100" s="36" t="n"/>
      <c r="BF100" s="36" t="n"/>
      <c r="BG100" s="36" t="n"/>
      <c r="BH100" s="36" t="n"/>
      <c r="BI100" s="36" t="n"/>
      <c r="BJ100" s="36" t="n"/>
      <c r="BK100" s="36" t="n"/>
      <c r="BL100" s="36" t="n"/>
      <c r="BM100" s="36" t="n"/>
      <c r="BN100" s="36" t="n"/>
      <c r="BO100" s="36" t="n"/>
      <c r="BP100" s="36" t="n"/>
      <c r="BQ100" s="36" t="n"/>
      <c r="BR100" s="36" t="n"/>
      <c r="BS100" s="36" t="n"/>
      <c r="BT100" s="36" t="n"/>
      <c r="BU100" s="36" t="n"/>
      <c r="BV100" s="36" t="n"/>
      <c r="BW100" s="36" t="n"/>
      <c r="BX100" s="36" t="n"/>
      <c r="BY100" s="36" t="n"/>
      <c r="BZ100" s="36" t="n"/>
      <c r="CA100" s="36" t="n"/>
      <c r="CB100" s="36" t="n"/>
      <c r="CC100" s="36" t="n"/>
      <c r="CD100" s="36" t="n"/>
      <c r="CE100" s="36" t="n"/>
      <c r="CF100" s="36" t="n"/>
      <c r="CG100" s="36" t="n"/>
      <c r="CH100" s="36" t="n"/>
      <c r="CI100" s="36" t="n"/>
      <c r="CJ100" s="36" t="n"/>
      <c r="CK100" s="36" t="n"/>
    </row>
    <row r="101" ht="34" customHeight="1">
      <c r="A101" s="38" t="n"/>
      <c r="B101" s="42">
        <f>IFERROR(INDEX(People!$B$2:$B$199,MATCH(INDEX(Teams!$B$2:$B$9,MATCH(3,Teams!$D$2:$D$9,0))&amp;"#"&amp;5,People!$H$2:$H$199,0)),"")</f>
        <v/>
      </c>
      <c r="C101" s="26">
        <f>IF(TRIM($B101)="","",IFERROR(INDEX(People!$A$2:$A$199,MATCH(TRIM($B101),People!$B$2:$B$199,0)),"?? CHECK NAME"))</f>
        <v/>
      </c>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c r="AF101" s="36" t="n"/>
      <c r="AG101" s="36" t="n"/>
      <c r="AH101" s="36" t="n"/>
      <c r="AI101" s="36" t="n"/>
      <c r="AJ101" s="36" t="n"/>
      <c r="AK101" s="36" t="n"/>
      <c r="AL101" s="36" t="n"/>
      <c r="AM101" s="36" t="n"/>
      <c r="AN101" s="36" t="n"/>
      <c r="AO101" s="36" t="n"/>
      <c r="AP101" s="36" t="n"/>
      <c r="AQ101" s="36" t="n"/>
      <c r="AR101" s="36" t="n"/>
      <c r="AS101" s="36" t="n"/>
      <c r="AT101" s="36" t="n"/>
      <c r="AU101" s="36" t="n"/>
      <c r="AV101" s="36" t="n"/>
      <c r="AW101" s="36" t="n"/>
      <c r="AX101" s="36" t="n"/>
      <c r="AY101" s="36" t="n"/>
      <c r="AZ101" s="36" t="n"/>
      <c r="BA101" s="36" t="n"/>
      <c r="BB101" s="36" t="n"/>
      <c r="BC101" s="36" t="n"/>
      <c r="BD101" s="36" t="n"/>
      <c r="BE101" s="36" t="n"/>
      <c r="BF101" s="36" t="n"/>
      <c r="BG101" s="36" t="n"/>
      <c r="BH101" s="36" t="n"/>
      <c r="BI101" s="36" t="n"/>
      <c r="BJ101" s="36" t="n"/>
      <c r="BK101" s="36" t="n"/>
      <c r="BL101" s="36" t="n"/>
      <c r="BM101" s="36" t="n"/>
      <c r="BN101" s="36" t="n"/>
      <c r="BO101" s="36" t="n"/>
      <c r="BP101" s="36" t="n"/>
      <c r="BQ101" s="36" t="n"/>
      <c r="BR101" s="36" t="n"/>
      <c r="BS101" s="36" t="n"/>
      <c r="BT101" s="36" t="n"/>
      <c r="BU101" s="36" t="n"/>
      <c r="BV101" s="36" t="n"/>
      <c r="BW101" s="36" t="n"/>
      <c r="BX101" s="36" t="n"/>
      <c r="BY101" s="36" t="n"/>
      <c r="BZ101" s="36" t="n"/>
      <c r="CA101" s="36" t="n"/>
      <c r="CB101" s="36" t="n"/>
      <c r="CC101" s="36" t="n"/>
      <c r="CD101" s="36" t="n"/>
      <c r="CE101" s="36" t="n"/>
      <c r="CF101" s="36" t="n"/>
      <c r="CG101" s="36" t="n"/>
      <c r="CH101" s="36" t="n"/>
      <c r="CI101" s="36" t="n"/>
      <c r="CJ101" s="36" t="n"/>
      <c r="CK101" s="36" t="n"/>
    </row>
    <row r="102" ht="34" customHeight="1">
      <c r="A102" s="41">
        <f>IFERROR("Show Order "&amp;4&amp;"  —  "&amp;INDEX(Teams!$B$2:$B$9,MATCH(4,Teams!$D$2:$D$9,0)),"Show Order "&amp;4&amp;"  —  (not drawn)")</f>
        <v/>
      </c>
      <c r="B102" s="42">
        <f>IFERROR(INDEX(People!$B$2:$B$199,MATCH(INDEX(Teams!$B$2:$B$9,MATCH(4,Teams!$D$2:$D$9,0))&amp;"#"&amp;1,People!$H$2:$H$199,0)),"")</f>
        <v/>
      </c>
      <c r="C102" s="26">
        <f>IF(TRIM($B102)="","",IFERROR(INDEX(People!$A$2:$A$199,MATCH(TRIM($B102),People!$B$2:$B$199,0)),"?? CHECK NAME"))</f>
        <v/>
      </c>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c r="AF102" s="36" t="n"/>
      <c r="AG102" s="36" t="n"/>
      <c r="AH102" s="36" t="n"/>
      <c r="AI102" s="36" t="n"/>
      <c r="AJ102" s="36" t="n"/>
      <c r="AK102" s="36" t="n"/>
      <c r="AL102" s="36" t="n"/>
      <c r="AM102" s="36" t="n"/>
      <c r="AN102" s="36" t="n"/>
      <c r="AO102" s="36" t="n"/>
      <c r="AP102" s="36" t="n"/>
      <c r="AQ102" s="36" t="n"/>
      <c r="AR102" s="36" t="n"/>
      <c r="AS102" s="36" t="n"/>
      <c r="AT102" s="36" t="n"/>
      <c r="AU102" s="36" t="n"/>
      <c r="AV102" s="36" t="n"/>
      <c r="AW102" s="36" t="n"/>
      <c r="AX102" s="36" t="n"/>
      <c r="AY102" s="36" t="n"/>
      <c r="AZ102" s="36" t="n"/>
      <c r="BA102" s="36" t="n"/>
      <c r="BB102" s="36" t="n"/>
      <c r="BC102" s="36" t="n"/>
      <c r="BD102" s="36" t="n"/>
      <c r="BE102" s="36" t="n"/>
      <c r="BF102" s="36" t="n"/>
      <c r="BG102" s="36" t="n"/>
      <c r="BH102" s="36" t="n"/>
      <c r="BI102" s="36" t="n"/>
      <c r="BJ102" s="36" t="n"/>
      <c r="BK102" s="36" t="n"/>
      <c r="BL102" s="36" t="n"/>
      <c r="BM102" s="36" t="n"/>
      <c r="BN102" s="36" t="n"/>
      <c r="BO102" s="36" t="n"/>
      <c r="BP102" s="36" t="n"/>
      <c r="BQ102" s="36" t="n"/>
      <c r="BR102" s="36" t="n"/>
      <c r="BS102" s="36" t="n"/>
      <c r="BT102" s="36" t="n"/>
      <c r="BU102" s="36" t="n"/>
      <c r="BV102" s="36" t="n"/>
      <c r="BW102" s="36" t="n"/>
      <c r="BX102" s="36" t="n"/>
      <c r="BY102" s="36" t="n"/>
      <c r="BZ102" s="36" t="n"/>
      <c r="CA102" s="36" t="n"/>
      <c r="CB102" s="36" t="n"/>
      <c r="CC102" s="36" t="n"/>
      <c r="CD102" s="36" t="n"/>
      <c r="CE102" s="36" t="n"/>
      <c r="CF102" s="36" t="n"/>
      <c r="CG102" s="36" t="n"/>
      <c r="CH102" s="36" t="n"/>
      <c r="CI102" s="36" t="n"/>
      <c r="CJ102" s="36" t="n"/>
      <c r="CK102" s="36" t="n"/>
    </row>
    <row r="103" ht="34" customHeight="1">
      <c r="A103" s="37" t="n"/>
      <c r="B103" s="42">
        <f>IFERROR(INDEX(People!$B$2:$B$199,MATCH(INDEX(Teams!$B$2:$B$9,MATCH(4,Teams!$D$2:$D$9,0))&amp;"#"&amp;2,People!$H$2:$H$199,0)),"")</f>
        <v/>
      </c>
      <c r="C103" s="26">
        <f>IF(TRIM($B103)="","",IFERROR(INDEX(People!$A$2:$A$199,MATCH(TRIM($B103),People!$B$2:$B$199,0)),"?? CHECK NAME"))</f>
        <v/>
      </c>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c r="AF103" s="36" t="n"/>
      <c r="AG103" s="36" t="n"/>
      <c r="AH103" s="36" t="n"/>
      <c r="AI103" s="36" t="n"/>
      <c r="AJ103" s="36" t="n"/>
      <c r="AK103" s="36" t="n"/>
      <c r="AL103" s="36" t="n"/>
      <c r="AM103" s="36" t="n"/>
      <c r="AN103" s="36" t="n"/>
      <c r="AO103" s="36" t="n"/>
      <c r="AP103" s="36" t="n"/>
      <c r="AQ103" s="36" t="n"/>
      <c r="AR103" s="36" t="n"/>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c r="BL103" s="36" t="n"/>
      <c r="BM103" s="36" t="n"/>
      <c r="BN103" s="36" t="n"/>
      <c r="BO103" s="36" t="n"/>
      <c r="BP103" s="36" t="n"/>
      <c r="BQ103" s="36" t="n"/>
      <c r="BR103" s="36" t="n"/>
      <c r="BS103" s="36" t="n"/>
      <c r="BT103" s="36" t="n"/>
      <c r="BU103" s="36" t="n"/>
      <c r="BV103" s="36" t="n"/>
      <c r="BW103" s="36" t="n"/>
      <c r="BX103" s="36" t="n"/>
      <c r="BY103" s="36" t="n"/>
      <c r="BZ103" s="36" t="n"/>
      <c r="CA103" s="36" t="n"/>
      <c r="CB103" s="36" t="n"/>
      <c r="CC103" s="36" t="n"/>
      <c r="CD103" s="36" t="n"/>
      <c r="CE103" s="36" t="n"/>
      <c r="CF103" s="36" t="n"/>
      <c r="CG103" s="36" t="n"/>
      <c r="CH103" s="36" t="n"/>
      <c r="CI103" s="36" t="n"/>
      <c r="CJ103" s="36" t="n"/>
      <c r="CK103" s="36" t="n"/>
    </row>
    <row r="104" ht="34" customHeight="1">
      <c r="A104" s="37" t="n"/>
      <c r="B104" s="42">
        <f>IFERROR(INDEX(People!$B$2:$B$199,MATCH(INDEX(Teams!$B$2:$B$9,MATCH(4,Teams!$D$2:$D$9,0))&amp;"#"&amp;3,People!$H$2:$H$199,0)),"")</f>
        <v/>
      </c>
      <c r="C104" s="26">
        <f>IF(TRIM($B104)="","",IFERROR(INDEX(People!$A$2:$A$199,MATCH(TRIM($B104),People!$B$2:$B$199,0)),"?? CHECK NAME"))</f>
        <v/>
      </c>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c r="AF104" s="36" t="n"/>
      <c r="AG104" s="36" t="n"/>
      <c r="AH104" s="36" t="n"/>
      <c r="AI104" s="36" t="n"/>
      <c r="AJ104" s="36" t="n"/>
      <c r="AK104" s="36" t="n"/>
      <c r="AL104" s="36" t="n"/>
      <c r="AM104" s="36" t="n"/>
      <c r="AN104" s="36" t="n"/>
      <c r="AO104" s="36" t="n"/>
      <c r="AP104" s="36" t="n"/>
      <c r="AQ104" s="36" t="n"/>
      <c r="AR104" s="36" t="n"/>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c r="BL104" s="36" t="n"/>
      <c r="BM104" s="36" t="n"/>
      <c r="BN104" s="36" t="n"/>
      <c r="BO104" s="36" t="n"/>
      <c r="BP104" s="36" t="n"/>
      <c r="BQ104" s="36" t="n"/>
      <c r="BR104" s="36" t="n"/>
      <c r="BS104" s="36" t="n"/>
      <c r="BT104" s="36" t="n"/>
      <c r="BU104" s="36" t="n"/>
      <c r="BV104" s="36" t="n"/>
      <c r="BW104" s="36" t="n"/>
      <c r="BX104" s="36" t="n"/>
      <c r="BY104" s="36" t="n"/>
      <c r="BZ104" s="36" t="n"/>
      <c r="CA104" s="36" t="n"/>
      <c r="CB104" s="36" t="n"/>
      <c r="CC104" s="36" t="n"/>
      <c r="CD104" s="36" t="n"/>
      <c r="CE104" s="36" t="n"/>
      <c r="CF104" s="36" t="n"/>
      <c r="CG104" s="36" t="n"/>
      <c r="CH104" s="36" t="n"/>
      <c r="CI104" s="36" t="n"/>
      <c r="CJ104" s="36" t="n"/>
      <c r="CK104" s="36" t="n"/>
    </row>
    <row r="105" ht="34" customHeight="1">
      <c r="A105" s="37" t="n"/>
      <c r="B105" s="42">
        <f>IFERROR(INDEX(People!$B$2:$B$199,MATCH(INDEX(Teams!$B$2:$B$9,MATCH(4,Teams!$D$2:$D$9,0))&amp;"#"&amp;4,People!$H$2:$H$199,0)),"")</f>
        <v/>
      </c>
      <c r="C105" s="26">
        <f>IF(TRIM($B105)="","",IFERROR(INDEX(People!$A$2:$A$199,MATCH(TRIM($B105),People!$B$2:$B$199,0)),"?? CHECK NAME"))</f>
        <v/>
      </c>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c r="AF105" s="36" t="n"/>
      <c r="AG105" s="36" t="n"/>
      <c r="AH105" s="36" t="n"/>
      <c r="AI105" s="36" t="n"/>
      <c r="AJ105" s="36" t="n"/>
      <c r="AK105" s="36" t="n"/>
      <c r="AL105" s="36" t="n"/>
      <c r="AM105" s="36" t="n"/>
      <c r="AN105" s="36" t="n"/>
      <c r="AO105" s="36" t="n"/>
      <c r="AP105" s="36" t="n"/>
      <c r="AQ105" s="36" t="n"/>
      <c r="AR105" s="36" t="n"/>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c r="BL105" s="36" t="n"/>
      <c r="BM105" s="36" t="n"/>
      <c r="BN105" s="36" t="n"/>
      <c r="BO105" s="36" t="n"/>
      <c r="BP105" s="36" t="n"/>
      <c r="BQ105" s="36" t="n"/>
      <c r="BR105" s="36" t="n"/>
      <c r="BS105" s="36" t="n"/>
      <c r="BT105" s="36" t="n"/>
      <c r="BU105" s="36" t="n"/>
      <c r="BV105" s="36" t="n"/>
      <c r="BW105" s="36" t="n"/>
      <c r="BX105" s="36" t="n"/>
      <c r="BY105" s="36" t="n"/>
      <c r="BZ105" s="36" t="n"/>
      <c r="CA105" s="36" t="n"/>
      <c r="CB105" s="36" t="n"/>
      <c r="CC105" s="36" t="n"/>
      <c r="CD105" s="36" t="n"/>
      <c r="CE105" s="36" t="n"/>
      <c r="CF105" s="36" t="n"/>
      <c r="CG105" s="36" t="n"/>
      <c r="CH105" s="36" t="n"/>
      <c r="CI105" s="36" t="n"/>
      <c r="CJ105" s="36" t="n"/>
      <c r="CK105" s="36" t="n"/>
    </row>
    <row r="106" ht="34" customHeight="1">
      <c r="A106" s="38" t="n"/>
      <c r="B106" s="42">
        <f>IFERROR(INDEX(People!$B$2:$B$199,MATCH(INDEX(Teams!$B$2:$B$9,MATCH(4,Teams!$D$2:$D$9,0))&amp;"#"&amp;5,People!$H$2:$H$199,0)),"")</f>
        <v/>
      </c>
      <c r="C106" s="26">
        <f>IF(TRIM($B106)="","",IFERROR(INDEX(People!$A$2:$A$199,MATCH(TRIM($B106),People!$B$2:$B$199,0)),"?? CHECK NAME"))</f>
        <v/>
      </c>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c r="AF106" s="36" t="n"/>
      <c r="AG106" s="36" t="n"/>
      <c r="AH106" s="36" t="n"/>
      <c r="AI106" s="36" t="n"/>
      <c r="AJ106" s="36" t="n"/>
      <c r="AK106" s="36" t="n"/>
      <c r="AL106" s="36" t="n"/>
      <c r="AM106" s="36" t="n"/>
      <c r="AN106" s="36" t="n"/>
      <c r="AO106" s="36" t="n"/>
      <c r="AP106" s="36" t="n"/>
      <c r="AQ106" s="36" t="n"/>
      <c r="AR106" s="36" t="n"/>
      <c r="AS106" s="36" t="n"/>
      <c r="AT106" s="36" t="n"/>
      <c r="AU106" s="36" t="n"/>
      <c r="AV106" s="36" t="n"/>
      <c r="AW106" s="36" t="n"/>
      <c r="AX106" s="36" t="n"/>
      <c r="AY106" s="36" t="n"/>
      <c r="AZ106" s="36" t="n"/>
      <c r="BA106" s="36" t="n"/>
      <c r="BB106" s="36" t="n"/>
      <c r="BC106" s="36" t="n"/>
      <c r="BD106" s="36" t="n"/>
      <c r="BE106" s="36" t="n"/>
      <c r="BF106" s="36" t="n"/>
      <c r="BG106" s="36" t="n"/>
      <c r="BH106" s="36" t="n"/>
      <c r="BI106" s="36" t="n"/>
      <c r="BJ106" s="36" t="n"/>
      <c r="BK106" s="36" t="n"/>
      <c r="BL106" s="36" t="n"/>
      <c r="BM106" s="36" t="n"/>
      <c r="BN106" s="36" t="n"/>
      <c r="BO106" s="36" t="n"/>
      <c r="BP106" s="36" t="n"/>
      <c r="BQ106" s="36" t="n"/>
      <c r="BR106" s="36" t="n"/>
      <c r="BS106" s="36" t="n"/>
      <c r="BT106" s="36" t="n"/>
      <c r="BU106" s="36" t="n"/>
      <c r="BV106" s="36" t="n"/>
      <c r="BW106" s="36" t="n"/>
      <c r="BX106" s="36" t="n"/>
      <c r="BY106" s="36" t="n"/>
      <c r="BZ106" s="36" t="n"/>
      <c r="CA106" s="36" t="n"/>
      <c r="CB106" s="36" t="n"/>
      <c r="CC106" s="36" t="n"/>
      <c r="CD106" s="36" t="n"/>
      <c r="CE106" s="36" t="n"/>
      <c r="CF106" s="36" t="n"/>
      <c r="CG106" s="36" t="n"/>
      <c r="CH106" s="36" t="n"/>
      <c r="CI106" s="36" t="n"/>
      <c r="CJ106" s="36" t="n"/>
      <c r="CK106" s="36" t="n"/>
    </row>
    <row r="107" ht="34" customHeight="1">
      <c r="A107" s="41">
        <f>IFERROR("Show Order "&amp;5&amp;"  —  "&amp;INDEX(Teams!$B$2:$B$9,MATCH(5,Teams!$D$2:$D$9,0)),"Show Order "&amp;5&amp;"  —  (not drawn)")</f>
        <v/>
      </c>
      <c r="B107" s="42">
        <f>IFERROR(INDEX(People!$B$2:$B$199,MATCH(INDEX(Teams!$B$2:$B$9,MATCH(5,Teams!$D$2:$D$9,0))&amp;"#"&amp;1,People!$H$2:$H$199,0)),"")</f>
        <v/>
      </c>
      <c r="C107" s="26">
        <f>IF(TRIM($B107)="","",IFERROR(INDEX(People!$A$2:$A$199,MATCH(TRIM($B107),People!$B$2:$B$199,0)),"?? CHECK NAME"))</f>
        <v/>
      </c>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c r="AF107" s="36" t="n"/>
      <c r="AG107" s="36" t="n"/>
      <c r="AH107" s="36" t="n"/>
      <c r="AI107" s="36" t="n"/>
      <c r="AJ107" s="36" t="n"/>
      <c r="AK107" s="36" t="n"/>
      <c r="AL107" s="36" t="n"/>
      <c r="AM107" s="36" t="n"/>
      <c r="AN107" s="36" t="n"/>
      <c r="AO107" s="36" t="n"/>
      <c r="AP107" s="36" t="n"/>
      <c r="AQ107" s="36" t="n"/>
      <c r="AR107" s="36" t="n"/>
      <c r="AS107" s="36" t="n"/>
      <c r="AT107" s="36" t="n"/>
      <c r="AU107" s="36" t="n"/>
      <c r="AV107" s="36" t="n"/>
      <c r="AW107" s="36" t="n"/>
      <c r="AX107" s="36" t="n"/>
      <c r="AY107" s="36" t="n"/>
      <c r="AZ107" s="36" t="n"/>
      <c r="BA107" s="36" t="n"/>
      <c r="BB107" s="36" t="n"/>
      <c r="BC107" s="36" t="n"/>
      <c r="BD107" s="36" t="n"/>
      <c r="BE107" s="36" t="n"/>
      <c r="BF107" s="36" t="n"/>
      <c r="BG107" s="36" t="n"/>
      <c r="BH107" s="36" t="n"/>
      <c r="BI107" s="36" t="n"/>
      <c r="BJ107" s="36" t="n"/>
      <c r="BK107" s="36" t="n"/>
      <c r="BL107" s="36" t="n"/>
      <c r="BM107" s="36" t="n"/>
      <c r="BN107" s="36" t="n"/>
      <c r="BO107" s="36" t="n"/>
      <c r="BP107" s="36" t="n"/>
      <c r="BQ107" s="36" t="n"/>
      <c r="BR107" s="36" t="n"/>
      <c r="BS107" s="36" t="n"/>
      <c r="BT107" s="36" t="n"/>
      <c r="BU107" s="36" t="n"/>
      <c r="BV107" s="36" t="n"/>
      <c r="BW107" s="36" t="n"/>
      <c r="BX107" s="36" t="n"/>
      <c r="BY107" s="36" t="n"/>
      <c r="BZ107" s="36" t="n"/>
      <c r="CA107" s="36" t="n"/>
      <c r="CB107" s="36" t="n"/>
      <c r="CC107" s="36" t="n"/>
      <c r="CD107" s="36" t="n"/>
      <c r="CE107" s="36" t="n"/>
      <c r="CF107" s="36" t="n"/>
      <c r="CG107" s="36" t="n"/>
      <c r="CH107" s="36" t="n"/>
      <c r="CI107" s="36" t="n"/>
      <c r="CJ107" s="36" t="n"/>
      <c r="CK107" s="36" t="n"/>
    </row>
    <row r="108" ht="34" customHeight="1">
      <c r="A108" s="37" t="n"/>
      <c r="B108" s="42">
        <f>IFERROR(INDEX(People!$B$2:$B$199,MATCH(INDEX(Teams!$B$2:$B$9,MATCH(5,Teams!$D$2:$D$9,0))&amp;"#"&amp;2,People!$H$2:$H$199,0)),"")</f>
        <v/>
      </c>
      <c r="C108" s="26">
        <f>IF(TRIM($B108)="","",IFERROR(INDEX(People!$A$2:$A$199,MATCH(TRIM($B108),People!$B$2:$B$199,0)),"?? CHECK NAME"))</f>
        <v/>
      </c>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c r="AF108" s="36" t="n"/>
      <c r="AG108" s="36" t="n"/>
      <c r="AH108" s="36" t="n"/>
      <c r="AI108" s="36" t="n"/>
      <c r="AJ108" s="36" t="n"/>
      <c r="AK108" s="36" t="n"/>
      <c r="AL108" s="36" t="n"/>
      <c r="AM108" s="36" t="n"/>
      <c r="AN108" s="36" t="n"/>
      <c r="AO108" s="36" t="n"/>
      <c r="AP108" s="36" t="n"/>
      <c r="AQ108" s="36" t="n"/>
      <c r="AR108" s="36" t="n"/>
      <c r="AS108" s="36" t="n"/>
      <c r="AT108" s="36" t="n"/>
      <c r="AU108" s="36" t="n"/>
      <c r="AV108" s="36" t="n"/>
      <c r="AW108" s="36" t="n"/>
      <c r="AX108" s="36" t="n"/>
      <c r="AY108" s="36" t="n"/>
      <c r="AZ108" s="36" t="n"/>
      <c r="BA108" s="36" t="n"/>
      <c r="BB108" s="36" t="n"/>
      <c r="BC108" s="36" t="n"/>
      <c r="BD108" s="36" t="n"/>
      <c r="BE108" s="36" t="n"/>
      <c r="BF108" s="36" t="n"/>
      <c r="BG108" s="36" t="n"/>
      <c r="BH108" s="36" t="n"/>
      <c r="BI108" s="36" t="n"/>
      <c r="BJ108" s="36" t="n"/>
      <c r="BK108" s="36" t="n"/>
      <c r="BL108" s="36" t="n"/>
      <c r="BM108" s="36" t="n"/>
      <c r="BN108" s="36" t="n"/>
      <c r="BO108" s="36" t="n"/>
      <c r="BP108" s="36" t="n"/>
      <c r="BQ108" s="36" t="n"/>
      <c r="BR108" s="36" t="n"/>
      <c r="BS108" s="36" t="n"/>
      <c r="BT108" s="36" t="n"/>
      <c r="BU108" s="36" t="n"/>
      <c r="BV108" s="36" t="n"/>
      <c r="BW108" s="36" t="n"/>
      <c r="BX108" s="36" t="n"/>
      <c r="BY108" s="36" t="n"/>
      <c r="BZ108" s="36" t="n"/>
      <c r="CA108" s="36" t="n"/>
      <c r="CB108" s="36" t="n"/>
      <c r="CC108" s="36" t="n"/>
      <c r="CD108" s="36" t="n"/>
      <c r="CE108" s="36" t="n"/>
      <c r="CF108" s="36" t="n"/>
      <c r="CG108" s="36" t="n"/>
      <c r="CH108" s="36" t="n"/>
      <c r="CI108" s="36" t="n"/>
      <c r="CJ108" s="36" t="n"/>
      <c r="CK108" s="36" t="n"/>
    </row>
    <row r="109" ht="34" customHeight="1">
      <c r="A109" s="37" t="n"/>
      <c r="B109" s="42">
        <f>IFERROR(INDEX(People!$B$2:$B$199,MATCH(INDEX(Teams!$B$2:$B$9,MATCH(5,Teams!$D$2:$D$9,0))&amp;"#"&amp;3,People!$H$2:$H$199,0)),"")</f>
        <v/>
      </c>
      <c r="C109" s="26">
        <f>IF(TRIM($B109)="","",IFERROR(INDEX(People!$A$2:$A$199,MATCH(TRIM($B109),People!$B$2:$B$199,0)),"?? CHECK NAME"))</f>
        <v/>
      </c>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c r="AF109" s="36" t="n"/>
      <c r="AG109" s="36" t="n"/>
      <c r="AH109" s="36" t="n"/>
      <c r="AI109" s="36" t="n"/>
      <c r="AJ109" s="36" t="n"/>
      <c r="AK109" s="36" t="n"/>
      <c r="AL109" s="36" t="n"/>
      <c r="AM109" s="36" t="n"/>
      <c r="AN109" s="36" t="n"/>
      <c r="AO109" s="36" t="n"/>
      <c r="AP109" s="36" t="n"/>
      <c r="AQ109" s="36" t="n"/>
      <c r="AR109" s="36" t="n"/>
      <c r="AS109" s="36" t="n"/>
      <c r="AT109" s="36" t="n"/>
      <c r="AU109" s="36" t="n"/>
      <c r="AV109" s="36" t="n"/>
      <c r="AW109" s="36" t="n"/>
      <c r="AX109" s="36" t="n"/>
      <c r="AY109" s="36" t="n"/>
      <c r="AZ109" s="36" t="n"/>
      <c r="BA109" s="36" t="n"/>
      <c r="BB109" s="36" t="n"/>
      <c r="BC109" s="36" t="n"/>
      <c r="BD109" s="36" t="n"/>
      <c r="BE109" s="36" t="n"/>
      <c r="BF109" s="36" t="n"/>
      <c r="BG109" s="36" t="n"/>
      <c r="BH109" s="36" t="n"/>
      <c r="BI109" s="36" t="n"/>
      <c r="BJ109" s="36" t="n"/>
      <c r="BK109" s="36" t="n"/>
      <c r="BL109" s="36" t="n"/>
      <c r="BM109" s="36" t="n"/>
      <c r="BN109" s="36" t="n"/>
      <c r="BO109" s="36" t="n"/>
      <c r="BP109" s="36" t="n"/>
      <c r="BQ109" s="36" t="n"/>
      <c r="BR109" s="36" t="n"/>
      <c r="BS109" s="36" t="n"/>
      <c r="BT109" s="36" t="n"/>
      <c r="BU109" s="36" t="n"/>
      <c r="BV109" s="36" t="n"/>
      <c r="BW109" s="36" t="n"/>
      <c r="BX109" s="36" t="n"/>
      <c r="BY109" s="36" t="n"/>
      <c r="BZ109" s="36" t="n"/>
      <c r="CA109" s="36" t="n"/>
      <c r="CB109" s="36" t="n"/>
      <c r="CC109" s="36" t="n"/>
      <c r="CD109" s="36" t="n"/>
      <c r="CE109" s="36" t="n"/>
      <c r="CF109" s="36" t="n"/>
      <c r="CG109" s="36" t="n"/>
      <c r="CH109" s="36" t="n"/>
      <c r="CI109" s="36" t="n"/>
      <c r="CJ109" s="36" t="n"/>
      <c r="CK109" s="36" t="n"/>
    </row>
    <row r="110" ht="34" customHeight="1">
      <c r="A110" s="37" t="n"/>
      <c r="B110" s="42">
        <f>IFERROR(INDEX(People!$B$2:$B$199,MATCH(INDEX(Teams!$B$2:$B$9,MATCH(5,Teams!$D$2:$D$9,0))&amp;"#"&amp;4,People!$H$2:$H$199,0)),"")</f>
        <v/>
      </c>
      <c r="C110" s="26">
        <f>IF(TRIM($B110)="","",IFERROR(INDEX(People!$A$2:$A$199,MATCH(TRIM($B110),People!$B$2:$B$199,0)),"?? CHECK NAME"))</f>
        <v/>
      </c>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c r="AF110" s="36" t="n"/>
      <c r="AG110" s="36" t="n"/>
      <c r="AH110" s="36" t="n"/>
      <c r="AI110" s="36" t="n"/>
      <c r="AJ110" s="36" t="n"/>
      <c r="AK110" s="36" t="n"/>
      <c r="AL110" s="36" t="n"/>
      <c r="AM110" s="36" t="n"/>
      <c r="AN110" s="36" t="n"/>
      <c r="AO110" s="36" t="n"/>
      <c r="AP110" s="36" t="n"/>
      <c r="AQ110" s="36" t="n"/>
      <c r="AR110" s="36" t="n"/>
      <c r="AS110" s="36" t="n"/>
      <c r="AT110" s="36" t="n"/>
      <c r="AU110" s="36" t="n"/>
      <c r="AV110" s="36" t="n"/>
      <c r="AW110" s="36" t="n"/>
      <c r="AX110" s="36" t="n"/>
      <c r="AY110" s="36" t="n"/>
      <c r="AZ110" s="36" t="n"/>
      <c r="BA110" s="36" t="n"/>
      <c r="BB110" s="36" t="n"/>
      <c r="BC110" s="36" t="n"/>
      <c r="BD110" s="36" t="n"/>
      <c r="BE110" s="36" t="n"/>
      <c r="BF110" s="36" t="n"/>
      <c r="BG110" s="36" t="n"/>
      <c r="BH110" s="36" t="n"/>
      <c r="BI110" s="36" t="n"/>
      <c r="BJ110" s="36" t="n"/>
      <c r="BK110" s="36" t="n"/>
      <c r="BL110" s="36" t="n"/>
      <c r="BM110" s="36" t="n"/>
      <c r="BN110" s="36" t="n"/>
      <c r="BO110" s="36" t="n"/>
      <c r="BP110" s="36" t="n"/>
      <c r="BQ110" s="36" t="n"/>
      <c r="BR110" s="36" t="n"/>
      <c r="BS110" s="36" t="n"/>
      <c r="BT110" s="36" t="n"/>
      <c r="BU110" s="36" t="n"/>
      <c r="BV110" s="36" t="n"/>
      <c r="BW110" s="36" t="n"/>
      <c r="BX110" s="36" t="n"/>
      <c r="BY110" s="36" t="n"/>
      <c r="BZ110" s="36" t="n"/>
      <c r="CA110" s="36" t="n"/>
      <c r="CB110" s="36" t="n"/>
      <c r="CC110" s="36" t="n"/>
      <c r="CD110" s="36" t="n"/>
      <c r="CE110" s="36" t="n"/>
      <c r="CF110" s="36" t="n"/>
      <c r="CG110" s="36" t="n"/>
      <c r="CH110" s="36" t="n"/>
      <c r="CI110" s="36" t="n"/>
      <c r="CJ110" s="36" t="n"/>
      <c r="CK110" s="36" t="n"/>
    </row>
    <row r="111" ht="34" customHeight="1">
      <c r="A111" s="38" t="n"/>
      <c r="B111" s="42">
        <f>IFERROR(INDEX(People!$B$2:$B$199,MATCH(INDEX(Teams!$B$2:$B$9,MATCH(5,Teams!$D$2:$D$9,0))&amp;"#"&amp;5,People!$H$2:$H$199,0)),"")</f>
        <v/>
      </c>
      <c r="C111" s="26">
        <f>IF(TRIM($B111)="","",IFERROR(INDEX(People!$A$2:$A$199,MATCH(TRIM($B111),People!$B$2:$B$199,0)),"?? CHECK NAME"))</f>
        <v/>
      </c>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c r="AF111" s="36" t="n"/>
      <c r="AG111" s="36" t="n"/>
      <c r="AH111" s="36" t="n"/>
      <c r="AI111" s="36" t="n"/>
      <c r="AJ111" s="36" t="n"/>
      <c r="AK111" s="36" t="n"/>
      <c r="AL111" s="36" t="n"/>
      <c r="AM111" s="36" t="n"/>
      <c r="AN111" s="36" t="n"/>
      <c r="AO111" s="36" t="n"/>
      <c r="AP111" s="36" t="n"/>
      <c r="AQ111" s="36" t="n"/>
      <c r="AR111" s="36" t="n"/>
      <c r="AS111" s="36" t="n"/>
      <c r="AT111" s="36" t="n"/>
      <c r="AU111" s="36" t="n"/>
      <c r="AV111" s="36" t="n"/>
      <c r="AW111" s="36" t="n"/>
      <c r="AX111" s="36" t="n"/>
      <c r="AY111" s="36" t="n"/>
      <c r="AZ111" s="36" t="n"/>
      <c r="BA111" s="36" t="n"/>
      <c r="BB111" s="36" t="n"/>
      <c r="BC111" s="36" t="n"/>
      <c r="BD111" s="36" t="n"/>
      <c r="BE111" s="36" t="n"/>
      <c r="BF111" s="36" t="n"/>
      <c r="BG111" s="36" t="n"/>
      <c r="BH111" s="36" t="n"/>
      <c r="BI111" s="36" t="n"/>
      <c r="BJ111" s="36" t="n"/>
      <c r="BK111" s="36" t="n"/>
      <c r="BL111" s="36" t="n"/>
      <c r="BM111" s="36" t="n"/>
      <c r="BN111" s="36" t="n"/>
      <c r="BO111" s="36" t="n"/>
      <c r="BP111" s="36" t="n"/>
      <c r="BQ111" s="36" t="n"/>
      <c r="BR111" s="36" t="n"/>
      <c r="BS111" s="36" t="n"/>
      <c r="BT111" s="36" t="n"/>
      <c r="BU111" s="36" t="n"/>
      <c r="BV111" s="36" t="n"/>
      <c r="BW111" s="36" t="n"/>
      <c r="BX111" s="36" t="n"/>
      <c r="BY111" s="36" t="n"/>
      <c r="BZ111" s="36" t="n"/>
      <c r="CA111" s="36" t="n"/>
      <c r="CB111" s="36" t="n"/>
      <c r="CC111" s="36" t="n"/>
      <c r="CD111" s="36" t="n"/>
      <c r="CE111" s="36" t="n"/>
      <c r="CF111" s="36" t="n"/>
      <c r="CG111" s="36" t="n"/>
      <c r="CH111" s="36" t="n"/>
      <c r="CI111" s="36" t="n"/>
      <c r="CJ111" s="36" t="n"/>
      <c r="CK111" s="36" t="n"/>
    </row>
    <row r="112" ht="34" customHeight="1">
      <c r="A112" s="41">
        <f>IFERROR("Show Order "&amp;6&amp;"  —  "&amp;INDEX(Teams!$B$2:$B$9,MATCH(6,Teams!$D$2:$D$9,0)),"Show Order "&amp;6&amp;"  —  (not drawn)")</f>
        <v/>
      </c>
      <c r="B112" s="42">
        <f>IFERROR(INDEX(People!$B$2:$B$199,MATCH(INDEX(Teams!$B$2:$B$9,MATCH(6,Teams!$D$2:$D$9,0))&amp;"#"&amp;1,People!$H$2:$H$199,0)),"")</f>
        <v/>
      </c>
      <c r="C112" s="26">
        <f>IF(TRIM($B112)="","",IFERROR(INDEX(People!$A$2:$A$199,MATCH(TRIM($B112),People!$B$2:$B$199,0)),"?? CHECK NAME"))</f>
        <v/>
      </c>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c r="AF112" s="36" t="n"/>
      <c r="AG112" s="36" t="n"/>
      <c r="AH112" s="36" t="n"/>
      <c r="AI112" s="36" t="n"/>
      <c r="AJ112" s="36" t="n"/>
      <c r="AK112" s="36" t="n"/>
      <c r="AL112" s="36" t="n"/>
      <c r="AM112" s="36" t="n"/>
      <c r="AN112" s="36" t="n"/>
      <c r="AO112" s="36" t="n"/>
      <c r="AP112" s="36" t="n"/>
      <c r="AQ112" s="36" t="n"/>
      <c r="AR112" s="36" t="n"/>
      <c r="AS112" s="36" t="n"/>
      <c r="AT112" s="36" t="n"/>
      <c r="AU112" s="36" t="n"/>
      <c r="AV112" s="36" t="n"/>
      <c r="AW112" s="36" t="n"/>
      <c r="AX112" s="36" t="n"/>
      <c r="AY112" s="36" t="n"/>
      <c r="AZ112" s="36" t="n"/>
      <c r="BA112" s="36" t="n"/>
      <c r="BB112" s="36" t="n"/>
      <c r="BC112" s="36" t="n"/>
      <c r="BD112" s="36" t="n"/>
      <c r="BE112" s="36" t="n"/>
      <c r="BF112" s="36" t="n"/>
      <c r="BG112" s="36" t="n"/>
      <c r="BH112" s="36" t="n"/>
      <c r="BI112" s="36" t="n"/>
      <c r="BJ112" s="36" t="n"/>
      <c r="BK112" s="36" t="n"/>
      <c r="BL112" s="36" t="n"/>
      <c r="BM112" s="36" t="n"/>
      <c r="BN112" s="36" t="n"/>
      <c r="BO112" s="36" t="n"/>
      <c r="BP112" s="36" t="n"/>
      <c r="BQ112" s="36" t="n"/>
      <c r="BR112" s="36" t="n"/>
      <c r="BS112" s="36" t="n"/>
      <c r="BT112" s="36" t="n"/>
      <c r="BU112" s="36" t="n"/>
      <c r="BV112" s="36" t="n"/>
      <c r="BW112" s="36" t="n"/>
      <c r="BX112" s="36" t="n"/>
      <c r="BY112" s="36" t="n"/>
      <c r="BZ112" s="36" t="n"/>
      <c r="CA112" s="36" t="n"/>
      <c r="CB112" s="36" t="n"/>
      <c r="CC112" s="36" t="n"/>
      <c r="CD112" s="36" t="n"/>
      <c r="CE112" s="36" t="n"/>
      <c r="CF112" s="36" t="n"/>
      <c r="CG112" s="36" t="n"/>
      <c r="CH112" s="36" t="n"/>
      <c r="CI112" s="36" t="n"/>
      <c r="CJ112" s="36" t="n"/>
      <c r="CK112" s="36" t="n"/>
    </row>
    <row r="113" ht="34" customHeight="1">
      <c r="A113" s="37" t="n"/>
      <c r="B113" s="42">
        <f>IFERROR(INDEX(People!$B$2:$B$199,MATCH(INDEX(Teams!$B$2:$B$9,MATCH(6,Teams!$D$2:$D$9,0))&amp;"#"&amp;2,People!$H$2:$H$199,0)),"")</f>
        <v/>
      </c>
      <c r="C113" s="26">
        <f>IF(TRIM($B113)="","",IFERROR(INDEX(People!$A$2:$A$199,MATCH(TRIM($B113),People!$B$2:$B$199,0)),"?? CHECK NAME"))</f>
        <v/>
      </c>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c r="AF113" s="36" t="n"/>
      <c r="AG113" s="36" t="n"/>
      <c r="AH113" s="36" t="n"/>
      <c r="AI113" s="36" t="n"/>
      <c r="AJ113" s="36" t="n"/>
      <c r="AK113" s="36" t="n"/>
      <c r="AL113" s="36" t="n"/>
      <c r="AM113" s="36" t="n"/>
      <c r="AN113" s="36" t="n"/>
      <c r="AO113" s="36" t="n"/>
      <c r="AP113" s="36" t="n"/>
      <c r="AQ113" s="36" t="n"/>
      <c r="AR113" s="36" t="n"/>
      <c r="AS113" s="36" t="n"/>
      <c r="AT113" s="36" t="n"/>
      <c r="AU113" s="36" t="n"/>
      <c r="AV113" s="36" t="n"/>
      <c r="AW113" s="36" t="n"/>
      <c r="AX113" s="36" t="n"/>
      <c r="AY113" s="36" t="n"/>
      <c r="AZ113" s="36" t="n"/>
      <c r="BA113" s="36" t="n"/>
      <c r="BB113" s="36" t="n"/>
      <c r="BC113" s="36" t="n"/>
      <c r="BD113" s="36" t="n"/>
      <c r="BE113" s="36" t="n"/>
      <c r="BF113" s="36" t="n"/>
      <c r="BG113" s="36" t="n"/>
      <c r="BH113" s="36" t="n"/>
      <c r="BI113" s="36" t="n"/>
      <c r="BJ113" s="36" t="n"/>
      <c r="BK113" s="36" t="n"/>
      <c r="BL113" s="36" t="n"/>
      <c r="BM113" s="36" t="n"/>
      <c r="BN113" s="36" t="n"/>
      <c r="BO113" s="36" t="n"/>
      <c r="BP113" s="36" t="n"/>
      <c r="BQ113" s="36" t="n"/>
      <c r="BR113" s="36" t="n"/>
      <c r="BS113" s="36" t="n"/>
      <c r="BT113" s="36" t="n"/>
      <c r="BU113" s="36" t="n"/>
      <c r="BV113" s="36" t="n"/>
      <c r="BW113" s="36" t="n"/>
      <c r="BX113" s="36" t="n"/>
      <c r="BY113" s="36" t="n"/>
      <c r="BZ113" s="36" t="n"/>
      <c r="CA113" s="36" t="n"/>
      <c r="CB113" s="36" t="n"/>
      <c r="CC113" s="36" t="n"/>
      <c r="CD113" s="36" t="n"/>
      <c r="CE113" s="36" t="n"/>
      <c r="CF113" s="36" t="n"/>
      <c r="CG113" s="36" t="n"/>
      <c r="CH113" s="36" t="n"/>
      <c r="CI113" s="36" t="n"/>
      <c r="CJ113" s="36" t="n"/>
      <c r="CK113" s="36" t="n"/>
    </row>
    <row r="114" ht="34" customHeight="1">
      <c r="A114" s="37" t="n"/>
      <c r="B114" s="42">
        <f>IFERROR(INDEX(People!$B$2:$B$199,MATCH(INDEX(Teams!$B$2:$B$9,MATCH(6,Teams!$D$2:$D$9,0))&amp;"#"&amp;3,People!$H$2:$H$199,0)),"")</f>
        <v/>
      </c>
      <c r="C114" s="26">
        <f>IF(TRIM($B114)="","",IFERROR(INDEX(People!$A$2:$A$199,MATCH(TRIM($B114),People!$B$2:$B$199,0)),"?? CHECK NAME"))</f>
        <v/>
      </c>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c r="AF114" s="36" t="n"/>
      <c r="AG114" s="36" t="n"/>
      <c r="AH114" s="36" t="n"/>
      <c r="AI114" s="36" t="n"/>
      <c r="AJ114" s="36" t="n"/>
      <c r="AK114" s="36" t="n"/>
      <c r="AL114" s="36" t="n"/>
      <c r="AM114" s="36" t="n"/>
      <c r="AN114" s="36" t="n"/>
      <c r="AO114" s="36" t="n"/>
      <c r="AP114" s="36" t="n"/>
      <c r="AQ114" s="36" t="n"/>
      <c r="AR114" s="36" t="n"/>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c r="BL114" s="36" t="n"/>
      <c r="BM114" s="36" t="n"/>
      <c r="BN114" s="36" t="n"/>
      <c r="BO114" s="36" t="n"/>
      <c r="BP114" s="36" t="n"/>
      <c r="BQ114" s="36" t="n"/>
      <c r="BR114" s="36" t="n"/>
      <c r="BS114" s="36" t="n"/>
      <c r="BT114" s="36" t="n"/>
      <c r="BU114" s="36" t="n"/>
      <c r="BV114" s="36" t="n"/>
      <c r="BW114" s="36" t="n"/>
      <c r="BX114" s="36" t="n"/>
      <c r="BY114" s="36" t="n"/>
      <c r="BZ114" s="36" t="n"/>
      <c r="CA114" s="36" t="n"/>
      <c r="CB114" s="36" t="n"/>
      <c r="CC114" s="36" t="n"/>
      <c r="CD114" s="36" t="n"/>
      <c r="CE114" s="36" t="n"/>
      <c r="CF114" s="36" t="n"/>
      <c r="CG114" s="36" t="n"/>
      <c r="CH114" s="36" t="n"/>
      <c r="CI114" s="36" t="n"/>
      <c r="CJ114" s="36" t="n"/>
      <c r="CK114" s="36" t="n"/>
    </row>
    <row r="115" ht="34" customHeight="1">
      <c r="A115" s="37" t="n"/>
      <c r="B115" s="42">
        <f>IFERROR(INDEX(People!$B$2:$B$199,MATCH(INDEX(Teams!$B$2:$B$9,MATCH(6,Teams!$D$2:$D$9,0))&amp;"#"&amp;4,People!$H$2:$H$199,0)),"")</f>
        <v/>
      </c>
      <c r="C115" s="26">
        <f>IF(TRIM($B115)="","",IFERROR(INDEX(People!$A$2:$A$199,MATCH(TRIM($B115),People!$B$2:$B$199,0)),"?? CHECK NAME"))</f>
        <v/>
      </c>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c r="AF115" s="36" t="n"/>
      <c r="AG115" s="36" t="n"/>
      <c r="AH115" s="36" t="n"/>
      <c r="AI115" s="36" t="n"/>
      <c r="AJ115" s="36" t="n"/>
      <c r="AK115" s="36" t="n"/>
      <c r="AL115" s="36" t="n"/>
      <c r="AM115" s="36" t="n"/>
      <c r="AN115" s="36" t="n"/>
      <c r="AO115" s="36" t="n"/>
      <c r="AP115" s="36" t="n"/>
      <c r="AQ115" s="36" t="n"/>
      <c r="AR115" s="36" t="n"/>
      <c r="AS115" s="36" t="n"/>
      <c r="AT115" s="36" t="n"/>
      <c r="AU115" s="36" t="n"/>
      <c r="AV115" s="36" t="n"/>
      <c r="AW115" s="36" t="n"/>
      <c r="AX115" s="36" t="n"/>
      <c r="AY115" s="36" t="n"/>
      <c r="AZ115" s="36" t="n"/>
      <c r="BA115" s="36" t="n"/>
      <c r="BB115" s="36" t="n"/>
      <c r="BC115" s="36" t="n"/>
      <c r="BD115" s="36" t="n"/>
      <c r="BE115" s="36" t="n"/>
      <c r="BF115" s="36" t="n"/>
      <c r="BG115" s="36" t="n"/>
      <c r="BH115" s="36" t="n"/>
      <c r="BI115" s="36" t="n"/>
      <c r="BJ115" s="36" t="n"/>
      <c r="BK115" s="36" t="n"/>
      <c r="BL115" s="36" t="n"/>
      <c r="BM115" s="36" t="n"/>
      <c r="BN115" s="36" t="n"/>
      <c r="BO115" s="36" t="n"/>
      <c r="BP115" s="36" t="n"/>
      <c r="BQ115" s="36" t="n"/>
      <c r="BR115" s="36" t="n"/>
      <c r="BS115" s="36" t="n"/>
      <c r="BT115" s="36" t="n"/>
      <c r="BU115" s="36" t="n"/>
      <c r="BV115" s="36" t="n"/>
      <c r="BW115" s="36" t="n"/>
      <c r="BX115" s="36" t="n"/>
      <c r="BY115" s="36" t="n"/>
      <c r="BZ115" s="36" t="n"/>
      <c r="CA115" s="36" t="n"/>
      <c r="CB115" s="36" t="n"/>
      <c r="CC115" s="36" t="n"/>
      <c r="CD115" s="36" t="n"/>
      <c r="CE115" s="36" t="n"/>
      <c r="CF115" s="36" t="n"/>
      <c r="CG115" s="36" t="n"/>
      <c r="CH115" s="36" t="n"/>
      <c r="CI115" s="36" t="n"/>
      <c r="CJ115" s="36" t="n"/>
      <c r="CK115" s="36" t="n"/>
    </row>
    <row r="116" ht="34" customHeight="1">
      <c r="A116" s="38" t="n"/>
      <c r="B116" s="42">
        <f>IFERROR(INDEX(People!$B$2:$B$199,MATCH(INDEX(Teams!$B$2:$B$9,MATCH(6,Teams!$D$2:$D$9,0))&amp;"#"&amp;5,People!$H$2:$H$199,0)),"")</f>
        <v/>
      </c>
      <c r="C116" s="26">
        <f>IF(TRIM($B116)="","",IFERROR(INDEX(People!$A$2:$A$199,MATCH(TRIM($B116),People!$B$2:$B$199,0)),"?? CHECK NAME"))</f>
        <v/>
      </c>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c r="AF116" s="36" t="n"/>
      <c r="AG116" s="36" t="n"/>
      <c r="AH116" s="36" t="n"/>
      <c r="AI116" s="36" t="n"/>
      <c r="AJ116" s="36" t="n"/>
      <c r="AK116" s="36" t="n"/>
      <c r="AL116" s="36" t="n"/>
      <c r="AM116" s="36" t="n"/>
      <c r="AN116" s="36" t="n"/>
      <c r="AO116" s="36" t="n"/>
      <c r="AP116" s="36" t="n"/>
      <c r="AQ116" s="36" t="n"/>
      <c r="AR116" s="36" t="n"/>
      <c r="AS116" s="36" t="n"/>
      <c r="AT116" s="36" t="n"/>
      <c r="AU116" s="36" t="n"/>
      <c r="AV116" s="36" t="n"/>
      <c r="AW116" s="36" t="n"/>
      <c r="AX116" s="36" t="n"/>
      <c r="AY116" s="36" t="n"/>
      <c r="AZ116" s="36" t="n"/>
      <c r="BA116" s="36" t="n"/>
      <c r="BB116" s="36" t="n"/>
      <c r="BC116" s="36" t="n"/>
      <c r="BD116" s="36" t="n"/>
      <c r="BE116" s="36" t="n"/>
      <c r="BF116" s="36" t="n"/>
      <c r="BG116" s="36" t="n"/>
      <c r="BH116" s="36" t="n"/>
      <c r="BI116" s="36" t="n"/>
      <c r="BJ116" s="36" t="n"/>
      <c r="BK116" s="36" t="n"/>
      <c r="BL116" s="36" t="n"/>
      <c r="BM116" s="36" t="n"/>
      <c r="BN116" s="36" t="n"/>
      <c r="BO116" s="36" t="n"/>
      <c r="BP116" s="36" t="n"/>
      <c r="BQ116" s="36" t="n"/>
      <c r="BR116" s="36" t="n"/>
      <c r="BS116" s="36" t="n"/>
      <c r="BT116" s="36" t="n"/>
      <c r="BU116" s="36" t="n"/>
      <c r="BV116" s="36" t="n"/>
      <c r="BW116" s="36" t="n"/>
      <c r="BX116" s="36" t="n"/>
      <c r="BY116" s="36" t="n"/>
      <c r="BZ116" s="36" t="n"/>
      <c r="CA116" s="36" t="n"/>
      <c r="CB116" s="36" t="n"/>
      <c r="CC116" s="36" t="n"/>
      <c r="CD116" s="36" t="n"/>
      <c r="CE116" s="36" t="n"/>
      <c r="CF116" s="36" t="n"/>
      <c r="CG116" s="36" t="n"/>
      <c r="CH116" s="36" t="n"/>
      <c r="CI116" s="36" t="n"/>
      <c r="CJ116" s="36" t="n"/>
      <c r="CK116" s="36" t="n"/>
    </row>
    <row r="117" ht="34" customHeight="1">
      <c r="A117" s="41">
        <f>IFERROR("Show Order "&amp;7&amp;"  —  "&amp;INDEX(Teams!$B$2:$B$9,MATCH(7,Teams!$D$2:$D$9,0)),"Show Order "&amp;7&amp;"  —  (not drawn)")</f>
        <v/>
      </c>
      <c r="B117" s="42">
        <f>IFERROR(INDEX(People!$B$2:$B$199,MATCH(INDEX(Teams!$B$2:$B$9,MATCH(7,Teams!$D$2:$D$9,0))&amp;"#"&amp;1,People!$H$2:$H$199,0)),"")</f>
        <v/>
      </c>
      <c r="C117" s="26">
        <f>IF(TRIM($B117)="","",IFERROR(INDEX(People!$A$2:$A$199,MATCH(TRIM($B117),People!$B$2:$B$199,0)),"?? CHECK NAME"))</f>
        <v/>
      </c>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c r="AF117" s="36" t="n"/>
      <c r="AG117" s="36" t="n"/>
      <c r="AH117" s="36" t="n"/>
      <c r="AI117" s="36" t="n"/>
      <c r="AJ117" s="36" t="n"/>
      <c r="AK117" s="36" t="n"/>
      <c r="AL117" s="36" t="n"/>
      <c r="AM117" s="36" t="n"/>
      <c r="AN117" s="36" t="n"/>
      <c r="AO117" s="36" t="n"/>
      <c r="AP117" s="36" t="n"/>
      <c r="AQ117" s="36" t="n"/>
      <c r="AR117" s="36" t="n"/>
      <c r="AS117" s="36" t="n"/>
      <c r="AT117" s="36" t="n"/>
      <c r="AU117" s="36" t="n"/>
      <c r="AV117" s="36" t="n"/>
      <c r="AW117" s="36" t="n"/>
      <c r="AX117" s="36" t="n"/>
      <c r="AY117" s="36" t="n"/>
      <c r="AZ117" s="36" t="n"/>
      <c r="BA117" s="36" t="n"/>
      <c r="BB117" s="36" t="n"/>
      <c r="BC117" s="36" t="n"/>
      <c r="BD117" s="36" t="n"/>
      <c r="BE117" s="36" t="n"/>
      <c r="BF117" s="36" t="n"/>
      <c r="BG117" s="36" t="n"/>
      <c r="BH117" s="36" t="n"/>
      <c r="BI117" s="36" t="n"/>
      <c r="BJ117" s="36" t="n"/>
      <c r="BK117" s="36" t="n"/>
      <c r="BL117" s="36" t="n"/>
      <c r="BM117" s="36" t="n"/>
      <c r="BN117" s="36" t="n"/>
      <c r="BO117" s="36" t="n"/>
      <c r="BP117" s="36" t="n"/>
      <c r="BQ117" s="36" t="n"/>
      <c r="BR117" s="36" t="n"/>
      <c r="BS117" s="36" t="n"/>
      <c r="BT117" s="36" t="n"/>
      <c r="BU117" s="36" t="n"/>
      <c r="BV117" s="36" t="n"/>
      <c r="BW117" s="36" t="n"/>
      <c r="BX117" s="36" t="n"/>
      <c r="BY117" s="36" t="n"/>
      <c r="BZ117" s="36" t="n"/>
      <c r="CA117" s="36" t="n"/>
      <c r="CB117" s="36" t="n"/>
      <c r="CC117" s="36" t="n"/>
      <c r="CD117" s="36" t="n"/>
      <c r="CE117" s="36" t="n"/>
      <c r="CF117" s="36" t="n"/>
      <c r="CG117" s="36" t="n"/>
      <c r="CH117" s="36" t="n"/>
      <c r="CI117" s="36" t="n"/>
      <c r="CJ117" s="36" t="n"/>
      <c r="CK117" s="36" t="n"/>
    </row>
    <row r="118" ht="34" customHeight="1">
      <c r="A118" s="37" t="n"/>
      <c r="B118" s="42">
        <f>IFERROR(INDEX(People!$B$2:$B$199,MATCH(INDEX(Teams!$B$2:$B$9,MATCH(7,Teams!$D$2:$D$9,0))&amp;"#"&amp;2,People!$H$2:$H$199,0)),"")</f>
        <v/>
      </c>
      <c r="C118" s="26">
        <f>IF(TRIM($B118)="","",IFERROR(INDEX(People!$A$2:$A$199,MATCH(TRIM($B118),People!$B$2:$B$199,0)),"?? CHECK NAME"))</f>
        <v/>
      </c>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c r="AF118" s="36" t="n"/>
      <c r="AG118" s="36" t="n"/>
      <c r="AH118" s="36" t="n"/>
      <c r="AI118" s="36" t="n"/>
      <c r="AJ118" s="36" t="n"/>
      <c r="AK118" s="36" t="n"/>
      <c r="AL118" s="36" t="n"/>
      <c r="AM118" s="36" t="n"/>
      <c r="AN118" s="36" t="n"/>
      <c r="AO118" s="36" t="n"/>
      <c r="AP118" s="36" t="n"/>
      <c r="AQ118" s="36" t="n"/>
      <c r="AR118" s="36" t="n"/>
      <c r="AS118" s="36" t="n"/>
      <c r="AT118" s="36" t="n"/>
      <c r="AU118" s="36" t="n"/>
      <c r="AV118" s="36" t="n"/>
      <c r="AW118" s="36" t="n"/>
      <c r="AX118" s="36" t="n"/>
      <c r="AY118" s="36" t="n"/>
      <c r="AZ118" s="36" t="n"/>
      <c r="BA118" s="36" t="n"/>
      <c r="BB118" s="36" t="n"/>
      <c r="BC118" s="36" t="n"/>
      <c r="BD118" s="36" t="n"/>
      <c r="BE118" s="36" t="n"/>
      <c r="BF118" s="36" t="n"/>
      <c r="BG118" s="36" t="n"/>
      <c r="BH118" s="36" t="n"/>
      <c r="BI118" s="36" t="n"/>
      <c r="BJ118" s="36" t="n"/>
      <c r="BK118" s="36" t="n"/>
      <c r="BL118" s="36" t="n"/>
      <c r="BM118" s="36" t="n"/>
      <c r="BN118" s="36" t="n"/>
      <c r="BO118" s="36" t="n"/>
      <c r="BP118" s="36" t="n"/>
      <c r="BQ118" s="36" t="n"/>
      <c r="BR118" s="36" t="n"/>
      <c r="BS118" s="36" t="n"/>
      <c r="BT118" s="36" t="n"/>
      <c r="BU118" s="36" t="n"/>
      <c r="BV118" s="36" t="n"/>
      <c r="BW118" s="36" t="n"/>
      <c r="BX118" s="36" t="n"/>
      <c r="BY118" s="36" t="n"/>
      <c r="BZ118" s="36" t="n"/>
      <c r="CA118" s="36" t="n"/>
      <c r="CB118" s="36" t="n"/>
      <c r="CC118" s="36" t="n"/>
      <c r="CD118" s="36" t="n"/>
      <c r="CE118" s="36" t="n"/>
      <c r="CF118" s="36" t="n"/>
      <c r="CG118" s="36" t="n"/>
      <c r="CH118" s="36" t="n"/>
      <c r="CI118" s="36" t="n"/>
      <c r="CJ118" s="36" t="n"/>
      <c r="CK118" s="36" t="n"/>
    </row>
    <row r="119" ht="34" customHeight="1">
      <c r="A119" s="37" t="n"/>
      <c r="B119" s="42">
        <f>IFERROR(INDEX(People!$B$2:$B$199,MATCH(INDEX(Teams!$B$2:$B$9,MATCH(7,Teams!$D$2:$D$9,0))&amp;"#"&amp;3,People!$H$2:$H$199,0)),"")</f>
        <v/>
      </c>
      <c r="C119" s="26">
        <f>IF(TRIM($B119)="","",IFERROR(INDEX(People!$A$2:$A$199,MATCH(TRIM($B119),People!$B$2:$B$199,0)),"?? CHECK NAME"))</f>
        <v/>
      </c>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c r="AF119" s="36" t="n"/>
      <c r="AG119" s="36" t="n"/>
      <c r="AH119" s="36" t="n"/>
      <c r="AI119" s="36" t="n"/>
      <c r="AJ119" s="36" t="n"/>
      <c r="AK119" s="36" t="n"/>
      <c r="AL119" s="36" t="n"/>
      <c r="AM119" s="36" t="n"/>
      <c r="AN119" s="36" t="n"/>
      <c r="AO119" s="36" t="n"/>
      <c r="AP119" s="36" t="n"/>
      <c r="AQ119" s="36" t="n"/>
      <c r="AR119" s="36" t="n"/>
      <c r="AS119" s="36" t="n"/>
      <c r="AT119" s="36" t="n"/>
      <c r="AU119" s="36" t="n"/>
      <c r="AV119" s="36" t="n"/>
      <c r="AW119" s="36" t="n"/>
      <c r="AX119" s="36" t="n"/>
      <c r="AY119" s="36" t="n"/>
      <c r="AZ119" s="36" t="n"/>
      <c r="BA119" s="36" t="n"/>
      <c r="BB119" s="36" t="n"/>
      <c r="BC119" s="36" t="n"/>
      <c r="BD119" s="36" t="n"/>
      <c r="BE119" s="36" t="n"/>
      <c r="BF119" s="36" t="n"/>
      <c r="BG119" s="36" t="n"/>
      <c r="BH119" s="36" t="n"/>
      <c r="BI119" s="36" t="n"/>
      <c r="BJ119" s="36" t="n"/>
      <c r="BK119" s="36" t="n"/>
      <c r="BL119" s="36" t="n"/>
      <c r="BM119" s="36" t="n"/>
      <c r="BN119" s="36" t="n"/>
      <c r="BO119" s="36" t="n"/>
      <c r="BP119" s="36" t="n"/>
      <c r="BQ119" s="36" t="n"/>
      <c r="BR119" s="36" t="n"/>
      <c r="BS119" s="36" t="n"/>
      <c r="BT119" s="36" t="n"/>
      <c r="BU119" s="36" t="n"/>
      <c r="BV119" s="36" t="n"/>
      <c r="BW119" s="36" t="n"/>
      <c r="BX119" s="36" t="n"/>
      <c r="BY119" s="36" t="n"/>
      <c r="BZ119" s="36" t="n"/>
      <c r="CA119" s="36" t="n"/>
      <c r="CB119" s="36" t="n"/>
      <c r="CC119" s="36" t="n"/>
      <c r="CD119" s="36" t="n"/>
      <c r="CE119" s="36" t="n"/>
      <c r="CF119" s="36" t="n"/>
      <c r="CG119" s="36" t="n"/>
      <c r="CH119" s="36" t="n"/>
      <c r="CI119" s="36" t="n"/>
      <c r="CJ119" s="36" t="n"/>
      <c r="CK119" s="36" t="n"/>
    </row>
    <row r="120" ht="34" customHeight="1">
      <c r="A120" s="37" t="n"/>
      <c r="B120" s="42">
        <f>IFERROR(INDEX(People!$B$2:$B$199,MATCH(INDEX(Teams!$B$2:$B$9,MATCH(7,Teams!$D$2:$D$9,0))&amp;"#"&amp;4,People!$H$2:$H$199,0)),"")</f>
        <v/>
      </c>
      <c r="C120" s="26">
        <f>IF(TRIM($B120)="","",IFERROR(INDEX(People!$A$2:$A$199,MATCH(TRIM($B120),People!$B$2:$B$199,0)),"?? CHECK NAME"))</f>
        <v/>
      </c>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c r="AF120" s="36" t="n"/>
      <c r="AG120" s="36" t="n"/>
      <c r="AH120" s="36" t="n"/>
      <c r="AI120" s="36" t="n"/>
      <c r="AJ120" s="36" t="n"/>
      <c r="AK120" s="36" t="n"/>
      <c r="AL120" s="36" t="n"/>
      <c r="AM120" s="36" t="n"/>
      <c r="AN120" s="36" t="n"/>
      <c r="AO120" s="36" t="n"/>
      <c r="AP120" s="36" t="n"/>
      <c r="AQ120" s="36" t="n"/>
      <c r="AR120" s="36" t="n"/>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c r="BT120" s="36" t="n"/>
      <c r="BU120" s="36" t="n"/>
      <c r="BV120" s="36" t="n"/>
      <c r="BW120" s="36" t="n"/>
      <c r="BX120" s="36" t="n"/>
      <c r="BY120" s="36" t="n"/>
      <c r="BZ120" s="36" t="n"/>
      <c r="CA120" s="36" t="n"/>
      <c r="CB120" s="36" t="n"/>
      <c r="CC120" s="36" t="n"/>
      <c r="CD120" s="36" t="n"/>
      <c r="CE120" s="36" t="n"/>
      <c r="CF120" s="36" t="n"/>
      <c r="CG120" s="36" t="n"/>
      <c r="CH120" s="36" t="n"/>
      <c r="CI120" s="36" t="n"/>
      <c r="CJ120" s="36" t="n"/>
      <c r="CK120" s="36" t="n"/>
    </row>
    <row r="121" ht="34" customHeight="1">
      <c r="A121" s="38" t="n"/>
      <c r="B121" s="42">
        <f>IFERROR(INDEX(People!$B$2:$B$199,MATCH(INDEX(Teams!$B$2:$B$9,MATCH(7,Teams!$D$2:$D$9,0))&amp;"#"&amp;5,People!$H$2:$H$199,0)),"")</f>
        <v/>
      </c>
      <c r="C121" s="26">
        <f>IF(TRIM($B121)="","",IFERROR(INDEX(People!$A$2:$A$199,MATCH(TRIM($B121),People!$B$2:$B$199,0)),"?? CHECK NAME"))</f>
        <v/>
      </c>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c r="AF121" s="36" t="n"/>
      <c r="AG121" s="36" t="n"/>
      <c r="AH121" s="36" t="n"/>
      <c r="AI121" s="36" t="n"/>
      <c r="AJ121" s="36" t="n"/>
      <c r="AK121" s="36" t="n"/>
      <c r="AL121" s="36" t="n"/>
      <c r="AM121" s="36" t="n"/>
      <c r="AN121" s="36" t="n"/>
      <c r="AO121" s="36" t="n"/>
      <c r="AP121" s="36" t="n"/>
      <c r="AQ121" s="36" t="n"/>
      <c r="AR121" s="36" t="n"/>
      <c r="AS121" s="36" t="n"/>
      <c r="AT121" s="36" t="n"/>
      <c r="AU121" s="36" t="n"/>
      <c r="AV121" s="36" t="n"/>
      <c r="AW121" s="36" t="n"/>
      <c r="AX121" s="36" t="n"/>
      <c r="AY121" s="36" t="n"/>
      <c r="AZ121" s="36" t="n"/>
      <c r="BA121" s="36" t="n"/>
      <c r="BB121" s="36" t="n"/>
      <c r="BC121" s="36" t="n"/>
      <c r="BD121" s="36" t="n"/>
      <c r="BE121" s="36" t="n"/>
      <c r="BF121" s="36" t="n"/>
      <c r="BG121" s="36" t="n"/>
      <c r="BH121" s="36" t="n"/>
      <c r="BI121" s="36" t="n"/>
      <c r="BJ121" s="36" t="n"/>
      <c r="BK121" s="36" t="n"/>
      <c r="BL121" s="36" t="n"/>
      <c r="BM121" s="36" t="n"/>
      <c r="BN121" s="36" t="n"/>
      <c r="BO121" s="36" t="n"/>
      <c r="BP121" s="36" t="n"/>
      <c r="BQ121" s="36" t="n"/>
      <c r="BR121" s="36" t="n"/>
      <c r="BS121" s="36" t="n"/>
      <c r="BT121" s="36" t="n"/>
      <c r="BU121" s="36" t="n"/>
      <c r="BV121" s="36" t="n"/>
      <c r="BW121" s="36" t="n"/>
      <c r="BX121" s="36" t="n"/>
      <c r="BY121" s="36" t="n"/>
      <c r="BZ121" s="36" t="n"/>
      <c r="CA121" s="36" t="n"/>
      <c r="CB121" s="36" t="n"/>
      <c r="CC121" s="36" t="n"/>
      <c r="CD121" s="36" t="n"/>
      <c r="CE121" s="36" t="n"/>
      <c r="CF121" s="36" t="n"/>
      <c r="CG121" s="36" t="n"/>
      <c r="CH121" s="36" t="n"/>
      <c r="CI121" s="36" t="n"/>
      <c r="CJ121" s="36" t="n"/>
      <c r="CK121" s="36" t="n"/>
    </row>
    <row r="122" ht="34" customHeight="1">
      <c r="A122" s="41">
        <f>IFERROR("Show Order "&amp;8&amp;"  —  "&amp;INDEX(Teams!$B$2:$B$9,MATCH(8,Teams!$D$2:$D$9,0)),"Show Order "&amp;8&amp;"  —  (not drawn)")</f>
        <v/>
      </c>
      <c r="B122" s="42">
        <f>IFERROR(INDEX(People!$B$2:$B$199,MATCH(INDEX(Teams!$B$2:$B$9,MATCH(8,Teams!$D$2:$D$9,0))&amp;"#"&amp;1,People!$H$2:$H$199,0)),"")</f>
        <v/>
      </c>
      <c r="C122" s="26">
        <f>IF(TRIM($B122)="","",IFERROR(INDEX(People!$A$2:$A$199,MATCH(TRIM($B122),People!$B$2:$B$199,0)),"?? CHECK NAME"))</f>
        <v/>
      </c>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c r="AF122" s="36" t="n"/>
      <c r="AG122" s="36" t="n"/>
      <c r="AH122" s="36" t="n"/>
      <c r="AI122" s="36" t="n"/>
      <c r="AJ122" s="36" t="n"/>
      <c r="AK122" s="36" t="n"/>
      <c r="AL122" s="36" t="n"/>
      <c r="AM122" s="36" t="n"/>
      <c r="AN122" s="36" t="n"/>
      <c r="AO122" s="36" t="n"/>
      <c r="AP122" s="36" t="n"/>
      <c r="AQ122" s="36" t="n"/>
      <c r="AR122" s="36" t="n"/>
      <c r="AS122" s="36" t="n"/>
      <c r="AT122" s="36" t="n"/>
      <c r="AU122" s="36" t="n"/>
      <c r="AV122" s="36" t="n"/>
      <c r="AW122" s="36" t="n"/>
      <c r="AX122" s="36" t="n"/>
      <c r="AY122" s="36" t="n"/>
      <c r="AZ122" s="36" t="n"/>
      <c r="BA122" s="36" t="n"/>
      <c r="BB122" s="36" t="n"/>
      <c r="BC122" s="36" t="n"/>
      <c r="BD122" s="36" t="n"/>
      <c r="BE122" s="36" t="n"/>
      <c r="BF122" s="36" t="n"/>
      <c r="BG122" s="36" t="n"/>
      <c r="BH122" s="36" t="n"/>
      <c r="BI122" s="36" t="n"/>
      <c r="BJ122" s="36" t="n"/>
      <c r="BK122" s="36" t="n"/>
      <c r="BL122" s="36" t="n"/>
      <c r="BM122" s="36" t="n"/>
      <c r="BN122" s="36" t="n"/>
      <c r="BO122" s="36" t="n"/>
      <c r="BP122" s="36" t="n"/>
      <c r="BQ122" s="36" t="n"/>
      <c r="BR122" s="36" t="n"/>
      <c r="BS122" s="36" t="n"/>
      <c r="BT122" s="36" t="n"/>
      <c r="BU122" s="36" t="n"/>
      <c r="BV122" s="36" t="n"/>
      <c r="BW122" s="36" t="n"/>
      <c r="BX122" s="36" t="n"/>
      <c r="BY122" s="36" t="n"/>
      <c r="BZ122" s="36" t="n"/>
      <c r="CA122" s="36" t="n"/>
      <c r="CB122" s="36" t="n"/>
      <c r="CC122" s="36" t="n"/>
      <c r="CD122" s="36" t="n"/>
      <c r="CE122" s="36" t="n"/>
      <c r="CF122" s="36" t="n"/>
      <c r="CG122" s="36" t="n"/>
      <c r="CH122" s="36" t="n"/>
      <c r="CI122" s="36" t="n"/>
      <c r="CJ122" s="36" t="n"/>
      <c r="CK122" s="36" t="n"/>
    </row>
    <row r="123" ht="34" customHeight="1">
      <c r="A123" s="37" t="n"/>
      <c r="B123" s="42">
        <f>IFERROR(INDEX(People!$B$2:$B$199,MATCH(INDEX(Teams!$B$2:$B$9,MATCH(8,Teams!$D$2:$D$9,0))&amp;"#"&amp;2,People!$H$2:$H$199,0)),"")</f>
        <v/>
      </c>
      <c r="C123" s="26">
        <f>IF(TRIM($B123)="","",IFERROR(INDEX(People!$A$2:$A$199,MATCH(TRIM($B123),People!$B$2:$B$199,0)),"?? CHECK NAME"))</f>
        <v/>
      </c>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c r="AF123" s="36" t="n"/>
      <c r="AG123" s="36" t="n"/>
      <c r="AH123" s="36" t="n"/>
      <c r="AI123" s="36" t="n"/>
      <c r="AJ123" s="36" t="n"/>
      <c r="AK123" s="36" t="n"/>
      <c r="AL123" s="36" t="n"/>
      <c r="AM123" s="36" t="n"/>
      <c r="AN123" s="36" t="n"/>
      <c r="AO123" s="36" t="n"/>
      <c r="AP123" s="36" t="n"/>
      <c r="AQ123" s="36" t="n"/>
      <c r="AR123" s="36" t="n"/>
      <c r="AS123" s="36" t="n"/>
      <c r="AT123" s="36" t="n"/>
      <c r="AU123" s="36" t="n"/>
      <c r="AV123" s="36" t="n"/>
      <c r="AW123" s="36" t="n"/>
      <c r="AX123" s="36" t="n"/>
      <c r="AY123" s="36" t="n"/>
      <c r="AZ123" s="36" t="n"/>
      <c r="BA123" s="36" t="n"/>
      <c r="BB123" s="36" t="n"/>
      <c r="BC123" s="36" t="n"/>
      <c r="BD123" s="36" t="n"/>
      <c r="BE123" s="36" t="n"/>
      <c r="BF123" s="36" t="n"/>
      <c r="BG123" s="36" t="n"/>
      <c r="BH123" s="36" t="n"/>
      <c r="BI123" s="36" t="n"/>
      <c r="BJ123" s="36" t="n"/>
      <c r="BK123" s="36" t="n"/>
      <c r="BL123" s="36" t="n"/>
      <c r="BM123" s="36" t="n"/>
      <c r="BN123" s="36" t="n"/>
      <c r="BO123" s="36" t="n"/>
      <c r="BP123" s="36" t="n"/>
      <c r="BQ123" s="36" t="n"/>
      <c r="BR123" s="36" t="n"/>
      <c r="BS123" s="36" t="n"/>
      <c r="BT123" s="36" t="n"/>
      <c r="BU123" s="36" t="n"/>
      <c r="BV123" s="36" t="n"/>
      <c r="BW123" s="36" t="n"/>
      <c r="BX123" s="36" t="n"/>
      <c r="BY123" s="36" t="n"/>
      <c r="BZ123" s="36" t="n"/>
      <c r="CA123" s="36" t="n"/>
      <c r="CB123" s="36" t="n"/>
      <c r="CC123" s="36" t="n"/>
      <c r="CD123" s="36" t="n"/>
      <c r="CE123" s="36" t="n"/>
      <c r="CF123" s="36" t="n"/>
      <c r="CG123" s="36" t="n"/>
      <c r="CH123" s="36" t="n"/>
      <c r="CI123" s="36" t="n"/>
      <c r="CJ123" s="36" t="n"/>
      <c r="CK123" s="36" t="n"/>
    </row>
    <row r="124" ht="34" customHeight="1">
      <c r="A124" s="37" t="n"/>
      <c r="B124" s="42">
        <f>IFERROR(INDEX(People!$B$2:$B$199,MATCH(INDEX(Teams!$B$2:$B$9,MATCH(8,Teams!$D$2:$D$9,0))&amp;"#"&amp;3,People!$H$2:$H$199,0)),"")</f>
        <v/>
      </c>
      <c r="C124" s="26">
        <f>IF(TRIM($B124)="","",IFERROR(INDEX(People!$A$2:$A$199,MATCH(TRIM($B124),People!$B$2:$B$199,0)),"?? CHECK NAME"))</f>
        <v/>
      </c>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c r="AF124" s="36" t="n"/>
      <c r="AG124" s="36" t="n"/>
      <c r="AH124" s="36" t="n"/>
      <c r="AI124" s="36" t="n"/>
      <c r="AJ124" s="36" t="n"/>
      <c r="AK124" s="36" t="n"/>
      <c r="AL124" s="36" t="n"/>
      <c r="AM124" s="36" t="n"/>
      <c r="AN124" s="36" t="n"/>
      <c r="AO124" s="36" t="n"/>
      <c r="AP124" s="36" t="n"/>
      <c r="AQ124" s="36" t="n"/>
      <c r="AR124" s="36" t="n"/>
      <c r="AS124" s="36" t="n"/>
      <c r="AT124" s="36" t="n"/>
      <c r="AU124" s="36" t="n"/>
      <c r="AV124" s="36" t="n"/>
      <c r="AW124" s="36" t="n"/>
      <c r="AX124" s="36" t="n"/>
      <c r="AY124" s="36" t="n"/>
      <c r="AZ124" s="36" t="n"/>
      <c r="BA124" s="36" t="n"/>
      <c r="BB124" s="36" t="n"/>
      <c r="BC124" s="36" t="n"/>
      <c r="BD124" s="36" t="n"/>
      <c r="BE124" s="36" t="n"/>
      <c r="BF124" s="36" t="n"/>
      <c r="BG124" s="36" t="n"/>
      <c r="BH124" s="36" t="n"/>
      <c r="BI124" s="36" t="n"/>
      <c r="BJ124" s="36" t="n"/>
      <c r="BK124" s="36" t="n"/>
      <c r="BL124" s="36" t="n"/>
      <c r="BM124" s="36" t="n"/>
      <c r="BN124" s="36" t="n"/>
      <c r="BO124" s="36" t="n"/>
      <c r="BP124" s="36" t="n"/>
      <c r="BQ124" s="36" t="n"/>
      <c r="BR124" s="36" t="n"/>
      <c r="BS124" s="36" t="n"/>
      <c r="BT124" s="36" t="n"/>
      <c r="BU124" s="36" t="n"/>
      <c r="BV124" s="36" t="n"/>
      <c r="BW124" s="36" t="n"/>
      <c r="BX124" s="36" t="n"/>
      <c r="BY124" s="36" t="n"/>
      <c r="BZ124" s="36" t="n"/>
      <c r="CA124" s="36" t="n"/>
      <c r="CB124" s="36" t="n"/>
      <c r="CC124" s="36" t="n"/>
      <c r="CD124" s="36" t="n"/>
      <c r="CE124" s="36" t="n"/>
      <c r="CF124" s="36" t="n"/>
      <c r="CG124" s="36" t="n"/>
      <c r="CH124" s="36" t="n"/>
      <c r="CI124" s="36" t="n"/>
      <c r="CJ124" s="36" t="n"/>
      <c r="CK124" s="36" t="n"/>
    </row>
    <row r="125" ht="34" customHeight="1">
      <c r="A125" s="37" t="n"/>
      <c r="B125" s="42">
        <f>IFERROR(INDEX(People!$B$2:$B$199,MATCH(INDEX(Teams!$B$2:$B$9,MATCH(8,Teams!$D$2:$D$9,0))&amp;"#"&amp;4,People!$H$2:$H$199,0)),"")</f>
        <v/>
      </c>
      <c r="C125" s="26">
        <f>IF(TRIM($B125)="","",IFERROR(INDEX(People!$A$2:$A$199,MATCH(TRIM($B125),People!$B$2:$B$199,0)),"?? CHECK NAME"))</f>
        <v/>
      </c>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c r="AF125" s="36" t="n"/>
      <c r="AG125" s="36" t="n"/>
      <c r="AH125" s="36" t="n"/>
      <c r="AI125" s="36" t="n"/>
      <c r="AJ125" s="36" t="n"/>
      <c r="AK125" s="36" t="n"/>
      <c r="AL125" s="36" t="n"/>
      <c r="AM125" s="36" t="n"/>
      <c r="AN125" s="36" t="n"/>
      <c r="AO125" s="36" t="n"/>
      <c r="AP125" s="36" t="n"/>
      <c r="AQ125" s="36" t="n"/>
      <c r="AR125" s="36" t="n"/>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c r="BL125" s="36" t="n"/>
      <c r="BM125" s="36" t="n"/>
      <c r="BN125" s="36" t="n"/>
      <c r="BO125" s="36" t="n"/>
      <c r="BP125" s="36" t="n"/>
      <c r="BQ125" s="36" t="n"/>
      <c r="BR125" s="36" t="n"/>
      <c r="BS125" s="36" t="n"/>
      <c r="BT125" s="36" t="n"/>
      <c r="BU125" s="36" t="n"/>
      <c r="BV125" s="36" t="n"/>
      <c r="BW125" s="36" t="n"/>
      <c r="BX125" s="36" t="n"/>
      <c r="BY125" s="36" t="n"/>
      <c r="BZ125" s="36" t="n"/>
      <c r="CA125" s="36" t="n"/>
      <c r="CB125" s="36" t="n"/>
      <c r="CC125" s="36" t="n"/>
      <c r="CD125" s="36" t="n"/>
      <c r="CE125" s="36" t="n"/>
      <c r="CF125" s="36" t="n"/>
      <c r="CG125" s="36" t="n"/>
      <c r="CH125" s="36" t="n"/>
      <c r="CI125" s="36" t="n"/>
      <c r="CJ125" s="36" t="n"/>
      <c r="CK125" s="36" t="n"/>
    </row>
    <row r="126" ht="34" customHeight="1">
      <c r="A126" s="38" t="n"/>
      <c r="B126" s="42">
        <f>IFERROR(INDEX(People!$B$2:$B$199,MATCH(INDEX(Teams!$B$2:$B$9,MATCH(8,Teams!$D$2:$D$9,0))&amp;"#"&amp;5,People!$H$2:$H$199,0)),"")</f>
        <v/>
      </c>
      <c r="C126" s="26">
        <f>IF(TRIM($B126)="","",IFERROR(INDEX(People!$A$2:$A$199,MATCH(TRIM($B126),People!$B$2:$B$199,0)),"?? CHECK NAME"))</f>
        <v/>
      </c>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c r="AF126" s="36" t="n"/>
      <c r="AG126" s="36" t="n"/>
      <c r="AH126" s="36" t="n"/>
      <c r="AI126" s="36" t="n"/>
      <c r="AJ126" s="36" t="n"/>
      <c r="AK126" s="36" t="n"/>
      <c r="AL126" s="36" t="n"/>
      <c r="AM126" s="36" t="n"/>
      <c r="AN126" s="36" t="n"/>
      <c r="AO126" s="36" t="n"/>
      <c r="AP126" s="36" t="n"/>
      <c r="AQ126" s="36" t="n"/>
      <c r="AR126" s="36" t="n"/>
      <c r="AS126" s="36" t="n"/>
      <c r="AT126" s="36" t="n"/>
      <c r="AU126" s="36" t="n"/>
      <c r="AV126" s="36" t="n"/>
      <c r="AW126" s="36" t="n"/>
      <c r="AX126" s="36" t="n"/>
      <c r="AY126" s="36" t="n"/>
      <c r="AZ126" s="36" t="n"/>
      <c r="BA126" s="36" t="n"/>
      <c r="BB126" s="36" t="n"/>
      <c r="BC126" s="36" t="n"/>
      <c r="BD126" s="36" t="n"/>
      <c r="BE126" s="36" t="n"/>
      <c r="BF126" s="36" t="n"/>
      <c r="BG126" s="36" t="n"/>
      <c r="BH126" s="36" t="n"/>
      <c r="BI126" s="36" t="n"/>
      <c r="BJ126" s="36" t="n"/>
      <c r="BK126" s="36" t="n"/>
      <c r="BL126" s="36" t="n"/>
      <c r="BM126" s="36" t="n"/>
      <c r="BN126" s="36" t="n"/>
      <c r="BO126" s="36" t="n"/>
      <c r="BP126" s="36" t="n"/>
      <c r="BQ126" s="36" t="n"/>
      <c r="BR126" s="36" t="n"/>
      <c r="BS126" s="36" t="n"/>
      <c r="BT126" s="36" t="n"/>
      <c r="BU126" s="36" t="n"/>
      <c r="BV126" s="36" t="n"/>
      <c r="BW126" s="36" t="n"/>
      <c r="BX126" s="36" t="n"/>
      <c r="BY126" s="36" t="n"/>
      <c r="BZ126" s="36" t="n"/>
      <c r="CA126" s="36" t="n"/>
      <c r="CB126" s="36" t="n"/>
      <c r="CC126" s="36" t="n"/>
      <c r="CD126" s="36" t="n"/>
      <c r="CE126" s="36" t="n"/>
      <c r="CF126" s="36" t="n"/>
      <c r="CG126" s="36" t="n"/>
      <c r="CH126" s="36" t="n"/>
      <c r="CI126" s="36" t="n"/>
      <c r="CJ126" s="36" t="n"/>
      <c r="CK126" s="36" t="n"/>
    </row>
    <row r="127" ht="34" customHeight="1">
      <c r="A127" s="16" t="inlineStr">
        <is>
          <t>Judge Liaisons</t>
        </is>
      </c>
      <c r="B127" s="35" t="inlineStr"/>
      <c r="C127" s="26">
        <f>IF(TRIM($B127)="","",IFERROR(INDEX(People!$A$2:$A$199,MATCH(TRIM($B127),People!$B$2:$B$199,0)),IFERROR(INDEX(Teams!$A$2:$A$9,MATCH(TRIM($B127),Teams!$B$2:$B$9,0)),"?? CHECK NAME")))</f>
        <v/>
      </c>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c r="AF127" s="36" t="n"/>
      <c r="AG127" s="36" t="n"/>
      <c r="AH127" s="36" t="n"/>
      <c r="AI127" s="36" t="n"/>
      <c r="AJ127" s="36" t="n"/>
      <c r="AK127" s="36" t="n"/>
      <c r="AL127" s="36" t="n"/>
      <c r="AM127" s="36" t="n"/>
      <c r="AN127" s="36" t="n"/>
      <c r="AO127" s="36" t="n"/>
      <c r="AP127" s="36" t="n"/>
      <c r="AQ127" s="36" t="n"/>
      <c r="AR127" s="36" t="n"/>
      <c r="AS127" s="36" t="n"/>
      <c r="AT127" s="36" t="n"/>
      <c r="AU127" s="36" t="n"/>
      <c r="AV127" s="36" t="n"/>
      <c r="AW127" s="36" t="n"/>
      <c r="AX127" s="36" t="n"/>
      <c r="AY127" s="36" t="n"/>
      <c r="AZ127" s="36" t="n"/>
      <c r="BA127" s="36" t="n"/>
      <c r="BB127" s="36" t="n"/>
      <c r="BC127" s="36" t="n"/>
      <c r="BD127" s="36" t="n"/>
      <c r="BE127" s="36" t="n"/>
      <c r="BF127" s="36" t="n"/>
      <c r="BG127" s="36" t="n"/>
      <c r="BH127" s="36" t="n"/>
      <c r="BI127" s="36" t="n"/>
      <c r="BJ127" s="36" t="n"/>
      <c r="BK127" s="36" t="n"/>
      <c r="BL127" s="36" t="n"/>
      <c r="BM127" s="36" t="n"/>
      <c r="BN127" s="36" t="n"/>
      <c r="BO127" s="36" t="n"/>
      <c r="BP127" s="36" t="n"/>
      <c r="BQ127" s="36" t="n"/>
      <c r="BR127" s="36" t="n"/>
      <c r="BS127" s="36" t="n"/>
      <c r="BT127" s="36" t="n"/>
      <c r="BU127" s="36" t="n"/>
      <c r="BV127" s="36" t="n"/>
      <c r="BW127" s="36" t="n"/>
      <c r="BX127" s="36" t="n"/>
      <c r="BY127" s="36" t="n"/>
      <c r="BZ127" s="36" t="n"/>
      <c r="CA127" s="36" t="n"/>
      <c r="CB127" s="36" t="n"/>
      <c r="CC127" s="36" t="n"/>
      <c r="CD127" s="36" t="n"/>
      <c r="CE127" s="36" t="n"/>
      <c r="CF127" s="36" t="n"/>
      <c r="CG127" s="36" t="n"/>
      <c r="CH127" s="36" t="n"/>
      <c r="CI127" s="36" t="n"/>
      <c r="CJ127" s="36" t="n"/>
      <c r="CK127" s="36" t="n"/>
    </row>
    <row r="128" ht="34" customHeight="1">
      <c r="A128" s="37" t="n"/>
      <c r="B128" s="35" t="inlineStr"/>
      <c r="C128" s="26">
        <f>IF(TRIM($B128)="","",IFERROR(INDEX(People!$A$2:$A$199,MATCH(TRIM($B128),People!$B$2:$B$199,0)),IFERROR(INDEX(Teams!$A$2:$A$9,MATCH(TRIM($B128),Teams!$B$2:$B$9,0)),"?? CHECK NAME")))</f>
        <v/>
      </c>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c r="AF128" s="36" t="n"/>
      <c r="AG128" s="36" t="n"/>
      <c r="AH128" s="36" t="n"/>
      <c r="AI128" s="36" t="n"/>
      <c r="AJ128" s="36" t="n"/>
      <c r="AK128" s="36" t="n"/>
      <c r="AL128" s="36" t="n"/>
      <c r="AM128" s="36" t="n"/>
      <c r="AN128" s="36" t="n"/>
      <c r="AO128" s="36" t="n"/>
      <c r="AP128" s="36" t="n"/>
      <c r="AQ128" s="36" t="n"/>
      <c r="AR128" s="36" t="n"/>
      <c r="AS128" s="36" t="n"/>
      <c r="AT128" s="36" t="n"/>
      <c r="AU128" s="36" t="n"/>
      <c r="AV128" s="36" t="n"/>
      <c r="AW128" s="36" t="n"/>
      <c r="AX128" s="36" t="n"/>
      <c r="AY128" s="36" t="n"/>
      <c r="AZ128" s="36" t="n"/>
      <c r="BA128" s="36" t="n"/>
      <c r="BB128" s="36" t="n"/>
      <c r="BC128" s="36" t="n"/>
      <c r="BD128" s="36" t="n"/>
      <c r="BE128" s="36" t="n"/>
      <c r="BF128" s="36" t="n"/>
      <c r="BG128" s="36" t="n"/>
      <c r="BH128" s="36" t="n"/>
      <c r="BI128" s="36" t="n"/>
      <c r="BJ128" s="36" t="n"/>
      <c r="BK128" s="36" t="n"/>
      <c r="BL128" s="36" t="n"/>
      <c r="BM128" s="36" t="n"/>
      <c r="BN128" s="36" t="n"/>
      <c r="BO128" s="36" t="n"/>
      <c r="BP128" s="36" t="n"/>
      <c r="BQ128" s="36" t="n"/>
      <c r="BR128" s="36" t="n"/>
      <c r="BS128" s="36" t="n"/>
      <c r="BT128" s="36" t="n"/>
      <c r="BU128" s="36" t="n"/>
      <c r="BV128" s="36" t="n"/>
      <c r="BW128" s="36" t="n"/>
      <c r="BX128" s="36" t="n"/>
      <c r="BY128" s="36" t="n"/>
      <c r="BZ128" s="36" t="n"/>
      <c r="CA128" s="36" t="n"/>
      <c r="CB128" s="36" t="n"/>
      <c r="CC128" s="36" t="n"/>
      <c r="CD128" s="36" t="n"/>
      <c r="CE128" s="36" t="n"/>
      <c r="CF128" s="36" t="n"/>
      <c r="CG128" s="36" t="n"/>
      <c r="CH128" s="36" t="n"/>
      <c r="CI128" s="36" t="n"/>
      <c r="CJ128" s="36" t="n"/>
      <c r="CK128" s="36" t="n"/>
    </row>
    <row r="129" ht="34" customHeight="1">
      <c r="A129" s="37" t="n"/>
      <c r="B129" s="35" t="inlineStr"/>
      <c r="C129" s="26">
        <f>IF(TRIM($B129)="","",IFERROR(INDEX(People!$A$2:$A$199,MATCH(TRIM($B129),People!$B$2:$B$199,0)),IFERROR(INDEX(Teams!$A$2:$A$9,MATCH(TRIM($B129),Teams!$B$2:$B$9,0)),"?? CHECK NAME")))</f>
        <v/>
      </c>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c r="AF129" s="36" t="n"/>
      <c r="AG129" s="36" t="n"/>
      <c r="AH129" s="36" t="n"/>
      <c r="AI129" s="36" t="n"/>
      <c r="AJ129" s="36" t="n"/>
      <c r="AK129" s="36" t="n"/>
      <c r="AL129" s="36" t="n"/>
      <c r="AM129" s="36" t="n"/>
      <c r="AN129" s="36" t="n"/>
      <c r="AO129" s="36" t="n"/>
      <c r="AP129" s="36" t="n"/>
      <c r="AQ129" s="36" t="n"/>
      <c r="AR129" s="36" t="n"/>
      <c r="AS129" s="36" t="n"/>
      <c r="AT129" s="36" t="n"/>
      <c r="AU129" s="36" t="n"/>
      <c r="AV129" s="36" t="n"/>
      <c r="AW129" s="36" t="n"/>
      <c r="AX129" s="36" t="n"/>
      <c r="AY129" s="36" t="n"/>
      <c r="AZ129" s="36" t="n"/>
      <c r="BA129" s="36" t="n"/>
      <c r="BB129" s="36" t="n"/>
      <c r="BC129" s="36" t="n"/>
      <c r="BD129" s="36" t="n"/>
      <c r="BE129" s="36" t="n"/>
      <c r="BF129" s="36" t="n"/>
      <c r="BG129" s="36" t="n"/>
      <c r="BH129" s="36" t="n"/>
      <c r="BI129" s="36" t="n"/>
      <c r="BJ129" s="36" t="n"/>
      <c r="BK129" s="36" t="n"/>
      <c r="BL129" s="36" t="n"/>
      <c r="BM129" s="36" t="n"/>
      <c r="BN129" s="36" t="n"/>
      <c r="BO129" s="36" t="n"/>
      <c r="BP129" s="36" t="n"/>
      <c r="BQ129" s="36" t="n"/>
      <c r="BR129" s="36" t="n"/>
      <c r="BS129" s="36" t="n"/>
      <c r="BT129" s="36" t="n"/>
      <c r="BU129" s="36" t="n"/>
      <c r="BV129" s="36" t="n"/>
      <c r="BW129" s="36" t="n"/>
      <c r="BX129" s="36" t="n"/>
      <c r="BY129" s="36" t="n"/>
      <c r="BZ129" s="36" t="n"/>
      <c r="CA129" s="36" t="n"/>
      <c r="CB129" s="36" t="n"/>
      <c r="CC129" s="36" t="n"/>
      <c r="CD129" s="36" t="n"/>
      <c r="CE129" s="36" t="n"/>
      <c r="CF129" s="36" t="n"/>
      <c r="CG129" s="36" t="n"/>
      <c r="CH129" s="36" t="n"/>
      <c r="CI129" s="36" t="n"/>
      <c r="CJ129" s="36" t="n"/>
      <c r="CK129" s="36" t="n"/>
    </row>
    <row r="130" ht="34" customHeight="1">
      <c r="A130" s="37" t="n"/>
      <c r="B130" s="35" t="inlineStr"/>
      <c r="C130" s="26">
        <f>IF(TRIM($B130)="","",IFERROR(INDEX(People!$A$2:$A$199,MATCH(TRIM($B130),People!$B$2:$B$199,0)),IFERROR(INDEX(Teams!$A$2:$A$9,MATCH(TRIM($B130),Teams!$B$2:$B$9,0)),"?? CHECK NAME")))</f>
        <v/>
      </c>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c r="AF130" s="36" t="n"/>
      <c r="AG130" s="36" t="n"/>
      <c r="AH130" s="36" t="n"/>
      <c r="AI130" s="36" t="n"/>
      <c r="AJ130" s="36" t="n"/>
      <c r="AK130" s="36" t="n"/>
      <c r="AL130" s="36" t="n"/>
      <c r="AM130" s="36" t="n"/>
      <c r="AN130" s="36" t="n"/>
      <c r="AO130" s="36" t="n"/>
      <c r="AP130" s="36" t="n"/>
      <c r="AQ130" s="36" t="n"/>
      <c r="AR130" s="36" t="n"/>
      <c r="AS130" s="36" t="n"/>
      <c r="AT130" s="36" t="n"/>
      <c r="AU130" s="36" t="n"/>
      <c r="AV130" s="36" t="n"/>
      <c r="AW130" s="36" t="n"/>
      <c r="AX130" s="36" t="n"/>
      <c r="AY130" s="36" t="n"/>
      <c r="AZ130" s="36" t="n"/>
      <c r="BA130" s="36" t="n"/>
      <c r="BB130" s="36" t="n"/>
      <c r="BC130" s="36" t="n"/>
      <c r="BD130" s="36" t="n"/>
      <c r="BE130" s="36" t="n"/>
      <c r="BF130" s="36" t="n"/>
      <c r="BG130" s="36" t="n"/>
      <c r="BH130" s="36" t="n"/>
      <c r="BI130" s="36" t="n"/>
      <c r="BJ130" s="36" t="n"/>
      <c r="BK130" s="36" t="n"/>
      <c r="BL130" s="36" t="n"/>
      <c r="BM130" s="36" t="n"/>
      <c r="BN130" s="36" t="n"/>
      <c r="BO130" s="36" t="n"/>
      <c r="BP130" s="36" t="n"/>
      <c r="BQ130" s="36" t="n"/>
      <c r="BR130" s="36" t="n"/>
      <c r="BS130" s="36" t="n"/>
      <c r="BT130" s="36" t="n"/>
      <c r="BU130" s="36" t="n"/>
      <c r="BV130" s="36" t="n"/>
      <c r="BW130" s="36" t="n"/>
      <c r="BX130" s="36" t="n"/>
      <c r="BY130" s="36" t="n"/>
      <c r="BZ130" s="36" t="n"/>
      <c r="CA130" s="36" t="n"/>
      <c r="CB130" s="36" t="n"/>
      <c r="CC130" s="36" t="n"/>
      <c r="CD130" s="36" t="n"/>
      <c r="CE130" s="36" t="n"/>
      <c r="CF130" s="36" t="n"/>
      <c r="CG130" s="36" t="n"/>
      <c r="CH130" s="36" t="n"/>
      <c r="CI130" s="36" t="n"/>
      <c r="CJ130" s="36" t="n"/>
      <c r="CK130" s="36" t="n"/>
    </row>
    <row r="131" ht="34" customHeight="1">
      <c r="A131" s="38" t="n"/>
      <c r="B131" s="35" t="inlineStr"/>
      <c r="C131" s="26">
        <f>IF(TRIM($B131)="","",IFERROR(INDEX(People!$A$2:$A$199,MATCH(TRIM($B131),People!$B$2:$B$199,0)),IFERROR(INDEX(Teams!$A$2:$A$9,MATCH(TRIM($B131),Teams!$B$2:$B$9,0)),"?? CHECK NAME")))</f>
        <v/>
      </c>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c r="AF131" s="36" t="n"/>
      <c r="AG131" s="36" t="n"/>
      <c r="AH131" s="36" t="n"/>
      <c r="AI131" s="36" t="n"/>
      <c r="AJ131" s="36" t="n"/>
      <c r="AK131" s="36" t="n"/>
      <c r="AL131" s="36" t="n"/>
      <c r="AM131" s="36" t="n"/>
      <c r="AN131" s="36" t="n"/>
      <c r="AO131" s="36" t="n"/>
      <c r="AP131" s="36" t="n"/>
      <c r="AQ131" s="36" t="n"/>
      <c r="AR131" s="36" t="n"/>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c r="BL131" s="36" t="n"/>
      <c r="BM131" s="36" t="n"/>
      <c r="BN131" s="36" t="n"/>
      <c r="BO131" s="36" t="n"/>
      <c r="BP131" s="36" t="n"/>
      <c r="BQ131" s="36" t="n"/>
      <c r="BR131" s="36" t="n"/>
      <c r="BS131" s="36" t="n"/>
      <c r="BT131" s="36" t="n"/>
      <c r="BU131" s="36" t="n"/>
      <c r="BV131" s="36" t="n"/>
      <c r="BW131" s="36" t="n"/>
      <c r="BX131" s="36" t="n"/>
      <c r="BY131" s="36" t="n"/>
      <c r="BZ131" s="36" t="n"/>
      <c r="CA131" s="36" t="n"/>
      <c r="CB131" s="36" t="n"/>
      <c r="CC131" s="36" t="n"/>
      <c r="CD131" s="36" t="n"/>
      <c r="CE131" s="36" t="n"/>
      <c r="CF131" s="36" t="n"/>
      <c r="CG131" s="36" t="n"/>
      <c r="CH131" s="36" t="n"/>
      <c r="CI131" s="36" t="n"/>
      <c r="CJ131" s="36" t="n"/>
      <c r="CK131" s="36" t="n"/>
    </row>
  </sheetData>
  <mergeCells count="29">
    <mergeCell ref="A86:CK86"/>
    <mergeCell ref="A4:A8"/>
    <mergeCell ref="A14:A18"/>
    <mergeCell ref="A97:A101"/>
    <mergeCell ref="A44:A48"/>
    <mergeCell ref="A122:A126"/>
    <mergeCell ref="A29:A33"/>
    <mergeCell ref="A9:A13"/>
    <mergeCell ref="A81:A85"/>
    <mergeCell ref="A127:A131"/>
    <mergeCell ref="A112:A116"/>
    <mergeCell ref="A19:A23"/>
    <mergeCell ref="A64:A68"/>
    <mergeCell ref="A59:A63"/>
    <mergeCell ref="A102:A106"/>
    <mergeCell ref="A117:A121"/>
    <mergeCell ref="A49:A53"/>
    <mergeCell ref="A34:A38"/>
    <mergeCell ref="A92:A96"/>
    <mergeCell ref="A39:A43"/>
    <mergeCell ref="A24:A28"/>
    <mergeCell ref="A107:A111"/>
    <mergeCell ref="A54:A58"/>
    <mergeCell ref="A78:CK78"/>
    <mergeCell ref="A69:CK69"/>
    <mergeCell ref="CH1:CK1"/>
    <mergeCell ref="A87:A91"/>
    <mergeCell ref="D1:CG1"/>
    <mergeCell ref="A3:CK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W131"/>
  <sheetViews>
    <sheetView workbookViewId="0">
      <pane xSplit="3" ySplit="2" topLeftCell="D3" activePane="bottomRight" state="frozen"/>
      <selection pane="topRight"/>
      <selection pane="bottomLeft"/>
      <selection pane="bottomRight" activeCell="A1" sqref="A1"/>
    </sheetView>
  </sheetViews>
  <sheetFormatPr baseColWidth="8" defaultRowHeight="15"/>
  <cols>
    <col width="20" customWidth="1" min="1" max="1"/>
    <col width="22" customWidth="1" min="2" max="2"/>
    <col width="10" customWidth="1" min="3" max="3"/>
    <col width="5.5" customWidth="1" min="4" max="4"/>
    <col width="5.5" customWidth="1" min="5" max="5"/>
    <col width="5.5" customWidth="1" min="6" max="6"/>
    <col width="5.5" customWidth="1" min="7" max="7"/>
    <col width="5.5" customWidth="1" min="8" max="8"/>
    <col width="5.5" customWidth="1" min="9" max="9"/>
    <col width="5.5" customWidth="1" min="10" max="10"/>
    <col width="5.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 width="5.5" customWidth="1" min="19" max="19"/>
    <col width="5.5" customWidth="1" min="20" max="20"/>
    <col width="5.5" customWidth="1" min="21" max="21"/>
    <col width="5.5" customWidth="1" min="22" max="22"/>
    <col width="5.5" customWidth="1" min="23" max="23"/>
    <col width="5.5" customWidth="1" min="24" max="24"/>
    <col width="5.5" customWidth="1" min="25" max="25"/>
    <col width="5.5" customWidth="1" min="26" max="26"/>
    <col width="5.5" customWidth="1" min="27" max="27"/>
    <col width="5.5" customWidth="1" min="28" max="28"/>
    <col width="5.5" customWidth="1" min="29" max="29"/>
    <col width="5.5" customWidth="1" min="30" max="30"/>
    <col width="5.5" customWidth="1" min="31" max="31"/>
    <col width="5.5" customWidth="1" min="32" max="32"/>
    <col width="5.5" customWidth="1" min="33" max="33"/>
    <col width="5.5" customWidth="1" min="34" max="34"/>
    <col width="5.5" customWidth="1" min="35" max="35"/>
    <col width="5.5" customWidth="1" min="36" max="36"/>
    <col width="5.5" customWidth="1" min="37" max="37"/>
    <col width="5.5" customWidth="1" min="38" max="38"/>
    <col width="5.5" customWidth="1" min="39" max="39"/>
    <col width="5.5" customWidth="1" min="40" max="40"/>
    <col width="5.5" customWidth="1" min="41" max="41"/>
    <col width="5.5" customWidth="1" min="42" max="42"/>
    <col width="5.5" customWidth="1" min="43" max="43"/>
    <col width="5.5" customWidth="1" min="44" max="44"/>
    <col width="5.5" customWidth="1" min="45" max="45"/>
    <col width="5.5" customWidth="1" min="46" max="46"/>
    <col width="5.5" customWidth="1" min="47" max="47"/>
    <col width="5.5" customWidth="1" min="48" max="48"/>
    <col width="5.5" customWidth="1" min="49" max="49"/>
    <col width="5.5" customWidth="1" min="50" max="50"/>
    <col width="5.5" customWidth="1" min="51" max="51"/>
    <col width="5.5" customWidth="1" min="52" max="52"/>
    <col width="5.5" customWidth="1" min="53" max="53"/>
    <col width="5.5" customWidth="1" min="54" max="54"/>
    <col width="5.5" customWidth="1" min="55" max="55"/>
    <col width="5.5" customWidth="1" min="56" max="56"/>
    <col width="5.5" customWidth="1" min="57" max="57"/>
    <col width="5.5" customWidth="1" min="58" max="58"/>
    <col width="5.5" customWidth="1" min="59" max="59"/>
    <col width="5.5" customWidth="1" min="60" max="60"/>
    <col width="5.5" customWidth="1" min="61" max="61"/>
    <col width="5.5" customWidth="1" min="62" max="62"/>
    <col width="5.5" customWidth="1" min="63" max="63"/>
    <col width="5.5" customWidth="1" min="64" max="64"/>
    <col width="5.5" customWidth="1" min="65" max="65"/>
    <col width="5.5" customWidth="1" min="66" max="66"/>
    <col width="5.5" customWidth="1" min="67" max="67"/>
    <col width="5.5" customWidth="1" min="68" max="68"/>
    <col width="5.5" customWidth="1" min="69" max="69"/>
    <col width="5.5" customWidth="1" min="70" max="70"/>
    <col width="5.5" customWidth="1" min="71" max="71"/>
    <col width="5.5" customWidth="1" min="72" max="72"/>
    <col width="5.5" customWidth="1" min="73" max="73"/>
    <col width="5.5" customWidth="1" min="74" max="74"/>
    <col width="5.5" customWidth="1" min="75" max="75"/>
  </cols>
  <sheetData>
    <row r="1">
      <c r="A1" s="18" t="inlineStr">
        <is>
          <t>Group</t>
        </is>
      </c>
      <c r="B1" s="18" t="inlineStr">
        <is>
          <t>Name</t>
        </is>
      </c>
      <c r="C1" s="18" t="inlineStr">
        <is>
          <t>ID</t>
        </is>
      </c>
      <c r="D1" s="28">
        <f>Instructions!$C$14+2</f>
        <v/>
      </c>
      <c r="E1" s="29" t="n"/>
      <c r="F1" s="29" t="n"/>
      <c r="G1" s="29" t="n"/>
      <c r="H1" s="29" t="n"/>
      <c r="I1" s="29" t="n"/>
      <c r="J1" s="29" t="n"/>
      <c r="K1" s="29" t="n"/>
      <c r="L1" s="29" t="n"/>
      <c r="M1" s="29" t="n"/>
      <c r="N1" s="29" t="n"/>
      <c r="O1" s="29" t="n"/>
      <c r="P1" s="29" t="n"/>
      <c r="Q1" s="29" t="n"/>
      <c r="R1" s="29" t="n"/>
      <c r="S1" s="29" t="n"/>
      <c r="T1" s="29" t="n"/>
      <c r="U1" s="29" t="n"/>
      <c r="V1" s="29" t="n"/>
      <c r="W1" s="29" t="n"/>
      <c r="X1" s="29" t="n"/>
      <c r="Y1" s="29" t="n"/>
      <c r="Z1" s="29" t="n"/>
      <c r="AA1" s="29" t="n"/>
      <c r="AB1" s="29" t="n"/>
      <c r="AC1" s="29" t="n"/>
      <c r="AD1" s="29" t="n"/>
      <c r="AE1" s="29" t="n"/>
      <c r="AF1" s="29" t="n"/>
      <c r="AG1" s="29" t="n"/>
      <c r="AH1" s="29" t="n"/>
      <c r="AI1" s="29" t="n"/>
      <c r="AJ1" s="29" t="n"/>
      <c r="AK1" s="29" t="n"/>
      <c r="AL1" s="29" t="n"/>
      <c r="AM1" s="29" t="n"/>
      <c r="AN1" s="29" t="n"/>
      <c r="AO1" s="29" t="n"/>
      <c r="AP1" s="29" t="n"/>
      <c r="AQ1" s="29" t="n"/>
      <c r="AR1" s="29" t="n"/>
      <c r="AS1" s="29" t="n"/>
      <c r="AT1" s="29" t="n"/>
      <c r="AU1" s="29" t="n"/>
      <c r="AV1" s="29" t="n"/>
      <c r="AW1" s="29" t="n"/>
      <c r="AX1" s="29" t="n"/>
      <c r="AY1" s="29" t="n"/>
      <c r="AZ1" s="29" t="n"/>
      <c r="BA1" s="29" t="n"/>
      <c r="BB1" s="29" t="n"/>
      <c r="BC1" s="29" t="n"/>
      <c r="BD1" s="29" t="n"/>
      <c r="BE1" s="29" t="n"/>
      <c r="BF1" s="29" t="n"/>
      <c r="BG1" s="29" t="n"/>
      <c r="BH1" s="29" t="n"/>
      <c r="BI1" s="29" t="n"/>
      <c r="BJ1" s="29" t="n"/>
      <c r="BK1" s="29" t="n"/>
      <c r="BL1" s="29" t="n"/>
      <c r="BM1" s="29" t="n"/>
      <c r="BN1" s="29" t="n"/>
      <c r="BO1" s="29" t="n"/>
      <c r="BP1" s="29" t="n"/>
      <c r="BQ1" s="29" t="n"/>
      <c r="BR1" s="29" t="n"/>
      <c r="BS1" s="29" t="n"/>
      <c r="BT1" s="29" t="n"/>
      <c r="BU1" s="29" t="n"/>
      <c r="BV1" s="29" t="n"/>
      <c r="BW1" s="29" t="n"/>
    </row>
    <row r="2" ht="58" customHeight="1">
      <c r="A2" s="30" t="n"/>
      <c r="B2" s="30" t="n"/>
      <c r="C2" s="30" t="n"/>
      <c r="D2" s="31" t="n">
        <v>0.125</v>
      </c>
      <c r="E2" s="31" t="n">
        <v>0.1354166666666667</v>
      </c>
      <c r="F2" s="31" t="n">
        <v>0.1458333333333333</v>
      </c>
      <c r="G2" s="31" t="n">
        <v>0.15625</v>
      </c>
      <c r="H2" s="31" t="n">
        <v>0.1666666666666667</v>
      </c>
      <c r="I2" s="31" t="n">
        <v>0.1770833333333333</v>
      </c>
      <c r="J2" s="31" t="n">
        <v>0.1875</v>
      </c>
      <c r="K2" s="31" t="n">
        <v>0.1979166666666667</v>
      </c>
      <c r="L2" s="31" t="n">
        <v>0.2083333333333333</v>
      </c>
      <c r="M2" s="31" t="n">
        <v>0.21875</v>
      </c>
      <c r="N2" s="31" t="n">
        <v>0.2291666666666667</v>
      </c>
      <c r="O2" s="31" t="n">
        <v>0.2395833333333333</v>
      </c>
      <c r="P2" s="31" t="n">
        <v>0.25</v>
      </c>
      <c r="Q2" s="31" t="n">
        <v>0.2604166666666667</v>
      </c>
      <c r="R2" s="31" t="n">
        <v>0.2708333333333333</v>
      </c>
      <c r="S2" s="31" t="n">
        <v>0.28125</v>
      </c>
      <c r="T2" s="31" t="n">
        <v>0.2916666666666667</v>
      </c>
      <c r="U2" s="31" t="n">
        <v>0.3020833333333333</v>
      </c>
      <c r="V2" s="31" t="n">
        <v>0.3125</v>
      </c>
      <c r="W2" s="31" t="n">
        <v>0.3229166666666667</v>
      </c>
      <c r="X2" s="31" t="n">
        <v>0.3333333333333333</v>
      </c>
      <c r="Y2" s="31" t="n">
        <v>0.34375</v>
      </c>
      <c r="Z2" s="31" t="n">
        <v>0.3541666666666667</v>
      </c>
      <c r="AA2" s="31" t="n">
        <v>0.3645833333333333</v>
      </c>
      <c r="AB2" s="31" t="n">
        <v>0.375</v>
      </c>
      <c r="AC2" s="31" t="n">
        <v>0.3854166666666667</v>
      </c>
      <c r="AD2" s="31" t="n">
        <v>0.3958333333333333</v>
      </c>
      <c r="AE2" s="31" t="n">
        <v>0.40625</v>
      </c>
      <c r="AF2" s="31" t="n">
        <v>0.4166666666666667</v>
      </c>
      <c r="AG2" s="31" t="n">
        <v>0.4270833333333333</v>
      </c>
      <c r="AH2" s="31" t="n">
        <v>0.4375</v>
      </c>
      <c r="AI2" s="31" t="n">
        <v>0.4479166666666667</v>
      </c>
      <c r="AJ2" s="31" t="n">
        <v>0.4583333333333333</v>
      </c>
      <c r="AK2" s="31" t="n">
        <v>0.46875</v>
      </c>
      <c r="AL2" s="31" t="n">
        <v>0.4791666666666667</v>
      </c>
      <c r="AM2" s="31" t="n">
        <v>0.4895833333333333</v>
      </c>
      <c r="AN2" s="31" t="n">
        <v>0.5</v>
      </c>
      <c r="AO2" s="31" t="n">
        <v>0.5104166666666666</v>
      </c>
      <c r="AP2" s="31" t="n">
        <v>0.5208333333333334</v>
      </c>
      <c r="AQ2" s="31" t="n">
        <v>0.53125</v>
      </c>
      <c r="AR2" s="31" t="n">
        <v>0.5416666666666666</v>
      </c>
      <c r="AS2" s="31" t="n">
        <v>0.5520833333333334</v>
      </c>
      <c r="AT2" s="31" t="n">
        <v>0.5625</v>
      </c>
      <c r="AU2" s="31" t="n">
        <v>0.5729166666666666</v>
      </c>
      <c r="AV2" s="31" t="n">
        <v>0.5833333333333334</v>
      </c>
      <c r="AW2" s="31" t="n">
        <v>0.59375</v>
      </c>
      <c r="AX2" s="31" t="n">
        <v>0.6041666666666666</v>
      </c>
      <c r="AY2" s="31" t="n">
        <v>0.6145833333333334</v>
      </c>
      <c r="AZ2" s="31" t="n">
        <v>0.625</v>
      </c>
      <c r="BA2" s="31" t="n">
        <v>0.6354166666666666</v>
      </c>
      <c r="BB2" s="31" t="n">
        <v>0.6458333333333334</v>
      </c>
      <c r="BC2" s="31" t="n">
        <v>0.65625</v>
      </c>
      <c r="BD2" s="31" t="n">
        <v>0.6666666666666666</v>
      </c>
      <c r="BE2" s="31" t="n">
        <v>0.6770833333333334</v>
      </c>
      <c r="BF2" s="31" t="n">
        <v>0.6875</v>
      </c>
      <c r="BG2" s="31" t="n">
        <v>0.6979166666666666</v>
      </c>
      <c r="BH2" s="31" t="n">
        <v>0.7083333333333334</v>
      </c>
      <c r="BI2" s="31" t="n">
        <v>0.71875</v>
      </c>
      <c r="BJ2" s="31" t="n">
        <v>0.7291666666666666</v>
      </c>
      <c r="BK2" s="31" t="n">
        <v>0.7395833333333334</v>
      </c>
      <c r="BL2" s="31" t="n">
        <v>0.75</v>
      </c>
      <c r="BM2" s="31" t="n">
        <v>0.7604166666666666</v>
      </c>
      <c r="BN2" s="31" t="n">
        <v>0.7708333333333334</v>
      </c>
      <c r="BO2" s="31" t="n">
        <v>0.78125</v>
      </c>
      <c r="BP2" s="31" t="n">
        <v>0.7916666666666666</v>
      </c>
      <c r="BQ2" s="31" t="n">
        <v>0.8020833333333334</v>
      </c>
      <c r="BR2" s="31" t="n">
        <v>0.8125</v>
      </c>
      <c r="BS2" s="31" t="n">
        <v>0.8229166666666666</v>
      </c>
      <c r="BT2" s="31" t="n">
        <v>0.8333333333333334</v>
      </c>
      <c r="BU2" s="31" t="n">
        <v>0.84375</v>
      </c>
      <c r="BV2" s="31" t="n">
        <v>0.8541666666666666</v>
      </c>
      <c r="BW2" s="31" t="n">
        <v>0.8645833333333334</v>
      </c>
    </row>
    <row r="3" ht="18" customHeight="1">
      <c r="A3" s="32" t="inlineStr">
        <is>
          <t>BOARD MEMBERS</t>
        </is>
      </c>
      <c r="B3" s="33" t="n"/>
      <c r="C3" s="33" t="n"/>
      <c r="D3" s="33" t="n"/>
      <c r="E3" s="33" t="n"/>
      <c r="F3" s="33" t="n"/>
      <c r="G3" s="33" t="n"/>
      <c r="H3" s="33" t="n"/>
      <c r="I3" s="33" t="n"/>
      <c r="J3" s="33" t="n"/>
      <c r="K3" s="33" t="n"/>
      <c r="L3" s="33" t="n"/>
      <c r="M3" s="33" t="n"/>
      <c r="N3" s="33" t="n"/>
      <c r="O3" s="33" t="n"/>
      <c r="P3" s="33" t="n"/>
      <c r="Q3" s="33" t="n"/>
      <c r="R3" s="33" t="n"/>
      <c r="S3" s="33" t="n"/>
      <c r="T3" s="33" t="n"/>
      <c r="U3" s="33" t="n"/>
      <c r="V3" s="33" t="n"/>
      <c r="W3" s="33" t="n"/>
      <c r="X3" s="33" t="n"/>
      <c r="Y3" s="33" t="n"/>
      <c r="Z3" s="33" t="n"/>
      <c r="AA3" s="33" t="n"/>
      <c r="AB3" s="33" t="n"/>
      <c r="AC3" s="33" t="n"/>
      <c r="AD3" s="33" t="n"/>
      <c r="AE3" s="33" t="n"/>
      <c r="AF3" s="33" t="n"/>
      <c r="AG3" s="33" t="n"/>
      <c r="AH3" s="33" t="n"/>
      <c r="AI3" s="33" t="n"/>
      <c r="AJ3" s="33" t="n"/>
      <c r="AK3" s="33" t="n"/>
      <c r="AL3" s="33" t="n"/>
      <c r="AM3" s="33" t="n"/>
      <c r="AN3" s="33" t="n"/>
      <c r="AO3" s="33" t="n"/>
      <c r="AP3" s="33" t="n"/>
      <c r="AQ3" s="33" t="n"/>
      <c r="AR3" s="33" t="n"/>
      <c r="AS3" s="33" t="n"/>
      <c r="AT3" s="33" t="n"/>
      <c r="AU3" s="33" t="n"/>
      <c r="AV3" s="33" t="n"/>
      <c r="AW3" s="33" t="n"/>
      <c r="AX3" s="33" t="n"/>
      <c r="AY3" s="33" t="n"/>
      <c r="AZ3" s="33" t="n"/>
      <c r="BA3" s="33" t="n"/>
      <c r="BB3" s="33" t="n"/>
      <c r="BC3" s="33" t="n"/>
      <c r="BD3" s="33" t="n"/>
      <c r="BE3" s="33" t="n"/>
      <c r="BF3" s="33" t="n"/>
      <c r="BG3" s="33" t="n"/>
      <c r="BH3" s="33" t="n"/>
      <c r="BI3" s="33" t="n"/>
      <c r="BJ3" s="33" t="n"/>
      <c r="BK3" s="33" t="n"/>
      <c r="BL3" s="33" t="n"/>
      <c r="BM3" s="33" t="n"/>
      <c r="BN3" s="33" t="n"/>
      <c r="BO3" s="33" t="n"/>
      <c r="BP3" s="33" t="n"/>
      <c r="BQ3" s="33" t="n"/>
      <c r="BR3" s="33" t="n"/>
      <c r="BS3" s="33" t="n"/>
      <c r="BT3" s="33" t="n"/>
      <c r="BU3" s="33" t="n"/>
      <c r="BV3" s="33" t="n"/>
      <c r="BW3" s="34" t="n"/>
    </row>
    <row r="4" ht="34" customHeight="1">
      <c r="A4" s="16" t="inlineStr">
        <is>
          <t>Directors</t>
        </is>
      </c>
      <c r="B4" s="35" t="inlineStr"/>
      <c r="C4" s="26">
        <f>IF(TRIM($B4)="","",IFERROR(INDEX(People!$A$2:$A$199,MATCH(TRIM($B4),People!$B$2:$B$199,0)),IFERROR(INDEX(Teams!$A$2:$A$9,MATCH(TRIM($B4),Teams!$B$2:$B$9,0)),"?? CHECK NAME")))</f>
        <v/>
      </c>
      <c r="D4" s="36" t="n"/>
      <c r="E4" s="36" t="n"/>
      <c r="F4" s="36" t="n"/>
      <c r="G4" s="36" t="n"/>
      <c r="H4" s="36" t="n"/>
      <c r="I4" s="36" t="n"/>
      <c r="J4" s="36" t="n"/>
      <c r="K4" s="36" t="n"/>
      <c r="L4" s="36" t="n"/>
      <c r="M4" s="36" t="n"/>
      <c r="N4" s="36" t="n"/>
      <c r="O4" s="36" t="n"/>
      <c r="P4" s="36" t="n"/>
      <c r="Q4" s="36" t="n"/>
      <c r="R4" s="36" t="n"/>
      <c r="S4" s="36" t="n"/>
      <c r="T4" s="36" t="n"/>
      <c r="U4" s="36" t="n"/>
      <c r="V4" s="36" t="n"/>
      <c r="W4" s="36" t="n"/>
      <c r="X4" s="36" t="n"/>
      <c r="Y4" s="36" t="n"/>
      <c r="Z4" s="36" t="n"/>
      <c r="AA4" s="36" t="n"/>
      <c r="AB4" s="36" t="n"/>
      <c r="AC4" s="36" t="n"/>
      <c r="AD4" s="36" t="n"/>
      <c r="AE4" s="36" t="n"/>
      <c r="AF4" s="36" t="n"/>
      <c r="AG4" s="36" t="n"/>
      <c r="AH4" s="36" t="n"/>
      <c r="AI4" s="36" t="n"/>
      <c r="AJ4" s="36" t="n"/>
      <c r="AK4" s="36" t="n"/>
      <c r="AL4" s="36" t="n"/>
      <c r="AM4" s="36" t="n"/>
      <c r="AN4" s="36" t="n"/>
      <c r="AO4" s="36" t="n"/>
      <c r="AP4" s="36" t="n"/>
      <c r="AQ4" s="36" t="n"/>
      <c r="AR4" s="36" t="n"/>
      <c r="AS4" s="36" t="n"/>
      <c r="AT4" s="36" t="n"/>
      <c r="AU4" s="36" t="n"/>
      <c r="AV4" s="36" t="n"/>
      <c r="AW4" s="36" t="n"/>
      <c r="AX4" s="36" t="n"/>
      <c r="AY4" s="36" t="n"/>
      <c r="AZ4" s="36" t="n"/>
      <c r="BA4" s="36" t="n"/>
      <c r="BB4" s="36" t="n"/>
      <c r="BC4" s="36" t="n"/>
      <c r="BD4" s="36" t="n"/>
      <c r="BE4" s="36" t="n"/>
      <c r="BF4" s="36" t="n"/>
      <c r="BG4" s="36" t="n"/>
      <c r="BH4" s="36" t="n"/>
      <c r="BI4" s="36" t="n"/>
      <c r="BJ4" s="36" t="n"/>
      <c r="BK4" s="36" t="n"/>
      <c r="BL4" s="36" t="n"/>
      <c r="BM4" s="36" t="n"/>
      <c r="BN4" s="36" t="n"/>
      <c r="BO4" s="36" t="n"/>
      <c r="BP4" s="36" t="n"/>
      <c r="BQ4" s="36" t="n"/>
      <c r="BR4" s="36" t="n"/>
      <c r="BS4" s="36" t="n"/>
      <c r="BT4" s="36" t="n"/>
      <c r="BU4" s="36" t="n"/>
      <c r="BV4" s="36" t="n"/>
      <c r="BW4" s="36" t="n"/>
    </row>
    <row r="5" ht="34" customHeight="1">
      <c r="A5" s="37" t="n"/>
      <c r="B5" s="35" t="inlineStr"/>
      <c r="C5" s="26">
        <f>IF(TRIM($B5)="","",IFERROR(INDEX(People!$A$2:$A$199,MATCH(TRIM($B5),People!$B$2:$B$199,0)),IFERROR(INDEX(Teams!$A$2:$A$9,MATCH(TRIM($B5),Teams!$B$2:$B$9,0)),"?? CHECK NAME")))</f>
        <v/>
      </c>
      <c r="D5" s="36" t="n"/>
      <c r="E5" s="36" t="n"/>
      <c r="F5" s="36" t="n"/>
      <c r="G5" s="36" t="n"/>
      <c r="H5" s="36" t="n"/>
      <c r="I5" s="36" t="n"/>
      <c r="J5" s="36" t="n"/>
      <c r="K5" s="36" t="n"/>
      <c r="L5" s="36" t="n"/>
      <c r="M5" s="36" t="n"/>
      <c r="N5" s="36" t="n"/>
      <c r="O5" s="36" t="n"/>
      <c r="P5" s="36" t="n"/>
      <c r="Q5" s="36" t="n"/>
      <c r="R5" s="36" t="n"/>
      <c r="S5" s="36" t="n"/>
      <c r="T5" s="36" t="n"/>
      <c r="U5" s="36" t="n"/>
      <c r="V5" s="36" t="n"/>
      <c r="W5" s="36" t="n"/>
      <c r="X5" s="36" t="n"/>
      <c r="Y5" s="36" t="n"/>
      <c r="Z5" s="36" t="n"/>
      <c r="AA5" s="36" t="n"/>
      <c r="AB5" s="36" t="n"/>
      <c r="AC5" s="36" t="n"/>
      <c r="AD5" s="36" t="n"/>
      <c r="AE5" s="36" t="n"/>
      <c r="AF5" s="36" t="n"/>
      <c r="AG5" s="36" t="n"/>
      <c r="AH5" s="36" t="n"/>
      <c r="AI5" s="36" t="n"/>
      <c r="AJ5" s="36" t="n"/>
      <c r="AK5" s="36" t="n"/>
      <c r="AL5" s="36" t="n"/>
      <c r="AM5" s="36" t="n"/>
      <c r="AN5" s="36" t="n"/>
      <c r="AO5" s="36" t="n"/>
      <c r="AP5" s="36" t="n"/>
      <c r="AQ5" s="36" t="n"/>
      <c r="AR5" s="36" t="n"/>
      <c r="AS5" s="36" t="n"/>
      <c r="AT5" s="36" t="n"/>
      <c r="AU5" s="36" t="n"/>
      <c r="AV5" s="36" t="n"/>
      <c r="AW5" s="36" t="n"/>
      <c r="AX5" s="36" t="n"/>
      <c r="AY5" s="36" t="n"/>
      <c r="AZ5" s="36" t="n"/>
      <c r="BA5" s="36" t="n"/>
      <c r="BB5" s="36" t="n"/>
      <c r="BC5" s="36" t="n"/>
      <c r="BD5" s="36" t="n"/>
      <c r="BE5" s="36" t="n"/>
      <c r="BF5" s="36" t="n"/>
      <c r="BG5" s="36" t="n"/>
      <c r="BH5" s="36" t="n"/>
      <c r="BI5" s="36" t="n"/>
      <c r="BJ5" s="36" t="n"/>
      <c r="BK5" s="36" t="n"/>
      <c r="BL5" s="36" t="n"/>
      <c r="BM5" s="36" t="n"/>
      <c r="BN5" s="36" t="n"/>
      <c r="BO5" s="36" t="n"/>
      <c r="BP5" s="36" t="n"/>
      <c r="BQ5" s="36" t="n"/>
      <c r="BR5" s="36" t="n"/>
      <c r="BS5" s="36" t="n"/>
      <c r="BT5" s="36" t="n"/>
      <c r="BU5" s="36" t="n"/>
      <c r="BV5" s="36" t="n"/>
      <c r="BW5" s="36" t="n"/>
    </row>
    <row r="6" ht="34" customHeight="1">
      <c r="A6" s="37" t="n"/>
      <c r="B6" s="35" t="inlineStr"/>
      <c r="C6" s="26">
        <f>IF(TRIM($B6)="","",IFERROR(INDEX(People!$A$2:$A$199,MATCH(TRIM($B6),People!$B$2:$B$199,0)),IFERROR(INDEX(Teams!$A$2:$A$9,MATCH(TRIM($B6),Teams!$B$2:$B$9,0)),"?? CHECK NAME")))</f>
        <v/>
      </c>
      <c r="D6" s="36" t="n"/>
      <c r="E6" s="36" t="n"/>
      <c r="F6" s="36" t="n"/>
      <c r="G6" s="36" t="n"/>
      <c r="H6" s="36" t="n"/>
      <c r="I6" s="36" t="n"/>
      <c r="J6" s="36" t="n"/>
      <c r="K6" s="36" t="n"/>
      <c r="L6" s="36" t="n"/>
      <c r="M6" s="36" t="n"/>
      <c r="N6" s="36" t="n"/>
      <c r="O6" s="36" t="n"/>
      <c r="P6" s="36" t="n"/>
      <c r="Q6" s="36" t="n"/>
      <c r="R6" s="36" t="n"/>
      <c r="S6" s="36" t="n"/>
      <c r="T6" s="36" t="n"/>
      <c r="U6" s="36" t="n"/>
      <c r="V6" s="36" t="n"/>
      <c r="W6" s="36" t="n"/>
      <c r="X6" s="36" t="n"/>
      <c r="Y6" s="36" t="n"/>
      <c r="Z6" s="36" t="n"/>
      <c r="AA6" s="36" t="n"/>
      <c r="AB6" s="36" t="n"/>
      <c r="AC6" s="36" t="n"/>
      <c r="AD6" s="36" t="n"/>
      <c r="AE6" s="36" t="n"/>
      <c r="AF6" s="36" t="n"/>
      <c r="AG6" s="36" t="n"/>
      <c r="AH6" s="36" t="n"/>
      <c r="AI6" s="36" t="n"/>
      <c r="AJ6" s="36" t="n"/>
      <c r="AK6" s="36" t="n"/>
      <c r="AL6" s="36" t="n"/>
      <c r="AM6" s="36" t="n"/>
      <c r="AN6" s="36" t="n"/>
      <c r="AO6" s="36" t="n"/>
      <c r="AP6" s="36" t="n"/>
      <c r="AQ6" s="36" t="n"/>
      <c r="AR6" s="36" t="n"/>
      <c r="AS6" s="36" t="n"/>
      <c r="AT6" s="36" t="n"/>
      <c r="AU6" s="36" t="n"/>
      <c r="AV6" s="36" t="n"/>
      <c r="AW6" s="36" t="n"/>
      <c r="AX6" s="36" t="n"/>
      <c r="AY6" s="36" t="n"/>
      <c r="AZ6" s="36" t="n"/>
      <c r="BA6" s="36" t="n"/>
      <c r="BB6" s="36" t="n"/>
      <c r="BC6" s="36" t="n"/>
      <c r="BD6" s="36" t="n"/>
      <c r="BE6" s="36" t="n"/>
      <c r="BF6" s="36" t="n"/>
      <c r="BG6" s="36" t="n"/>
      <c r="BH6" s="36" t="n"/>
      <c r="BI6" s="36" t="n"/>
      <c r="BJ6" s="36" t="n"/>
      <c r="BK6" s="36" t="n"/>
      <c r="BL6" s="36" t="n"/>
      <c r="BM6" s="36" t="n"/>
      <c r="BN6" s="36" t="n"/>
      <c r="BO6" s="36" t="n"/>
      <c r="BP6" s="36" t="n"/>
      <c r="BQ6" s="36" t="n"/>
      <c r="BR6" s="36" t="n"/>
      <c r="BS6" s="36" t="n"/>
      <c r="BT6" s="36" t="n"/>
      <c r="BU6" s="36" t="n"/>
      <c r="BV6" s="36" t="n"/>
      <c r="BW6" s="36" t="n"/>
    </row>
    <row r="7" ht="34" customHeight="1">
      <c r="A7" s="37" t="n"/>
      <c r="B7" s="35" t="inlineStr"/>
      <c r="C7" s="26">
        <f>IF(TRIM($B7)="","",IFERROR(INDEX(People!$A$2:$A$199,MATCH(TRIM($B7),People!$B$2:$B$199,0)),IFERROR(INDEX(Teams!$A$2:$A$9,MATCH(TRIM($B7),Teams!$B$2:$B$9,0)),"?? CHECK NAME")))</f>
        <v/>
      </c>
      <c r="D7" s="36" t="n"/>
      <c r="E7" s="36" t="n"/>
      <c r="F7" s="36" t="n"/>
      <c r="G7" s="36" t="n"/>
      <c r="H7" s="36" t="n"/>
      <c r="I7" s="36" t="n"/>
      <c r="J7" s="36" t="n"/>
      <c r="K7" s="36" t="n"/>
      <c r="L7" s="36" t="n"/>
      <c r="M7" s="36" t="n"/>
      <c r="N7" s="36" t="n"/>
      <c r="O7" s="36" t="n"/>
      <c r="P7" s="36" t="n"/>
      <c r="Q7" s="36" t="n"/>
      <c r="R7" s="36" t="n"/>
      <c r="S7" s="36" t="n"/>
      <c r="T7" s="36" t="n"/>
      <c r="U7" s="36" t="n"/>
      <c r="V7" s="36" t="n"/>
      <c r="W7" s="36" t="n"/>
      <c r="X7" s="36" t="n"/>
      <c r="Y7" s="36" t="n"/>
      <c r="Z7" s="36" t="n"/>
      <c r="AA7" s="36" t="n"/>
      <c r="AB7" s="36" t="n"/>
      <c r="AC7" s="36" t="n"/>
      <c r="AD7" s="36" t="n"/>
      <c r="AE7" s="36" t="n"/>
      <c r="AF7" s="36" t="n"/>
      <c r="AG7" s="36" t="n"/>
      <c r="AH7" s="36" t="n"/>
      <c r="AI7" s="36" t="n"/>
      <c r="AJ7" s="36" t="n"/>
      <c r="AK7" s="36" t="n"/>
      <c r="AL7" s="36" t="n"/>
      <c r="AM7" s="36" t="n"/>
      <c r="AN7" s="36" t="n"/>
      <c r="AO7" s="36" t="n"/>
      <c r="AP7" s="36" t="n"/>
      <c r="AQ7" s="36" t="n"/>
      <c r="AR7" s="36" t="n"/>
      <c r="AS7" s="36" t="n"/>
      <c r="AT7" s="36" t="n"/>
      <c r="AU7" s="36" t="n"/>
      <c r="AV7" s="36" t="n"/>
      <c r="AW7" s="36" t="n"/>
      <c r="AX7" s="36" t="n"/>
      <c r="AY7" s="36" t="n"/>
      <c r="AZ7" s="36" t="n"/>
      <c r="BA7" s="36" t="n"/>
      <c r="BB7" s="36" t="n"/>
      <c r="BC7" s="36" t="n"/>
      <c r="BD7" s="36" t="n"/>
      <c r="BE7" s="36" t="n"/>
      <c r="BF7" s="36" t="n"/>
      <c r="BG7" s="36" t="n"/>
      <c r="BH7" s="36" t="n"/>
      <c r="BI7" s="36" t="n"/>
      <c r="BJ7" s="36" t="n"/>
      <c r="BK7" s="36" t="n"/>
      <c r="BL7" s="36" t="n"/>
      <c r="BM7" s="36" t="n"/>
      <c r="BN7" s="36" t="n"/>
      <c r="BO7" s="36" t="n"/>
      <c r="BP7" s="36" t="n"/>
      <c r="BQ7" s="36" t="n"/>
      <c r="BR7" s="36" t="n"/>
      <c r="BS7" s="36" t="n"/>
      <c r="BT7" s="36" t="n"/>
      <c r="BU7" s="36" t="n"/>
      <c r="BV7" s="36" t="n"/>
      <c r="BW7" s="36" t="n"/>
    </row>
    <row r="8" ht="34" customHeight="1">
      <c r="A8" s="38" t="n"/>
      <c r="B8" s="35" t="inlineStr"/>
      <c r="C8" s="26">
        <f>IF(TRIM($B8)="","",IFERROR(INDEX(People!$A$2:$A$199,MATCH(TRIM($B8),People!$B$2:$B$199,0)),IFERROR(INDEX(Teams!$A$2:$A$9,MATCH(TRIM($B8),Teams!$B$2:$B$9,0)),"?? CHECK NAME")))</f>
        <v/>
      </c>
      <c r="D8" s="36" t="n"/>
      <c r="E8" s="36" t="n"/>
      <c r="F8" s="36" t="n"/>
      <c r="G8" s="36" t="n"/>
      <c r="H8" s="36" t="n"/>
      <c r="I8" s="36" t="n"/>
      <c r="J8" s="36" t="n"/>
      <c r="K8" s="36" t="n"/>
      <c r="L8" s="36" t="n"/>
      <c r="M8" s="36" t="n"/>
      <c r="N8" s="36" t="n"/>
      <c r="O8" s="36" t="n"/>
      <c r="P8" s="36" t="n"/>
      <c r="Q8" s="36" t="n"/>
      <c r="R8" s="36" t="n"/>
      <c r="S8" s="36" t="n"/>
      <c r="T8" s="36" t="n"/>
      <c r="U8" s="36" t="n"/>
      <c r="V8" s="36" t="n"/>
      <c r="W8" s="36" t="n"/>
      <c r="X8" s="36" t="n"/>
      <c r="Y8" s="36" t="n"/>
      <c r="Z8" s="36" t="n"/>
      <c r="AA8" s="36" t="n"/>
      <c r="AB8" s="36" t="n"/>
      <c r="AC8" s="36" t="n"/>
      <c r="AD8" s="36" t="n"/>
      <c r="AE8" s="36" t="n"/>
      <c r="AF8" s="36" t="n"/>
      <c r="AG8" s="36" t="n"/>
      <c r="AH8" s="36" t="n"/>
      <c r="AI8" s="36" t="n"/>
      <c r="AJ8" s="36" t="n"/>
      <c r="AK8" s="36" t="n"/>
      <c r="AL8" s="36" t="n"/>
      <c r="AM8" s="36" t="n"/>
      <c r="AN8" s="36" t="n"/>
      <c r="AO8" s="36" t="n"/>
      <c r="AP8" s="36" t="n"/>
      <c r="AQ8" s="36" t="n"/>
      <c r="AR8" s="36" t="n"/>
      <c r="AS8" s="36" t="n"/>
      <c r="AT8" s="36" t="n"/>
      <c r="AU8" s="36" t="n"/>
      <c r="AV8" s="36" t="n"/>
      <c r="AW8" s="36" t="n"/>
      <c r="AX8" s="36" t="n"/>
      <c r="AY8" s="36" t="n"/>
      <c r="AZ8" s="36" t="n"/>
      <c r="BA8" s="36" t="n"/>
      <c r="BB8" s="36" t="n"/>
      <c r="BC8" s="36" t="n"/>
      <c r="BD8" s="36" t="n"/>
      <c r="BE8" s="36" t="n"/>
      <c r="BF8" s="36" t="n"/>
      <c r="BG8" s="36" t="n"/>
      <c r="BH8" s="36" t="n"/>
      <c r="BI8" s="36" t="n"/>
      <c r="BJ8" s="36" t="n"/>
      <c r="BK8" s="36" t="n"/>
      <c r="BL8" s="36" t="n"/>
      <c r="BM8" s="36" t="n"/>
      <c r="BN8" s="36" t="n"/>
      <c r="BO8" s="36" t="n"/>
      <c r="BP8" s="36" t="n"/>
      <c r="BQ8" s="36" t="n"/>
      <c r="BR8" s="36" t="n"/>
      <c r="BS8" s="36" t="n"/>
      <c r="BT8" s="36" t="n"/>
      <c r="BU8" s="36" t="n"/>
      <c r="BV8" s="36" t="n"/>
      <c r="BW8" s="36" t="n"/>
    </row>
    <row r="9" ht="34" customHeight="1">
      <c r="A9" s="16" t="inlineStr">
        <is>
          <t>Senior Advisors</t>
        </is>
      </c>
      <c r="B9" s="35" t="inlineStr"/>
      <c r="C9" s="26">
        <f>IF(TRIM($B9)="","",IFERROR(INDEX(People!$A$2:$A$199,MATCH(TRIM($B9),People!$B$2:$B$199,0)),IFERROR(INDEX(Teams!$A$2:$A$9,MATCH(TRIM($B9),Teams!$B$2:$B$9,0)),"?? CHECK NAME")))</f>
        <v/>
      </c>
      <c r="D9" s="36" t="n"/>
      <c r="E9" s="36" t="n"/>
      <c r="F9" s="36" t="n"/>
      <c r="G9" s="36" t="n"/>
      <c r="H9" s="36" t="n"/>
      <c r="I9" s="36" t="n"/>
      <c r="J9" s="36" t="n"/>
      <c r="K9" s="36" t="n"/>
      <c r="L9" s="36" t="n"/>
      <c r="M9" s="36" t="n"/>
      <c r="N9" s="36" t="n"/>
      <c r="O9" s="36" t="n"/>
      <c r="P9" s="36" t="n"/>
      <c r="Q9" s="36" t="n"/>
      <c r="R9" s="36" t="n"/>
      <c r="S9" s="36" t="n"/>
      <c r="T9" s="36" t="n"/>
      <c r="U9" s="36" t="n"/>
      <c r="V9" s="36" t="n"/>
      <c r="W9" s="36" t="n"/>
      <c r="X9" s="36" t="n"/>
      <c r="Y9" s="36" t="n"/>
      <c r="Z9" s="36" t="n"/>
      <c r="AA9" s="36" t="n"/>
      <c r="AB9" s="36" t="n"/>
      <c r="AC9" s="36" t="n"/>
      <c r="AD9" s="36" t="n"/>
      <c r="AE9" s="36" t="n"/>
      <c r="AF9" s="36" t="n"/>
      <c r="AG9" s="36" t="n"/>
      <c r="AH9" s="36" t="n"/>
      <c r="AI9" s="36" t="n"/>
      <c r="AJ9" s="36" t="n"/>
      <c r="AK9" s="36" t="n"/>
      <c r="AL9" s="36" t="n"/>
      <c r="AM9" s="36" t="n"/>
      <c r="AN9" s="36" t="n"/>
      <c r="AO9" s="36" t="n"/>
      <c r="AP9" s="36" t="n"/>
      <c r="AQ9" s="36" t="n"/>
      <c r="AR9" s="36" t="n"/>
      <c r="AS9" s="36" t="n"/>
      <c r="AT9" s="36" t="n"/>
      <c r="AU9" s="36" t="n"/>
      <c r="AV9" s="36" t="n"/>
      <c r="AW9" s="36" t="n"/>
      <c r="AX9" s="36" t="n"/>
      <c r="AY9" s="36" t="n"/>
      <c r="AZ9" s="36" t="n"/>
      <c r="BA9" s="36" t="n"/>
      <c r="BB9" s="36" t="n"/>
      <c r="BC9" s="36" t="n"/>
      <c r="BD9" s="36" t="n"/>
      <c r="BE9" s="36" t="n"/>
      <c r="BF9" s="36" t="n"/>
      <c r="BG9" s="36" t="n"/>
      <c r="BH9" s="36" t="n"/>
      <c r="BI9" s="36" t="n"/>
      <c r="BJ9" s="36" t="n"/>
      <c r="BK9" s="36" t="n"/>
      <c r="BL9" s="36" t="n"/>
      <c r="BM9" s="36" t="n"/>
      <c r="BN9" s="36" t="n"/>
      <c r="BO9" s="36" t="n"/>
      <c r="BP9" s="36" t="n"/>
      <c r="BQ9" s="36" t="n"/>
      <c r="BR9" s="36" t="n"/>
      <c r="BS9" s="36" t="n"/>
      <c r="BT9" s="36" t="n"/>
      <c r="BU9" s="36" t="n"/>
      <c r="BV9" s="36" t="n"/>
      <c r="BW9" s="36" t="n"/>
    </row>
    <row r="10" ht="34" customHeight="1">
      <c r="A10" s="37" t="n"/>
      <c r="B10" s="35" t="inlineStr"/>
      <c r="C10" s="26">
        <f>IF(TRIM($B10)="","",IFERROR(INDEX(People!$A$2:$A$199,MATCH(TRIM($B10),People!$B$2:$B$199,0)),IFERROR(INDEX(Teams!$A$2:$A$9,MATCH(TRIM($B10),Teams!$B$2:$B$9,0)),"?? CHECK NAME")))</f>
        <v/>
      </c>
      <c r="D10" s="36" t="n"/>
      <c r="E10" s="36" t="n"/>
      <c r="F10" s="36" t="n"/>
      <c r="G10" s="36" t="n"/>
      <c r="H10" s="36" t="n"/>
      <c r="I10" s="36" t="n"/>
      <c r="J10" s="36" t="n"/>
      <c r="K10" s="36" t="n"/>
      <c r="L10" s="36" t="n"/>
      <c r="M10" s="36" t="n"/>
      <c r="N10" s="36" t="n"/>
      <c r="O10" s="36" t="n"/>
      <c r="P10" s="36" t="n"/>
      <c r="Q10" s="36" t="n"/>
      <c r="R10" s="36" t="n"/>
      <c r="S10" s="36" t="n"/>
      <c r="T10" s="36" t="n"/>
      <c r="U10" s="36" t="n"/>
      <c r="V10" s="36" t="n"/>
      <c r="W10" s="36" t="n"/>
      <c r="X10" s="36" t="n"/>
      <c r="Y10" s="36" t="n"/>
      <c r="Z10" s="36" t="n"/>
      <c r="AA10" s="36" t="n"/>
      <c r="AB10" s="36" t="n"/>
      <c r="AC10" s="36" t="n"/>
      <c r="AD10" s="36" t="n"/>
      <c r="AE10" s="36" t="n"/>
      <c r="AF10" s="36" t="n"/>
      <c r="AG10" s="36" t="n"/>
      <c r="AH10" s="36" t="n"/>
      <c r="AI10" s="36" t="n"/>
      <c r="AJ10" s="36" t="n"/>
      <c r="AK10" s="36" t="n"/>
      <c r="AL10" s="36" t="n"/>
      <c r="AM10" s="36" t="n"/>
      <c r="AN10" s="36" t="n"/>
      <c r="AO10" s="36" t="n"/>
      <c r="AP10" s="36" t="n"/>
      <c r="AQ10" s="36" t="n"/>
      <c r="AR10" s="36" t="n"/>
      <c r="AS10" s="36" t="n"/>
      <c r="AT10" s="36" t="n"/>
      <c r="AU10" s="36" t="n"/>
      <c r="AV10" s="36" t="n"/>
      <c r="AW10" s="36" t="n"/>
      <c r="AX10" s="36" t="n"/>
      <c r="AY10" s="36" t="n"/>
      <c r="AZ10" s="36" t="n"/>
      <c r="BA10" s="36" t="n"/>
      <c r="BB10" s="36" t="n"/>
      <c r="BC10" s="36" t="n"/>
      <c r="BD10" s="36" t="n"/>
      <c r="BE10" s="36" t="n"/>
      <c r="BF10" s="36" t="n"/>
      <c r="BG10" s="36" t="n"/>
      <c r="BH10" s="36" t="n"/>
      <c r="BI10" s="36" t="n"/>
      <c r="BJ10" s="36" t="n"/>
      <c r="BK10" s="36" t="n"/>
      <c r="BL10" s="36" t="n"/>
      <c r="BM10" s="36" t="n"/>
      <c r="BN10" s="36" t="n"/>
      <c r="BO10" s="36" t="n"/>
      <c r="BP10" s="36" t="n"/>
      <c r="BQ10" s="36" t="n"/>
      <c r="BR10" s="36" t="n"/>
      <c r="BS10" s="36" t="n"/>
      <c r="BT10" s="36" t="n"/>
      <c r="BU10" s="36" t="n"/>
      <c r="BV10" s="36" t="n"/>
      <c r="BW10" s="36" t="n"/>
    </row>
    <row r="11" ht="34" customHeight="1">
      <c r="A11" s="37" t="n"/>
      <c r="B11" s="35" t="inlineStr"/>
      <c r="C11" s="26">
        <f>IF(TRIM($B11)="","",IFERROR(INDEX(People!$A$2:$A$199,MATCH(TRIM($B11),People!$B$2:$B$199,0)),IFERROR(INDEX(Teams!$A$2:$A$9,MATCH(TRIM($B11),Teams!$B$2:$B$9,0)),"?? CHECK NAME")))</f>
        <v/>
      </c>
      <c r="D11" s="36" t="n"/>
      <c r="E11" s="36" t="n"/>
      <c r="F11" s="36" t="n"/>
      <c r="G11" s="36" t="n"/>
      <c r="H11" s="36" t="n"/>
      <c r="I11" s="36" t="n"/>
      <c r="J11" s="36" t="n"/>
      <c r="K11" s="36" t="n"/>
      <c r="L11" s="36" t="n"/>
      <c r="M11" s="36" t="n"/>
      <c r="N11" s="36" t="n"/>
      <c r="O11" s="36" t="n"/>
      <c r="P11" s="36" t="n"/>
      <c r="Q11" s="36" t="n"/>
      <c r="R11" s="36" t="n"/>
      <c r="S11" s="36" t="n"/>
      <c r="T11" s="36" t="n"/>
      <c r="U11" s="36" t="n"/>
      <c r="V11" s="36" t="n"/>
      <c r="W11" s="36" t="n"/>
      <c r="X11" s="36" t="n"/>
      <c r="Y11" s="36" t="n"/>
      <c r="Z11" s="36" t="n"/>
      <c r="AA11" s="36" t="n"/>
      <c r="AB11" s="36" t="n"/>
      <c r="AC11" s="36" t="n"/>
      <c r="AD11" s="36" t="n"/>
      <c r="AE11" s="36" t="n"/>
      <c r="AF11" s="36" t="n"/>
      <c r="AG11" s="36" t="n"/>
      <c r="AH11" s="36" t="n"/>
      <c r="AI11" s="36" t="n"/>
      <c r="AJ11" s="36" t="n"/>
      <c r="AK11" s="36" t="n"/>
      <c r="AL11" s="36" t="n"/>
      <c r="AM11" s="36" t="n"/>
      <c r="AN11" s="36" t="n"/>
      <c r="AO11" s="36" t="n"/>
      <c r="AP11" s="36" t="n"/>
      <c r="AQ11" s="36" t="n"/>
      <c r="AR11" s="36" t="n"/>
      <c r="AS11" s="36" t="n"/>
      <c r="AT11" s="36" t="n"/>
      <c r="AU11" s="36" t="n"/>
      <c r="AV11" s="36" t="n"/>
      <c r="AW11" s="36" t="n"/>
      <c r="AX11" s="36" t="n"/>
      <c r="AY11" s="36" t="n"/>
      <c r="AZ11" s="36" t="n"/>
      <c r="BA11" s="36" t="n"/>
      <c r="BB11" s="36" t="n"/>
      <c r="BC11" s="36" t="n"/>
      <c r="BD11" s="36" t="n"/>
      <c r="BE11" s="36" t="n"/>
      <c r="BF11" s="36" t="n"/>
      <c r="BG11" s="36" t="n"/>
      <c r="BH11" s="36" t="n"/>
      <c r="BI11" s="36" t="n"/>
      <c r="BJ11" s="36" t="n"/>
      <c r="BK11" s="36" t="n"/>
      <c r="BL11" s="36" t="n"/>
      <c r="BM11" s="36" t="n"/>
      <c r="BN11" s="36" t="n"/>
      <c r="BO11" s="36" t="n"/>
      <c r="BP11" s="36" t="n"/>
      <c r="BQ11" s="36" t="n"/>
      <c r="BR11" s="36" t="n"/>
      <c r="BS11" s="36" t="n"/>
      <c r="BT11" s="36" t="n"/>
      <c r="BU11" s="36" t="n"/>
      <c r="BV11" s="36" t="n"/>
      <c r="BW11" s="36" t="n"/>
    </row>
    <row r="12" ht="34" customHeight="1">
      <c r="A12" s="37" t="n"/>
      <c r="B12" s="35" t="inlineStr"/>
      <c r="C12" s="26">
        <f>IF(TRIM($B12)="","",IFERROR(INDEX(People!$A$2:$A$199,MATCH(TRIM($B12),People!$B$2:$B$199,0)),IFERROR(INDEX(Teams!$A$2:$A$9,MATCH(TRIM($B12),Teams!$B$2:$B$9,0)),"?? CHECK NAME")))</f>
        <v/>
      </c>
      <c r="D12" s="36" t="n"/>
      <c r="E12" s="36" t="n"/>
      <c r="F12" s="36" t="n"/>
      <c r="G12" s="36" t="n"/>
      <c r="H12" s="36" t="n"/>
      <c r="I12" s="36" t="n"/>
      <c r="J12" s="36" t="n"/>
      <c r="K12" s="36" t="n"/>
      <c r="L12" s="36" t="n"/>
      <c r="M12" s="36" t="n"/>
      <c r="N12" s="36" t="n"/>
      <c r="O12" s="36" t="n"/>
      <c r="P12" s="36" t="n"/>
      <c r="Q12" s="36" t="n"/>
      <c r="R12" s="36" t="n"/>
      <c r="S12" s="36" t="n"/>
      <c r="T12" s="36" t="n"/>
      <c r="U12" s="36" t="n"/>
      <c r="V12" s="36" t="n"/>
      <c r="W12" s="36" t="n"/>
      <c r="X12" s="36" t="n"/>
      <c r="Y12" s="36" t="n"/>
      <c r="Z12" s="36" t="n"/>
      <c r="AA12" s="36" t="n"/>
      <c r="AB12" s="36" t="n"/>
      <c r="AC12" s="36" t="n"/>
      <c r="AD12" s="36" t="n"/>
      <c r="AE12" s="36" t="n"/>
      <c r="AF12" s="36" t="n"/>
      <c r="AG12" s="36" t="n"/>
      <c r="AH12" s="36" t="n"/>
      <c r="AI12" s="36" t="n"/>
      <c r="AJ12" s="36" t="n"/>
      <c r="AK12" s="36" t="n"/>
      <c r="AL12" s="36" t="n"/>
      <c r="AM12" s="36" t="n"/>
      <c r="AN12" s="36" t="n"/>
      <c r="AO12" s="36" t="n"/>
      <c r="AP12" s="36" t="n"/>
      <c r="AQ12" s="36" t="n"/>
      <c r="AR12" s="36" t="n"/>
      <c r="AS12" s="36" t="n"/>
      <c r="AT12" s="36" t="n"/>
      <c r="AU12" s="36" t="n"/>
      <c r="AV12" s="36" t="n"/>
      <c r="AW12" s="36" t="n"/>
      <c r="AX12" s="36" t="n"/>
      <c r="AY12" s="36" t="n"/>
      <c r="AZ12" s="36" t="n"/>
      <c r="BA12" s="36" t="n"/>
      <c r="BB12" s="36" t="n"/>
      <c r="BC12" s="36" t="n"/>
      <c r="BD12" s="36" t="n"/>
      <c r="BE12" s="36" t="n"/>
      <c r="BF12" s="36" t="n"/>
      <c r="BG12" s="36" t="n"/>
      <c r="BH12" s="36" t="n"/>
      <c r="BI12" s="36" t="n"/>
      <c r="BJ12" s="36" t="n"/>
      <c r="BK12" s="36" t="n"/>
      <c r="BL12" s="36" t="n"/>
      <c r="BM12" s="36" t="n"/>
      <c r="BN12" s="36" t="n"/>
      <c r="BO12" s="36" t="n"/>
      <c r="BP12" s="36" t="n"/>
      <c r="BQ12" s="36" t="n"/>
      <c r="BR12" s="36" t="n"/>
      <c r="BS12" s="36" t="n"/>
      <c r="BT12" s="36" t="n"/>
      <c r="BU12" s="36" t="n"/>
      <c r="BV12" s="36" t="n"/>
      <c r="BW12" s="36" t="n"/>
    </row>
    <row r="13" ht="34" customHeight="1">
      <c r="A13" s="38" t="n"/>
      <c r="B13" s="35" t="inlineStr"/>
      <c r="C13" s="26">
        <f>IF(TRIM($B13)="","",IFERROR(INDEX(People!$A$2:$A$199,MATCH(TRIM($B13),People!$B$2:$B$199,0)),IFERROR(INDEX(Teams!$A$2:$A$9,MATCH(TRIM($B13),Teams!$B$2:$B$9,0)),"?? CHECK NAME")))</f>
        <v/>
      </c>
      <c r="D13" s="36" t="n"/>
      <c r="E13" s="36" t="n"/>
      <c r="F13" s="36" t="n"/>
      <c r="G13" s="36" t="n"/>
      <c r="H13" s="36" t="n"/>
      <c r="I13" s="36" t="n"/>
      <c r="J13" s="36" t="n"/>
      <c r="K13" s="36" t="n"/>
      <c r="L13" s="36" t="n"/>
      <c r="M13" s="36" t="n"/>
      <c r="N13" s="36" t="n"/>
      <c r="O13" s="36" t="n"/>
      <c r="P13" s="36" t="n"/>
      <c r="Q13" s="36" t="n"/>
      <c r="R13" s="36" t="n"/>
      <c r="S13" s="36" t="n"/>
      <c r="T13" s="36" t="n"/>
      <c r="U13" s="36" t="n"/>
      <c r="V13" s="36" t="n"/>
      <c r="W13" s="36" t="n"/>
      <c r="X13" s="36" t="n"/>
      <c r="Y13" s="36" t="n"/>
      <c r="Z13" s="36" t="n"/>
      <c r="AA13" s="36" t="n"/>
      <c r="AB13" s="36" t="n"/>
      <c r="AC13" s="36" t="n"/>
      <c r="AD13" s="36" t="n"/>
      <c r="AE13" s="36" t="n"/>
      <c r="AF13" s="36" t="n"/>
      <c r="AG13" s="36" t="n"/>
      <c r="AH13" s="36" t="n"/>
      <c r="AI13" s="36" t="n"/>
      <c r="AJ13" s="36" t="n"/>
      <c r="AK13" s="36" t="n"/>
      <c r="AL13" s="36" t="n"/>
      <c r="AM13" s="36" t="n"/>
      <c r="AN13" s="36" t="n"/>
      <c r="AO13" s="36" t="n"/>
      <c r="AP13" s="36" t="n"/>
      <c r="AQ13" s="36" t="n"/>
      <c r="AR13" s="36" t="n"/>
      <c r="AS13" s="36" t="n"/>
      <c r="AT13" s="36" t="n"/>
      <c r="AU13" s="36" t="n"/>
      <c r="AV13" s="36" t="n"/>
      <c r="AW13" s="36" t="n"/>
      <c r="AX13" s="36" t="n"/>
      <c r="AY13" s="36" t="n"/>
      <c r="AZ13" s="36" t="n"/>
      <c r="BA13" s="36" t="n"/>
      <c r="BB13" s="36" t="n"/>
      <c r="BC13" s="36" t="n"/>
      <c r="BD13" s="36" t="n"/>
      <c r="BE13" s="36" t="n"/>
      <c r="BF13" s="36" t="n"/>
      <c r="BG13" s="36" t="n"/>
      <c r="BH13" s="36" t="n"/>
      <c r="BI13" s="36" t="n"/>
      <c r="BJ13" s="36" t="n"/>
      <c r="BK13" s="36" t="n"/>
      <c r="BL13" s="36" t="n"/>
      <c r="BM13" s="36" t="n"/>
      <c r="BN13" s="36" t="n"/>
      <c r="BO13" s="36" t="n"/>
      <c r="BP13" s="36" t="n"/>
      <c r="BQ13" s="36" t="n"/>
      <c r="BR13" s="36" t="n"/>
      <c r="BS13" s="36" t="n"/>
      <c r="BT13" s="36" t="n"/>
      <c r="BU13" s="36" t="n"/>
      <c r="BV13" s="36" t="n"/>
      <c r="BW13" s="36" t="n"/>
    </row>
    <row r="14" ht="34" customHeight="1">
      <c r="A14" s="16" t="inlineStr">
        <is>
          <t>Logistics</t>
        </is>
      </c>
      <c r="B14" s="35" t="inlineStr"/>
      <c r="C14" s="26">
        <f>IF(TRIM($B14)="","",IFERROR(INDEX(People!$A$2:$A$199,MATCH(TRIM($B14),People!$B$2:$B$199,0)),IFERROR(INDEX(Teams!$A$2:$A$9,MATCH(TRIM($B14),Teams!$B$2:$B$9,0)),"?? CHECK NAME")))</f>
        <v/>
      </c>
      <c r="D14" s="36" t="n"/>
      <c r="E14" s="36" t="n"/>
      <c r="F14" s="36" t="n"/>
      <c r="G14" s="36" t="n"/>
      <c r="H14" s="36" t="n"/>
      <c r="I14" s="36" t="n"/>
      <c r="J14" s="36" t="n"/>
      <c r="K14" s="36" t="n"/>
      <c r="L14" s="36" t="n"/>
      <c r="M14" s="36" t="n"/>
      <c r="N14" s="36" t="n"/>
      <c r="O14" s="36" t="n"/>
      <c r="P14" s="36" t="n"/>
      <c r="Q14" s="36" t="n"/>
      <c r="R14" s="36" t="n"/>
      <c r="S14" s="36" t="n"/>
      <c r="T14" s="36" t="n"/>
      <c r="U14" s="36" t="n"/>
      <c r="V14" s="36" t="n"/>
      <c r="W14" s="36" t="n"/>
      <c r="X14" s="36" t="n"/>
      <c r="Y14" s="36" t="n"/>
      <c r="Z14" s="36" t="n"/>
      <c r="AA14" s="36" t="n"/>
      <c r="AB14" s="36" t="n"/>
      <c r="AC14" s="36" t="n"/>
      <c r="AD14" s="36" t="n"/>
      <c r="AE14" s="36" t="n"/>
      <c r="AF14" s="36" t="n"/>
      <c r="AG14" s="36" t="n"/>
      <c r="AH14" s="36" t="n"/>
      <c r="AI14" s="36" t="n"/>
      <c r="AJ14" s="36" t="n"/>
      <c r="AK14" s="36" t="n"/>
      <c r="AL14" s="36" t="n"/>
      <c r="AM14" s="36" t="n"/>
      <c r="AN14" s="36" t="n"/>
      <c r="AO14" s="36" t="n"/>
      <c r="AP14" s="36" t="n"/>
      <c r="AQ14" s="36" t="n"/>
      <c r="AR14" s="36" t="n"/>
      <c r="AS14" s="36" t="n"/>
      <c r="AT14" s="36" t="n"/>
      <c r="AU14" s="36" t="n"/>
      <c r="AV14" s="36" t="n"/>
      <c r="AW14" s="36" t="n"/>
      <c r="AX14" s="36" t="n"/>
      <c r="AY14" s="36" t="n"/>
      <c r="AZ14" s="36" t="n"/>
      <c r="BA14" s="36" t="n"/>
      <c r="BB14" s="36" t="n"/>
      <c r="BC14" s="36" t="n"/>
      <c r="BD14" s="36" t="n"/>
      <c r="BE14" s="36" t="n"/>
      <c r="BF14" s="36" t="n"/>
      <c r="BG14" s="36" t="n"/>
      <c r="BH14" s="36" t="n"/>
      <c r="BI14" s="36" t="n"/>
      <c r="BJ14" s="36" t="n"/>
      <c r="BK14" s="36" t="n"/>
      <c r="BL14" s="36" t="n"/>
      <c r="BM14" s="36" t="n"/>
      <c r="BN14" s="36" t="n"/>
      <c r="BO14" s="36" t="n"/>
      <c r="BP14" s="36" t="n"/>
      <c r="BQ14" s="36" t="n"/>
      <c r="BR14" s="36" t="n"/>
      <c r="BS14" s="36" t="n"/>
      <c r="BT14" s="36" t="n"/>
      <c r="BU14" s="36" t="n"/>
      <c r="BV14" s="36" t="n"/>
      <c r="BW14" s="36" t="n"/>
    </row>
    <row r="15" ht="34" customHeight="1">
      <c r="A15" s="37" t="n"/>
      <c r="B15" s="35" t="inlineStr"/>
      <c r="C15" s="26">
        <f>IF(TRIM($B15)="","",IFERROR(INDEX(People!$A$2:$A$199,MATCH(TRIM($B15),People!$B$2:$B$199,0)),IFERROR(INDEX(Teams!$A$2:$A$9,MATCH(TRIM($B15),Teams!$B$2:$B$9,0)),"?? CHECK NAME")))</f>
        <v/>
      </c>
      <c r="D15" s="36" t="n"/>
      <c r="E15" s="36" t="n"/>
      <c r="F15" s="36" t="n"/>
      <c r="G15" s="36" t="n"/>
      <c r="H15" s="36" t="n"/>
      <c r="I15" s="36" t="n"/>
      <c r="J15" s="36" t="n"/>
      <c r="K15" s="36" t="n"/>
      <c r="L15" s="36" t="n"/>
      <c r="M15" s="36" t="n"/>
      <c r="N15" s="36" t="n"/>
      <c r="O15" s="36" t="n"/>
      <c r="P15" s="36" t="n"/>
      <c r="Q15" s="36" t="n"/>
      <c r="R15" s="36" t="n"/>
      <c r="S15" s="36" t="n"/>
      <c r="T15" s="36" t="n"/>
      <c r="U15" s="36" t="n"/>
      <c r="V15" s="36" t="n"/>
      <c r="W15" s="36" t="n"/>
      <c r="X15" s="36" t="n"/>
      <c r="Y15" s="36" t="n"/>
      <c r="Z15" s="36" t="n"/>
      <c r="AA15" s="36" t="n"/>
      <c r="AB15" s="36" t="n"/>
      <c r="AC15" s="36" t="n"/>
      <c r="AD15" s="36" t="n"/>
      <c r="AE15" s="36" t="n"/>
      <c r="AF15" s="36" t="n"/>
      <c r="AG15" s="36" t="n"/>
      <c r="AH15" s="36" t="n"/>
      <c r="AI15" s="36" t="n"/>
      <c r="AJ15" s="36" t="n"/>
      <c r="AK15" s="36" t="n"/>
      <c r="AL15" s="36" t="n"/>
      <c r="AM15" s="36" t="n"/>
      <c r="AN15" s="36" t="n"/>
      <c r="AO15" s="36" t="n"/>
      <c r="AP15" s="36" t="n"/>
      <c r="AQ15" s="36" t="n"/>
      <c r="AR15" s="36" t="n"/>
      <c r="AS15" s="36" t="n"/>
      <c r="AT15" s="36" t="n"/>
      <c r="AU15" s="36" t="n"/>
      <c r="AV15" s="36" t="n"/>
      <c r="AW15" s="36" t="n"/>
      <c r="AX15" s="36" t="n"/>
      <c r="AY15" s="36" t="n"/>
      <c r="AZ15" s="36" t="n"/>
      <c r="BA15" s="36" t="n"/>
      <c r="BB15" s="36" t="n"/>
      <c r="BC15" s="36" t="n"/>
      <c r="BD15" s="36" t="n"/>
      <c r="BE15" s="36" t="n"/>
      <c r="BF15" s="36" t="n"/>
      <c r="BG15" s="36" t="n"/>
      <c r="BH15" s="36" t="n"/>
      <c r="BI15" s="36" t="n"/>
      <c r="BJ15" s="36" t="n"/>
      <c r="BK15" s="36" t="n"/>
      <c r="BL15" s="36" t="n"/>
      <c r="BM15" s="36" t="n"/>
      <c r="BN15" s="36" t="n"/>
      <c r="BO15" s="36" t="n"/>
      <c r="BP15" s="36" t="n"/>
      <c r="BQ15" s="36" t="n"/>
      <c r="BR15" s="36" t="n"/>
      <c r="BS15" s="36" t="n"/>
      <c r="BT15" s="36" t="n"/>
      <c r="BU15" s="36" t="n"/>
      <c r="BV15" s="36" t="n"/>
      <c r="BW15" s="36" t="n"/>
    </row>
    <row r="16" ht="34" customHeight="1">
      <c r="A16" s="37" t="n"/>
      <c r="B16" s="35" t="inlineStr"/>
      <c r="C16" s="26">
        <f>IF(TRIM($B16)="","",IFERROR(INDEX(People!$A$2:$A$199,MATCH(TRIM($B16),People!$B$2:$B$199,0)),IFERROR(INDEX(Teams!$A$2:$A$9,MATCH(TRIM($B16),Teams!$B$2:$B$9,0)),"?? CHECK NAME")))</f>
        <v/>
      </c>
      <c r="D16" s="36" t="n"/>
      <c r="E16" s="36" t="n"/>
      <c r="F16" s="36" t="n"/>
      <c r="G16" s="36" t="n"/>
      <c r="H16" s="36" t="n"/>
      <c r="I16" s="36" t="n"/>
      <c r="J16" s="36" t="n"/>
      <c r="K16" s="36" t="n"/>
      <c r="L16" s="36" t="n"/>
      <c r="M16" s="36" t="n"/>
      <c r="N16" s="36" t="n"/>
      <c r="O16" s="36" t="n"/>
      <c r="P16" s="36" t="n"/>
      <c r="Q16" s="36" t="n"/>
      <c r="R16" s="36" t="n"/>
      <c r="S16" s="36" t="n"/>
      <c r="T16" s="36" t="n"/>
      <c r="U16" s="36" t="n"/>
      <c r="V16" s="36" t="n"/>
      <c r="W16" s="36" t="n"/>
      <c r="X16" s="36" t="n"/>
      <c r="Y16" s="36" t="n"/>
      <c r="Z16" s="36" t="n"/>
      <c r="AA16" s="36" t="n"/>
      <c r="AB16" s="36" t="n"/>
      <c r="AC16" s="36" t="n"/>
      <c r="AD16" s="36" t="n"/>
      <c r="AE16" s="36" t="n"/>
      <c r="AF16" s="36" t="n"/>
      <c r="AG16" s="36" t="n"/>
      <c r="AH16" s="36" t="n"/>
      <c r="AI16" s="36" t="n"/>
      <c r="AJ16" s="36" t="n"/>
      <c r="AK16" s="36" t="n"/>
      <c r="AL16" s="36" t="n"/>
      <c r="AM16" s="36" t="n"/>
      <c r="AN16" s="36" t="n"/>
      <c r="AO16" s="36" t="n"/>
      <c r="AP16" s="36" t="n"/>
      <c r="AQ16" s="36" t="n"/>
      <c r="AR16" s="36" t="n"/>
      <c r="AS16" s="36" t="n"/>
      <c r="AT16" s="36" t="n"/>
      <c r="AU16" s="36" t="n"/>
      <c r="AV16" s="36" t="n"/>
      <c r="AW16" s="36" t="n"/>
      <c r="AX16" s="36" t="n"/>
      <c r="AY16" s="36" t="n"/>
      <c r="AZ16" s="36" t="n"/>
      <c r="BA16" s="36" t="n"/>
      <c r="BB16" s="36" t="n"/>
      <c r="BC16" s="36" t="n"/>
      <c r="BD16" s="36" t="n"/>
      <c r="BE16" s="36" t="n"/>
      <c r="BF16" s="36" t="n"/>
      <c r="BG16" s="36" t="n"/>
      <c r="BH16" s="36" t="n"/>
      <c r="BI16" s="36" t="n"/>
      <c r="BJ16" s="36" t="n"/>
      <c r="BK16" s="36" t="n"/>
      <c r="BL16" s="36" t="n"/>
      <c r="BM16" s="36" t="n"/>
      <c r="BN16" s="36" t="n"/>
      <c r="BO16" s="36" t="n"/>
      <c r="BP16" s="36" t="n"/>
      <c r="BQ16" s="36" t="n"/>
      <c r="BR16" s="36" t="n"/>
      <c r="BS16" s="36" t="n"/>
      <c r="BT16" s="36" t="n"/>
      <c r="BU16" s="36" t="n"/>
      <c r="BV16" s="36" t="n"/>
      <c r="BW16" s="36" t="n"/>
    </row>
    <row r="17" ht="34" customHeight="1">
      <c r="A17" s="37" t="n"/>
      <c r="B17" s="35" t="inlineStr"/>
      <c r="C17" s="26">
        <f>IF(TRIM($B17)="","",IFERROR(INDEX(People!$A$2:$A$199,MATCH(TRIM($B17),People!$B$2:$B$199,0)),IFERROR(INDEX(Teams!$A$2:$A$9,MATCH(TRIM($B17),Teams!$B$2:$B$9,0)),"?? CHECK NAME")))</f>
        <v/>
      </c>
      <c r="D17" s="36" t="n"/>
      <c r="E17" s="36" t="n"/>
      <c r="F17" s="36" t="n"/>
      <c r="G17" s="36" t="n"/>
      <c r="H17" s="36" t="n"/>
      <c r="I17" s="36" t="n"/>
      <c r="J17" s="36" t="n"/>
      <c r="K17" s="36" t="n"/>
      <c r="L17" s="36" t="n"/>
      <c r="M17" s="36" t="n"/>
      <c r="N17" s="36" t="n"/>
      <c r="O17" s="36" t="n"/>
      <c r="P17" s="36" t="n"/>
      <c r="Q17" s="36" t="n"/>
      <c r="R17" s="36" t="n"/>
      <c r="S17" s="36" t="n"/>
      <c r="T17" s="36" t="n"/>
      <c r="U17" s="36" t="n"/>
      <c r="V17" s="36" t="n"/>
      <c r="W17" s="36" t="n"/>
      <c r="X17" s="36" t="n"/>
      <c r="Y17" s="36" t="n"/>
      <c r="Z17" s="36" t="n"/>
      <c r="AA17" s="36" t="n"/>
      <c r="AB17" s="36" t="n"/>
      <c r="AC17" s="36" t="n"/>
      <c r="AD17" s="36" t="n"/>
      <c r="AE17" s="36" t="n"/>
      <c r="AF17" s="36" t="n"/>
      <c r="AG17" s="36" t="n"/>
      <c r="AH17" s="36" t="n"/>
      <c r="AI17" s="36" t="n"/>
      <c r="AJ17" s="36" t="n"/>
      <c r="AK17" s="36" t="n"/>
      <c r="AL17" s="36" t="n"/>
      <c r="AM17" s="36" t="n"/>
      <c r="AN17" s="36" t="n"/>
      <c r="AO17" s="36" t="n"/>
      <c r="AP17" s="36" t="n"/>
      <c r="AQ17" s="36" t="n"/>
      <c r="AR17" s="36" t="n"/>
      <c r="AS17" s="36" t="n"/>
      <c r="AT17" s="36" t="n"/>
      <c r="AU17" s="36" t="n"/>
      <c r="AV17" s="36" t="n"/>
      <c r="AW17" s="36" t="n"/>
      <c r="AX17" s="36" t="n"/>
      <c r="AY17" s="36" t="n"/>
      <c r="AZ17" s="36" t="n"/>
      <c r="BA17" s="36" t="n"/>
      <c r="BB17" s="36" t="n"/>
      <c r="BC17" s="36" t="n"/>
      <c r="BD17" s="36" t="n"/>
      <c r="BE17" s="36" t="n"/>
      <c r="BF17" s="36" t="n"/>
      <c r="BG17" s="36" t="n"/>
      <c r="BH17" s="36" t="n"/>
      <c r="BI17" s="36" t="n"/>
      <c r="BJ17" s="36" t="n"/>
      <c r="BK17" s="36" t="n"/>
      <c r="BL17" s="36" t="n"/>
      <c r="BM17" s="36" t="n"/>
      <c r="BN17" s="36" t="n"/>
      <c r="BO17" s="36" t="n"/>
      <c r="BP17" s="36" t="n"/>
      <c r="BQ17" s="36" t="n"/>
      <c r="BR17" s="36" t="n"/>
      <c r="BS17" s="36" t="n"/>
      <c r="BT17" s="36" t="n"/>
      <c r="BU17" s="36" t="n"/>
      <c r="BV17" s="36" t="n"/>
      <c r="BW17" s="36" t="n"/>
    </row>
    <row r="18" ht="34" customHeight="1">
      <c r="A18" s="38" t="n"/>
      <c r="B18" s="35" t="inlineStr"/>
      <c r="C18" s="26">
        <f>IF(TRIM($B18)="","",IFERROR(INDEX(People!$A$2:$A$199,MATCH(TRIM($B18),People!$B$2:$B$199,0)),IFERROR(INDEX(Teams!$A$2:$A$9,MATCH(TRIM($B18),Teams!$B$2:$B$9,0)),"?? CHECK NAME")))</f>
        <v/>
      </c>
      <c r="D18" s="36" t="n"/>
      <c r="E18" s="36" t="n"/>
      <c r="F18" s="36" t="n"/>
      <c r="G18" s="36" t="n"/>
      <c r="H18" s="36" t="n"/>
      <c r="I18" s="36" t="n"/>
      <c r="J18" s="36" t="n"/>
      <c r="K18" s="36" t="n"/>
      <c r="L18" s="36" t="n"/>
      <c r="M18" s="36" t="n"/>
      <c r="N18" s="36" t="n"/>
      <c r="O18" s="36" t="n"/>
      <c r="P18" s="36" t="n"/>
      <c r="Q18" s="36" t="n"/>
      <c r="R18" s="36" t="n"/>
      <c r="S18" s="36" t="n"/>
      <c r="T18" s="36" t="n"/>
      <c r="U18" s="36" t="n"/>
      <c r="V18" s="36" t="n"/>
      <c r="W18" s="36" t="n"/>
      <c r="X18" s="36" t="n"/>
      <c r="Y18" s="36" t="n"/>
      <c r="Z18" s="36" t="n"/>
      <c r="AA18" s="36" t="n"/>
      <c r="AB18" s="36" t="n"/>
      <c r="AC18" s="36" t="n"/>
      <c r="AD18" s="36" t="n"/>
      <c r="AE18" s="36" t="n"/>
      <c r="AF18" s="36" t="n"/>
      <c r="AG18" s="36" t="n"/>
      <c r="AH18" s="36" t="n"/>
      <c r="AI18" s="36" t="n"/>
      <c r="AJ18" s="36" t="n"/>
      <c r="AK18" s="36" t="n"/>
      <c r="AL18" s="36" t="n"/>
      <c r="AM18" s="36" t="n"/>
      <c r="AN18" s="36" t="n"/>
      <c r="AO18" s="36" t="n"/>
      <c r="AP18" s="36" t="n"/>
      <c r="AQ18" s="36" t="n"/>
      <c r="AR18" s="36" t="n"/>
      <c r="AS18" s="36" t="n"/>
      <c r="AT18" s="36" t="n"/>
      <c r="AU18" s="36" t="n"/>
      <c r="AV18" s="36" t="n"/>
      <c r="AW18" s="36" t="n"/>
      <c r="AX18" s="36" t="n"/>
      <c r="AY18" s="36" t="n"/>
      <c r="AZ18" s="36" t="n"/>
      <c r="BA18" s="36" t="n"/>
      <c r="BB18" s="36" t="n"/>
      <c r="BC18" s="36" t="n"/>
      <c r="BD18" s="36" t="n"/>
      <c r="BE18" s="36" t="n"/>
      <c r="BF18" s="36" t="n"/>
      <c r="BG18" s="36" t="n"/>
      <c r="BH18" s="36" t="n"/>
      <c r="BI18" s="36" t="n"/>
      <c r="BJ18" s="36" t="n"/>
      <c r="BK18" s="36" t="n"/>
      <c r="BL18" s="36" t="n"/>
      <c r="BM18" s="36" t="n"/>
      <c r="BN18" s="36" t="n"/>
      <c r="BO18" s="36" t="n"/>
      <c r="BP18" s="36" t="n"/>
      <c r="BQ18" s="36" t="n"/>
      <c r="BR18" s="36" t="n"/>
      <c r="BS18" s="36" t="n"/>
      <c r="BT18" s="36" t="n"/>
      <c r="BU18" s="36" t="n"/>
      <c r="BV18" s="36" t="n"/>
      <c r="BW18" s="36" t="n"/>
    </row>
    <row r="19" ht="34" customHeight="1">
      <c r="A19" s="16" t="inlineStr">
        <is>
          <t>Hospitality</t>
        </is>
      </c>
      <c r="B19" s="35" t="inlineStr"/>
      <c r="C19" s="26">
        <f>IF(TRIM($B19)="","",IFERROR(INDEX(People!$A$2:$A$199,MATCH(TRIM($B19),People!$B$2:$B$199,0)),IFERROR(INDEX(Teams!$A$2:$A$9,MATCH(TRIM($B19),Teams!$B$2:$B$9,0)),"?? CHECK NAME")))</f>
        <v/>
      </c>
      <c r="D19" s="36" t="n"/>
      <c r="E19" s="36" t="n"/>
      <c r="F19" s="36" t="n"/>
      <c r="G19" s="36" t="n"/>
      <c r="H19" s="36" t="n"/>
      <c r="I19" s="36" t="n"/>
      <c r="J19" s="36" t="n"/>
      <c r="K19" s="36" t="n"/>
      <c r="L19" s="36" t="n"/>
      <c r="M19" s="36" t="n"/>
      <c r="N19" s="36" t="n"/>
      <c r="O19" s="36" t="n"/>
      <c r="P19" s="36" t="n"/>
      <c r="Q19" s="36" t="n"/>
      <c r="R19" s="36" t="n"/>
      <c r="S19" s="36" t="n"/>
      <c r="T19" s="36" t="n"/>
      <c r="U19" s="36" t="n"/>
      <c r="V19" s="36" t="n"/>
      <c r="W19" s="36" t="n"/>
      <c r="X19" s="36" t="n"/>
      <c r="Y19" s="36" t="n"/>
      <c r="Z19" s="36" t="n"/>
      <c r="AA19" s="36" t="n"/>
      <c r="AB19" s="36" t="n"/>
      <c r="AC19" s="36" t="n"/>
      <c r="AD19" s="36" t="n"/>
      <c r="AE19" s="36" t="n"/>
      <c r="AF19" s="36" t="n"/>
      <c r="AG19" s="36" t="n"/>
      <c r="AH19" s="36" t="n"/>
      <c r="AI19" s="36" t="n"/>
      <c r="AJ19" s="36" t="n"/>
      <c r="AK19" s="36" t="n"/>
      <c r="AL19" s="36" t="n"/>
      <c r="AM19" s="36" t="n"/>
      <c r="AN19" s="36" t="n"/>
      <c r="AO19" s="36" t="n"/>
      <c r="AP19" s="36" t="n"/>
      <c r="AQ19" s="36" t="n"/>
      <c r="AR19" s="36" t="n"/>
      <c r="AS19" s="36" t="n"/>
      <c r="AT19" s="36" t="n"/>
      <c r="AU19" s="36" t="n"/>
      <c r="AV19" s="36" t="n"/>
      <c r="AW19" s="36" t="n"/>
      <c r="AX19" s="36" t="n"/>
      <c r="AY19" s="36" t="n"/>
      <c r="AZ19" s="36" t="n"/>
      <c r="BA19" s="36" t="n"/>
      <c r="BB19" s="36" t="n"/>
      <c r="BC19" s="36" t="n"/>
      <c r="BD19" s="36" t="n"/>
      <c r="BE19" s="36" t="n"/>
      <c r="BF19" s="36" t="n"/>
      <c r="BG19" s="36" t="n"/>
      <c r="BH19" s="36" t="n"/>
      <c r="BI19" s="36" t="n"/>
      <c r="BJ19" s="36" t="n"/>
      <c r="BK19" s="36" t="n"/>
      <c r="BL19" s="36" t="n"/>
      <c r="BM19" s="36" t="n"/>
      <c r="BN19" s="36" t="n"/>
      <c r="BO19" s="36" t="n"/>
      <c r="BP19" s="36" t="n"/>
      <c r="BQ19" s="36" t="n"/>
      <c r="BR19" s="36" t="n"/>
      <c r="BS19" s="36" t="n"/>
      <c r="BT19" s="36" t="n"/>
      <c r="BU19" s="36" t="n"/>
      <c r="BV19" s="36" t="n"/>
      <c r="BW19" s="36" t="n"/>
    </row>
    <row r="20" ht="34" customHeight="1">
      <c r="A20" s="37" t="n"/>
      <c r="B20" s="35" t="inlineStr"/>
      <c r="C20" s="26">
        <f>IF(TRIM($B20)="","",IFERROR(INDEX(People!$A$2:$A$199,MATCH(TRIM($B20),People!$B$2:$B$199,0)),IFERROR(INDEX(Teams!$A$2:$A$9,MATCH(TRIM($B20),Teams!$B$2:$B$9,0)),"?? CHECK NAME")))</f>
        <v/>
      </c>
      <c r="D20" s="36" t="n"/>
      <c r="E20" s="36" t="n"/>
      <c r="F20" s="36" t="n"/>
      <c r="G20" s="36" t="n"/>
      <c r="H20" s="36" t="n"/>
      <c r="I20" s="36" t="n"/>
      <c r="J20" s="36" t="n"/>
      <c r="K20" s="36" t="n"/>
      <c r="L20" s="36" t="n"/>
      <c r="M20" s="36" t="n"/>
      <c r="N20" s="36" t="n"/>
      <c r="O20" s="36" t="n"/>
      <c r="P20" s="36" t="n"/>
      <c r="Q20" s="36" t="n"/>
      <c r="R20" s="36" t="n"/>
      <c r="S20" s="36" t="n"/>
      <c r="T20" s="36" t="n"/>
      <c r="U20" s="36" t="n"/>
      <c r="V20" s="36" t="n"/>
      <c r="W20" s="36" t="n"/>
      <c r="X20" s="36" t="n"/>
      <c r="Y20" s="36" t="n"/>
      <c r="Z20" s="36" t="n"/>
      <c r="AA20" s="36" t="n"/>
      <c r="AB20" s="36" t="n"/>
      <c r="AC20" s="36" t="n"/>
      <c r="AD20" s="36" t="n"/>
      <c r="AE20" s="36" t="n"/>
      <c r="AF20" s="36" t="n"/>
      <c r="AG20" s="36" t="n"/>
      <c r="AH20" s="36" t="n"/>
      <c r="AI20" s="36" t="n"/>
      <c r="AJ20" s="36" t="n"/>
      <c r="AK20" s="36" t="n"/>
      <c r="AL20" s="36" t="n"/>
      <c r="AM20" s="36" t="n"/>
      <c r="AN20" s="36" t="n"/>
      <c r="AO20" s="36" t="n"/>
      <c r="AP20" s="36" t="n"/>
      <c r="AQ20" s="36" t="n"/>
      <c r="AR20" s="36" t="n"/>
      <c r="AS20" s="36" t="n"/>
      <c r="AT20" s="36" t="n"/>
      <c r="AU20" s="36" t="n"/>
      <c r="AV20" s="36" t="n"/>
      <c r="AW20" s="36" t="n"/>
      <c r="AX20" s="36" t="n"/>
      <c r="AY20" s="36" t="n"/>
      <c r="AZ20" s="36" t="n"/>
      <c r="BA20" s="36" t="n"/>
      <c r="BB20" s="36" t="n"/>
      <c r="BC20" s="36" t="n"/>
      <c r="BD20" s="36" t="n"/>
      <c r="BE20" s="36" t="n"/>
      <c r="BF20" s="36" t="n"/>
      <c r="BG20" s="36" t="n"/>
      <c r="BH20" s="36" t="n"/>
      <c r="BI20" s="36" t="n"/>
      <c r="BJ20" s="36" t="n"/>
      <c r="BK20" s="36" t="n"/>
      <c r="BL20" s="36" t="n"/>
      <c r="BM20" s="36" t="n"/>
      <c r="BN20" s="36" t="n"/>
      <c r="BO20" s="36" t="n"/>
      <c r="BP20" s="36" t="n"/>
      <c r="BQ20" s="36" t="n"/>
      <c r="BR20" s="36" t="n"/>
      <c r="BS20" s="36" t="n"/>
      <c r="BT20" s="36" t="n"/>
      <c r="BU20" s="36" t="n"/>
      <c r="BV20" s="36" t="n"/>
      <c r="BW20" s="36" t="n"/>
    </row>
    <row r="21" ht="34" customHeight="1">
      <c r="A21" s="37" t="n"/>
      <c r="B21" s="35" t="inlineStr"/>
      <c r="C21" s="26">
        <f>IF(TRIM($B21)="","",IFERROR(INDEX(People!$A$2:$A$199,MATCH(TRIM($B21),People!$B$2:$B$199,0)),IFERROR(INDEX(Teams!$A$2:$A$9,MATCH(TRIM($B21),Teams!$B$2:$B$9,0)),"?? CHECK NAME")))</f>
        <v/>
      </c>
      <c r="D21" s="36" t="n"/>
      <c r="E21" s="36" t="n"/>
      <c r="F21" s="36" t="n"/>
      <c r="G21" s="36" t="n"/>
      <c r="H21" s="36" t="n"/>
      <c r="I21" s="36" t="n"/>
      <c r="J21" s="36" t="n"/>
      <c r="K21" s="36" t="n"/>
      <c r="L21" s="36" t="n"/>
      <c r="M21" s="36" t="n"/>
      <c r="N21" s="36" t="n"/>
      <c r="O21" s="36" t="n"/>
      <c r="P21" s="36" t="n"/>
      <c r="Q21" s="36" t="n"/>
      <c r="R21" s="36" t="n"/>
      <c r="S21" s="36" t="n"/>
      <c r="T21" s="36" t="n"/>
      <c r="U21" s="36" t="n"/>
      <c r="V21" s="36" t="n"/>
      <c r="W21" s="36" t="n"/>
      <c r="X21" s="36" t="n"/>
      <c r="Y21" s="36" t="n"/>
      <c r="Z21" s="36" t="n"/>
      <c r="AA21" s="36" t="n"/>
      <c r="AB21" s="36" t="n"/>
      <c r="AC21" s="36" t="n"/>
      <c r="AD21" s="36" t="n"/>
      <c r="AE21" s="36" t="n"/>
      <c r="AF21" s="36" t="n"/>
      <c r="AG21" s="36" t="n"/>
      <c r="AH21" s="36" t="n"/>
      <c r="AI21" s="36" t="n"/>
      <c r="AJ21" s="36" t="n"/>
      <c r="AK21" s="36" t="n"/>
      <c r="AL21" s="36" t="n"/>
      <c r="AM21" s="36" t="n"/>
      <c r="AN21" s="36" t="n"/>
      <c r="AO21" s="36" t="n"/>
      <c r="AP21" s="36" t="n"/>
      <c r="AQ21" s="36" t="n"/>
      <c r="AR21" s="36" t="n"/>
      <c r="AS21" s="36" t="n"/>
      <c r="AT21" s="36" t="n"/>
      <c r="AU21" s="36" t="n"/>
      <c r="AV21" s="36" t="n"/>
      <c r="AW21" s="36" t="n"/>
      <c r="AX21" s="36" t="n"/>
      <c r="AY21" s="36" t="n"/>
      <c r="AZ21" s="36" t="n"/>
      <c r="BA21" s="36" t="n"/>
      <c r="BB21" s="36" t="n"/>
      <c r="BC21" s="36" t="n"/>
      <c r="BD21" s="36" t="n"/>
      <c r="BE21" s="36" t="n"/>
      <c r="BF21" s="36" t="n"/>
      <c r="BG21" s="36" t="n"/>
      <c r="BH21" s="36" t="n"/>
      <c r="BI21" s="36" t="n"/>
      <c r="BJ21" s="36" t="n"/>
      <c r="BK21" s="36" t="n"/>
      <c r="BL21" s="36" t="n"/>
      <c r="BM21" s="36" t="n"/>
      <c r="BN21" s="36" t="n"/>
      <c r="BO21" s="36" t="n"/>
      <c r="BP21" s="36" t="n"/>
      <c r="BQ21" s="36" t="n"/>
      <c r="BR21" s="36" t="n"/>
      <c r="BS21" s="36" t="n"/>
      <c r="BT21" s="36" t="n"/>
      <c r="BU21" s="36" t="n"/>
      <c r="BV21" s="36" t="n"/>
      <c r="BW21" s="36" t="n"/>
    </row>
    <row r="22" ht="34" customHeight="1">
      <c r="A22" s="37" t="n"/>
      <c r="B22" s="35" t="inlineStr"/>
      <c r="C22" s="26">
        <f>IF(TRIM($B22)="","",IFERROR(INDEX(People!$A$2:$A$199,MATCH(TRIM($B22),People!$B$2:$B$199,0)),IFERROR(INDEX(Teams!$A$2:$A$9,MATCH(TRIM($B22),Teams!$B$2:$B$9,0)),"?? CHECK NAME")))</f>
        <v/>
      </c>
      <c r="D22" s="36" t="n"/>
      <c r="E22" s="36" t="n"/>
      <c r="F22" s="36" t="n"/>
      <c r="G22" s="36" t="n"/>
      <c r="H22" s="36" t="n"/>
      <c r="I22" s="36" t="n"/>
      <c r="J22" s="36" t="n"/>
      <c r="K22" s="36" t="n"/>
      <c r="L22" s="36" t="n"/>
      <c r="M22" s="36" t="n"/>
      <c r="N22" s="36" t="n"/>
      <c r="O22" s="36" t="n"/>
      <c r="P22" s="36" t="n"/>
      <c r="Q22" s="36" t="n"/>
      <c r="R22" s="36" t="n"/>
      <c r="S22" s="36" t="n"/>
      <c r="T22" s="36" t="n"/>
      <c r="U22" s="36" t="n"/>
      <c r="V22" s="36" t="n"/>
      <c r="W22" s="36" t="n"/>
      <c r="X22" s="36" t="n"/>
      <c r="Y22" s="36" t="n"/>
      <c r="Z22" s="36" t="n"/>
      <c r="AA22" s="36" t="n"/>
      <c r="AB22" s="36" t="n"/>
      <c r="AC22" s="36" t="n"/>
      <c r="AD22" s="36" t="n"/>
      <c r="AE22" s="36" t="n"/>
      <c r="AF22" s="36" t="n"/>
      <c r="AG22" s="36" t="n"/>
      <c r="AH22" s="36" t="n"/>
      <c r="AI22" s="36" t="n"/>
      <c r="AJ22" s="36" t="n"/>
      <c r="AK22" s="36" t="n"/>
      <c r="AL22" s="36" t="n"/>
      <c r="AM22" s="36" t="n"/>
      <c r="AN22" s="36" t="n"/>
      <c r="AO22" s="36" t="n"/>
      <c r="AP22" s="36" t="n"/>
      <c r="AQ22" s="36" t="n"/>
      <c r="AR22" s="36" t="n"/>
      <c r="AS22" s="36" t="n"/>
      <c r="AT22" s="36" t="n"/>
      <c r="AU22" s="36" t="n"/>
      <c r="AV22" s="36" t="n"/>
      <c r="AW22" s="36" t="n"/>
      <c r="AX22" s="36" t="n"/>
      <c r="AY22" s="36" t="n"/>
      <c r="AZ22" s="36" t="n"/>
      <c r="BA22" s="36" t="n"/>
      <c r="BB22" s="36" t="n"/>
      <c r="BC22" s="36" t="n"/>
      <c r="BD22" s="36" t="n"/>
      <c r="BE22" s="36" t="n"/>
      <c r="BF22" s="36" t="n"/>
      <c r="BG22" s="36" t="n"/>
      <c r="BH22" s="36" t="n"/>
      <c r="BI22" s="36" t="n"/>
      <c r="BJ22" s="36" t="n"/>
      <c r="BK22" s="36" t="n"/>
      <c r="BL22" s="36" t="n"/>
      <c r="BM22" s="36" t="n"/>
      <c r="BN22" s="36" t="n"/>
      <c r="BO22" s="36" t="n"/>
      <c r="BP22" s="36" t="n"/>
      <c r="BQ22" s="36" t="n"/>
      <c r="BR22" s="36" t="n"/>
      <c r="BS22" s="36" t="n"/>
      <c r="BT22" s="36" t="n"/>
      <c r="BU22" s="36" t="n"/>
      <c r="BV22" s="36" t="n"/>
      <c r="BW22" s="36" t="n"/>
    </row>
    <row r="23" ht="34" customHeight="1">
      <c r="A23" s="38" t="n"/>
      <c r="B23" s="35" t="inlineStr"/>
      <c r="C23" s="26">
        <f>IF(TRIM($B23)="","",IFERROR(INDEX(People!$A$2:$A$199,MATCH(TRIM($B23),People!$B$2:$B$199,0)),IFERROR(INDEX(Teams!$A$2:$A$9,MATCH(TRIM($B23),Teams!$B$2:$B$9,0)),"?? CHECK NAME")))</f>
        <v/>
      </c>
      <c r="D23" s="36" t="n"/>
      <c r="E23" s="36" t="n"/>
      <c r="F23" s="36" t="n"/>
      <c r="G23" s="36" t="n"/>
      <c r="H23" s="36" t="n"/>
      <c r="I23" s="36" t="n"/>
      <c r="J23" s="36" t="n"/>
      <c r="K23" s="36" t="n"/>
      <c r="L23" s="36" t="n"/>
      <c r="M23" s="36" t="n"/>
      <c r="N23" s="36" t="n"/>
      <c r="O23" s="36" t="n"/>
      <c r="P23" s="36" t="n"/>
      <c r="Q23" s="36" t="n"/>
      <c r="R23" s="36" t="n"/>
      <c r="S23" s="36" t="n"/>
      <c r="T23" s="36" t="n"/>
      <c r="U23" s="36" t="n"/>
      <c r="V23" s="36" t="n"/>
      <c r="W23" s="36" t="n"/>
      <c r="X23" s="36" t="n"/>
      <c r="Y23" s="36" t="n"/>
      <c r="Z23" s="36" t="n"/>
      <c r="AA23" s="36" t="n"/>
      <c r="AB23" s="36" t="n"/>
      <c r="AC23" s="36" t="n"/>
      <c r="AD23" s="36" t="n"/>
      <c r="AE23" s="36" t="n"/>
      <c r="AF23" s="36" t="n"/>
      <c r="AG23" s="36" t="n"/>
      <c r="AH23" s="36" t="n"/>
      <c r="AI23" s="36" t="n"/>
      <c r="AJ23" s="36" t="n"/>
      <c r="AK23" s="36" t="n"/>
      <c r="AL23" s="36" t="n"/>
      <c r="AM23" s="36" t="n"/>
      <c r="AN23" s="36" t="n"/>
      <c r="AO23" s="36" t="n"/>
      <c r="AP23" s="36" t="n"/>
      <c r="AQ23" s="36" t="n"/>
      <c r="AR23" s="36" t="n"/>
      <c r="AS23" s="36" t="n"/>
      <c r="AT23" s="36" t="n"/>
      <c r="AU23" s="36" t="n"/>
      <c r="AV23" s="36" t="n"/>
      <c r="AW23" s="36" t="n"/>
      <c r="AX23" s="36" t="n"/>
      <c r="AY23" s="36" t="n"/>
      <c r="AZ23" s="36" t="n"/>
      <c r="BA23" s="36" t="n"/>
      <c r="BB23" s="36" t="n"/>
      <c r="BC23" s="36" t="n"/>
      <c r="BD23" s="36" t="n"/>
      <c r="BE23" s="36" t="n"/>
      <c r="BF23" s="36" t="n"/>
      <c r="BG23" s="36" t="n"/>
      <c r="BH23" s="36" t="n"/>
      <c r="BI23" s="36" t="n"/>
      <c r="BJ23" s="36" t="n"/>
      <c r="BK23" s="36" t="n"/>
      <c r="BL23" s="36" t="n"/>
      <c r="BM23" s="36" t="n"/>
      <c r="BN23" s="36" t="n"/>
      <c r="BO23" s="36" t="n"/>
      <c r="BP23" s="36" t="n"/>
      <c r="BQ23" s="36" t="n"/>
      <c r="BR23" s="36" t="n"/>
      <c r="BS23" s="36" t="n"/>
      <c r="BT23" s="36" t="n"/>
      <c r="BU23" s="36" t="n"/>
      <c r="BV23" s="36" t="n"/>
      <c r="BW23" s="36" t="n"/>
    </row>
    <row r="24" ht="34" customHeight="1">
      <c r="A24" s="16" t="inlineStr">
        <is>
          <t>Creative</t>
        </is>
      </c>
      <c r="B24" s="35" t="inlineStr"/>
      <c r="C24" s="26">
        <f>IF(TRIM($B24)="","",IFERROR(INDEX(People!$A$2:$A$199,MATCH(TRIM($B24),People!$B$2:$B$199,0)),IFERROR(INDEX(Teams!$A$2:$A$9,MATCH(TRIM($B24),Teams!$B$2:$B$9,0)),"?? CHECK NAME")))</f>
        <v/>
      </c>
      <c r="D24" s="36" t="n"/>
      <c r="E24" s="36" t="n"/>
      <c r="F24" s="36" t="n"/>
      <c r="G24" s="36" t="n"/>
      <c r="H24" s="36" t="n"/>
      <c r="I24" s="36" t="n"/>
      <c r="J24" s="36" t="n"/>
      <c r="K24" s="36" t="n"/>
      <c r="L24" s="36" t="n"/>
      <c r="M24" s="36" t="n"/>
      <c r="N24" s="36" t="n"/>
      <c r="O24" s="36" t="n"/>
      <c r="P24" s="36" t="n"/>
      <c r="Q24" s="36" t="n"/>
      <c r="R24" s="36" t="n"/>
      <c r="S24" s="36" t="n"/>
      <c r="T24" s="36" t="n"/>
      <c r="U24" s="36" t="n"/>
      <c r="V24" s="36" t="n"/>
      <c r="W24" s="36" t="n"/>
      <c r="X24" s="36" t="n"/>
      <c r="Y24" s="36" t="n"/>
      <c r="Z24" s="36" t="n"/>
      <c r="AA24" s="36" t="n"/>
      <c r="AB24" s="36" t="n"/>
      <c r="AC24" s="36" t="n"/>
      <c r="AD24" s="36" t="n"/>
      <c r="AE24" s="36" t="n"/>
      <c r="AF24" s="36" t="n"/>
      <c r="AG24" s="36" t="n"/>
      <c r="AH24" s="36" t="n"/>
      <c r="AI24" s="36" t="n"/>
      <c r="AJ24" s="36" t="n"/>
      <c r="AK24" s="36" t="n"/>
      <c r="AL24" s="36" t="n"/>
      <c r="AM24" s="36" t="n"/>
      <c r="AN24" s="36" t="n"/>
      <c r="AO24" s="36" t="n"/>
      <c r="AP24" s="36" t="n"/>
      <c r="AQ24" s="36" t="n"/>
      <c r="AR24" s="36" t="n"/>
      <c r="AS24" s="36" t="n"/>
      <c r="AT24" s="36" t="n"/>
      <c r="AU24" s="36" t="n"/>
      <c r="AV24" s="36" t="n"/>
      <c r="AW24" s="36" t="n"/>
      <c r="AX24" s="36" t="n"/>
      <c r="AY24" s="36" t="n"/>
      <c r="AZ24" s="36" t="n"/>
      <c r="BA24" s="36" t="n"/>
      <c r="BB24" s="36" t="n"/>
      <c r="BC24" s="36" t="n"/>
      <c r="BD24" s="36" t="n"/>
      <c r="BE24" s="36" t="n"/>
      <c r="BF24" s="36" t="n"/>
      <c r="BG24" s="36" t="n"/>
      <c r="BH24" s="36" t="n"/>
      <c r="BI24" s="36" t="n"/>
      <c r="BJ24" s="36" t="n"/>
      <c r="BK24" s="36" t="n"/>
      <c r="BL24" s="36" t="n"/>
      <c r="BM24" s="36" t="n"/>
      <c r="BN24" s="36" t="n"/>
      <c r="BO24" s="36" t="n"/>
      <c r="BP24" s="36" t="n"/>
      <c r="BQ24" s="36" t="n"/>
      <c r="BR24" s="36" t="n"/>
      <c r="BS24" s="36" t="n"/>
      <c r="BT24" s="36" t="n"/>
      <c r="BU24" s="36" t="n"/>
      <c r="BV24" s="36" t="n"/>
      <c r="BW24" s="36" t="n"/>
    </row>
    <row r="25" ht="34" customHeight="1">
      <c r="A25" s="37" t="n"/>
      <c r="B25" s="35" t="inlineStr"/>
      <c r="C25" s="26">
        <f>IF(TRIM($B25)="","",IFERROR(INDEX(People!$A$2:$A$199,MATCH(TRIM($B25),People!$B$2:$B$199,0)),IFERROR(INDEX(Teams!$A$2:$A$9,MATCH(TRIM($B25),Teams!$B$2:$B$9,0)),"?? CHECK NAME")))</f>
        <v/>
      </c>
      <c r="D25" s="36" t="n"/>
      <c r="E25" s="36" t="n"/>
      <c r="F25" s="36" t="n"/>
      <c r="G25" s="36" t="n"/>
      <c r="H25" s="36" t="n"/>
      <c r="I25" s="36" t="n"/>
      <c r="J25" s="36" t="n"/>
      <c r="K25" s="36" t="n"/>
      <c r="L25" s="36" t="n"/>
      <c r="M25" s="36" t="n"/>
      <c r="N25" s="36" t="n"/>
      <c r="O25" s="36" t="n"/>
      <c r="P25" s="36" t="n"/>
      <c r="Q25" s="36" t="n"/>
      <c r="R25" s="36" t="n"/>
      <c r="S25" s="36" t="n"/>
      <c r="T25" s="36" t="n"/>
      <c r="U25" s="36" t="n"/>
      <c r="V25" s="36" t="n"/>
      <c r="W25" s="36" t="n"/>
      <c r="X25" s="36" t="n"/>
      <c r="Y25" s="36" t="n"/>
      <c r="Z25" s="36" t="n"/>
      <c r="AA25" s="36" t="n"/>
      <c r="AB25" s="36" t="n"/>
      <c r="AC25" s="36" t="n"/>
      <c r="AD25" s="36" t="n"/>
      <c r="AE25" s="36" t="n"/>
      <c r="AF25" s="36" t="n"/>
      <c r="AG25" s="36" t="n"/>
      <c r="AH25" s="36" t="n"/>
      <c r="AI25" s="36" t="n"/>
      <c r="AJ25" s="36" t="n"/>
      <c r="AK25" s="36" t="n"/>
      <c r="AL25" s="36" t="n"/>
      <c r="AM25" s="36" t="n"/>
      <c r="AN25" s="36" t="n"/>
      <c r="AO25" s="36" t="n"/>
      <c r="AP25" s="36" t="n"/>
      <c r="AQ25" s="36" t="n"/>
      <c r="AR25" s="36" t="n"/>
      <c r="AS25" s="36" t="n"/>
      <c r="AT25" s="36" t="n"/>
      <c r="AU25" s="36" t="n"/>
      <c r="AV25" s="36" t="n"/>
      <c r="AW25" s="36" t="n"/>
      <c r="AX25" s="36" t="n"/>
      <c r="AY25" s="36" t="n"/>
      <c r="AZ25" s="36" t="n"/>
      <c r="BA25" s="36" t="n"/>
      <c r="BB25" s="36" t="n"/>
      <c r="BC25" s="36" t="n"/>
      <c r="BD25" s="36" t="n"/>
      <c r="BE25" s="36" t="n"/>
      <c r="BF25" s="36" t="n"/>
      <c r="BG25" s="36" t="n"/>
      <c r="BH25" s="36" t="n"/>
      <c r="BI25" s="36" t="n"/>
      <c r="BJ25" s="36" t="n"/>
      <c r="BK25" s="36" t="n"/>
      <c r="BL25" s="36" t="n"/>
      <c r="BM25" s="36" t="n"/>
      <c r="BN25" s="36" t="n"/>
      <c r="BO25" s="36" t="n"/>
      <c r="BP25" s="36" t="n"/>
      <c r="BQ25" s="36" t="n"/>
      <c r="BR25" s="36" t="n"/>
      <c r="BS25" s="36" t="n"/>
      <c r="BT25" s="36" t="n"/>
      <c r="BU25" s="36" t="n"/>
      <c r="BV25" s="36" t="n"/>
      <c r="BW25" s="36" t="n"/>
    </row>
    <row r="26" ht="34" customHeight="1">
      <c r="A26" s="37" t="n"/>
      <c r="B26" s="35" t="inlineStr"/>
      <c r="C26" s="26">
        <f>IF(TRIM($B26)="","",IFERROR(INDEX(People!$A$2:$A$199,MATCH(TRIM($B26),People!$B$2:$B$199,0)),IFERROR(INDEX(Teams!$A$2:$A$9,MATCH(TRIM($B26),Teams!$B$2:$B$9,0)),"?? CHECK NAME")))</f>
        <v/>
      </c>
      <c r="D26" s="36" t="n"/>
      <c r="E26" s="36" t="n"/>
      <c r="F26" s="36" t="n"/>
      <c r="G26" s="36" t="n"/>
      <c r="H26" s="36" t="n"/>
      <c r="I26" s="36" t="n"/>
      <c r="J26" s="36" t="n"/>
      <c r="K26" s="36" t="n"/>
      <c r="L26" s="36" t="n"/>
      <c r="M26" s="36" t="n"/>
      <c r="N26" s="36" t="n"/>
      <c r="O26" s="36" t="n"/>
      <c r="P26" s="36" t="n"/>
      <c r="Q26" s="36" t="n"/>
      <c r="R26" s="36" t="n"/>
      <c r="S26" s="36" t="n"/>
      <c r="T26" s="36" t="n"/>
      <c r="U26" s="36" t="n"/>
      <c r="V26" s="36" t="n"/>
      <c r="W26" s="36" t="n"/>
      <c r="X26" s="36" t="n"/>
      <c r="Y26" s="36" t="n"/>
      <c r="Z26" s="36" t="n"/>
      <c r="AA26" s="36" t="n"/>
      <c r="AB26" s="36" t="n"/>
      <c r="AC26" s="36" t="n"/>
      <c r="AD26" s="36" t="n"/>
      <c r="AE26" s="36" t="n"/>
      <c r="AF26" s="36" t="n"/>
      <c r="AG26" s="36" t="n"/>
      <c r="AH26" s="36" t="n"/>
      <c r="AI26" s="36" t="n"/>
      <c r="AJ26" s="36" t="n"/>
      <c r="AK26" s="36" t="n"/>
      <c r="AL26" s="36" t="n"/>
      <c r="AM26" s="36" t="n"/>
      <c r="AN26" s="36" t="n"/>
      <c r="AO26" s="36" t="n"/>
      <c r="AP26" s="36" t="n"/>
      <c r="AQ26" s="36" t="n"/>
      <c r="AR26" s="36" t="n"/>
      <c r="AS26" s="36" t="n"/>
      <c r="AT26" s="36" t="n"/>
      <c r="AU26" s="36" t="n"/>
      <c r="AV26" s="36" t="n"/>
      <c r="AW26" s="36" t="n"/>
      <c r="AX26" s="36" t="n"/>
      <c r="AY26" s="36" t="n"/>
      <c r="AZ26" s="36" t="n"/>
      <c r="BA26" s="36" t="n"/>
      <c r="BB26" s="36" t="n"/>
      <c r="BC26" s="36" t="n"/>
      <c r="BD26" s="36" t="n"/>
      <c r="BE26" s="36" t="n"/>
      <c r="BF26" s="36" t="n"/>
      <c r="BG26" s="36" t="n"/>
      <c r="BH26" s="36" t="n"/>
      <c r="BI26" s="36" t="n"/>
      <c r="BJ26" s="36" t="n"/>
      <c r="BK26" s="36" t="n"/>
      <c r="BL26" s="36" t="n"/>
      <c r="BM26" s="36" t="n"/>
      <c r="BN26" s="36" t="n"/>
      <c r="BO26" s="36" t="n"/>
      <c r="BP26" s="36" t="n"/>
      <c r="BQ26" s="36" t="n"/>
      <c r="BR26" s="36" t="n"/>
      <c r="BS26" s="36" t="n"/>
      <c r="BT26" s="36" t="n"/>
      <c r="BU26" s="36" t="n"/>
      <c r="BV26" s="36" t="n"/>
      <c r="BW26" s="36" t="n"/>
    </row>
    <row r="27" ht="34" customHeight="1">
      <c r="A27" s="37" t="n"/>
      <c r="B27" s="35" t="inlineStr"/>
      <c r="C27" s="26">
        <f>IF(TRIM($B27)="","",IFERROR(INDEX(People!$A$2:$A$199,MATCH(TRIM($B27),People!$B$2:$B$199,0)),IFERROR(INDEX(Teams!$A$2:$A$9,MATCH(TRIM($B27),Teams!$B$2:$B$9,0)),"?? CHECK NAME")))</f>
        <v/>
      </c>
      <c r="D27" s="36" t="n"/>
      <c r="E27" s="36" t="n"/>
      <c r="F27" s="36" t="n"/>
      <c r="G27" s="36" t="n"/>
      <c r="H27" s="36" t="n"/>
      <c r="I27" s="36" t="n"/>
      <c r="J27" s="36" t="n"/>
      <c r="K27" s="36" t="n"/>
      <c r="L27" s="36" t="n"/>
      <c r="M27" s="36" t="n"/>
      <c r="N27" s="36" t="n"/>
      <c r="O27" s="36" t="n"/>
      <c r="P27" s="36" t="n"/>
      <c r="Q27" s="36" t="n"/>
      <c r="R27" s="36" t="n"/>
      <c r="S27" s="36" t="n"/>
      <c r="T27" s="36" t="n"/>
      <c r="U27" s="36" t="n"/>
      <c r="V27" s="36" t="n"/>
      <c r="W27" s="36" t="n"/>
      <c r="X27" s="36" t="n"/>
      <c r="Y27" s="36" t="n"/>
      <c r="Z27" s="36" t="n"/>
      <c r="AA27" s="36" t="n"/>
      <c r="AB27" s="36" t="n"/>
      <c r="AC27" s="36" t="n"/>
      <c r="AD27" s="36" t="n"/>
      <c r="AE27" s="36" t="n"/>
      <c r="AF27" s="36" t="n"/>
      <c r="AG27" s="36" t="n"/>
      <c r="AH27" s="36" t="n"/>
      <c r="AI27" s="36" t="n"/>
      <c r="AJ27" s="36" t="n"/>
      <c r="AK27" s="36" t="n"/>
      <c r="AL27" s="36" t="n"/>
      <c r="AM27" s="36" t="n"/>
      <c r="AN27" s="36" t="n"/>
      <c r="AO27" s="36" t="n"/>
      <c r="AP27" s="36" t="n"/>
      <c r="AQ27" s="36" t="n"/>
      <c r="AR27" s="36" t="n"/>
      <c r="AS27" s="36" t="n"/>
      <c r="AT27" s="36" t="n"/>
      <c r="AU27" s="36" t="n"/>
      <c r="AV27" s="36" t="n"/>
      <c r="AW27" s="36" t="n"/>
      <c r="AX27" s="36" t="n"/>
      <c r="AY27" s="36" t="n"/>
      <c r="AZ27" s="36" t="n"/>
      <c r="BA27" s="36" t="n"/>
      <c r="BB27" s="36" t="n"/>
      <c r="BC27" s="36" t="n"/>
      <c r="BD27" s="36" t="n"/>
      <c r="BE27" s="36" t="n"/>
      <c r="BF27" s="36" t="n"/>
      <c r="BG27" s="36" t="n"/>
      <c r="BH27" s="36" t="n"/>
      <c r="BI27" s="36" t="n"/>
      <c r="BJ27" s="36" t="n"/>
      <c r="BK27" s="36" t="n"/>
      <c r="BL27" s="36" t="n"/>
      <c r="BM27" s="36" t="n"/>
      <c r="BN27" s="36" t="n"/>
      <c r="BO27" s="36" t="n"/>
      <c r="BP27" s="36" t="n"/>
      <c r="BQ27" s="36" t="n"/>
      <c r="BR27" s="36" t="n"/>
      <c r="BS27" s="36" t="n"/>
      <c r="BT27" s="36" t="n"/>
      <c r="BU27" s="36" t="n"/>
      <c r="BV27" s="36" t="n"/>
      <c r="BW27" s="36" t="n"/>
    </row>
    <row r="28" ht="34" customHeight="1">
      <c r="A28" s="38" t="n"/>
      <c r="B28" s="35" t="inlineStr"/>
      <c r="C28" s="26">
        <f>IF(TRIM($B28)="","",IFERROR(INDEX(People!$A$2:$A$199,MATCH(TRIM($B28),People!$B$2:$B$199,0)),IFERROR(INDEX(Teams!$A$2:$A$9,MATCH(TRIM($B28),Teams!$B$2:$B$9,0)),"?? CHECK NAME")))</f>
        <v/>
      </c>
      <c r="D28" s="36" t="n"/>
      <c r="E28" s="36" t="n"/>
      <c r="F28" s="36" t="n"/>
      <c r="G28" s="36" t="n"/>
      <c r="H28" s="36" t="n"/>
      <c r="I28" s="36" t="n"/>
      <c r="J28" s="36" t="n"/>
      <c r="K28" s="36" t="n"/>
      <c r="L28" s="36" t="n"/>
      <c r="M28" s="36" t="n"/>
      <c r="N28" s="36" t="n"/>
      <c r="O28" s="36" t="n"/>
      <c r="P28" s="36" t="n"/>
      <c r="Q28" s="36" t="n"/>
      <c r="R28" s="36" t="n"/>
      <c r="S28" s="36" t="n"/>
      <c r="T28" s="36" t="n"/>
      <c r="U28" s="36" t="n"/>
      <c r="V28" s="36" t="n"/>
      <c r="W28" s="36" t="n"/>
      <c r="X28" s="36" t="n"/>
      <c r="Y28" s="36" t="n"/>
      <c r="Z28" s="36" t="n"/>
      <c r="AA28" s="36" t="n"/>
      <c r="AB28" s="36" t="n"/>
      <c r="AC28" s="36" t="n"/>
      <c r="AD28" s="36" t="n"/>
      <c r="AE28" s="36" t="n"/>
      <c r="AF28" s="36" t="n"/>
      <c r="AG28" s="36" t="n"/>
      <c r="AH28" s="36" t="n"/>
      <c r="AI28" s="36" t="n"/>
      <c r="AJ28" s="36" t="n"/>
      <c r="AK28" s="36" t="n"/>
      <c r="AL28" s="36" t="n"/>
      <c r="AM28" s="36" t="n"/>
      <c r="AN28" s="36" t="n"/>
      <c r="AO28" s="36" t="n"/>
      <c r="AP28" s="36" t="n"/>
      <c r="AQ28" s="36" t="n"/>
      <c r="AR28" s="36" t="n"/>
      <c r="AS28" s="36" t="n"/>
      <c r="AT28" s="36" t="n"/>
      <c r="AU28" s="36" t="n"/>
      <c r="AV28" s="36" t="n"/>
      <c r="AW28" s="36" t="n"/>
      <c r="AX28" s="36" t="n"/>
      <c r="AY28" s="36" t="n"/>
      <c r="AZ28" s="36" t="n"/>
      <c r="BA28" s="36" t="n"/>
      <c r="BB28" s="36" t="n"/>
      <c r="BC28" s="36" t="n"/>
      <c r="BD28" s="36" t="n"/>
      <c r="BE28" s="36" t="n"/>
      <c r="BF28" s="36" t="n"/>
      <c r="BG28" s="36" t="n"/>
      <c r="BH28" s="36" t="n"/>
      <c r="BI28" s="36" t="n"/>
      <c r="BJ28" s="36" t="n"/>
      <c r="BK28" s="36" t="n"/>
      <c r="BL28" s="36" t="n"/>
      <c r="BM28" s="36" t="n"/>
      <c r="BN28" s="36" t="n"/>
      <c r="BO28" s="36" t="n"/>
      <c r="BP28" s="36" t="n"/>
      <c r="BQ28" s="36" t="n"/>
      <c r="BR28" s="36" t="n"/>
      <c r="BS28" s="36" t="n"/>
      <c r="BT28" s="36" t="n"/>
      <c r="BU28" s="36" t="n"/>
      <c r="BV28" s="36" t="n"/>
      <c r="BW28" s="36" t="n"/>
    </row>
    <row r="29" ht="34" customHeight="1">
      <c r="A29" s="16" t="inlineStr">
        <is>
          <t>Registration</t>
        </is>
      </c>
      <c r="B29" s="35" t="inlineStr"/>
      <c r="C29" s="26">
        <f>IF(TRIM($B29)="","",IFERROR(INDEX(People!$A$2:$A$199,MATCH(TRIM($B29),People!$B$2:$B$199,0)),IFERROR(INDEX(Teams!$A$2:$A$9,MATCH(TRIM($B29),Teams!$B$2:$B$9,0)),"?? CHECK NAME")))</f>
        <v/>
      </c>
      <c r="D29" s="36" t="n"/>
      <c r="E29" s="36" t="n"/>
      <c r="F29" s="36" t="n"/>
      <c r="G29" s="36" t="n"/>
      <c r="H29" s="36" t="n"/>
      <c r="I29" s="36" t="n"/>
      <c r="J29" s="36" t="n"/>
      <c r="K29" s="36" t="n"/>
      <c r="L29" s="36" t="n"/>
      <c r="M29" s="36" t="n"/>
      <c r="N29" s="36" t="n"/>
      <c r="O29" s="36" t="n"/>
      <c r="P29" s="36" t="n"/>
      <c r="Q29" s="36" t="n"/>
      <c r="R29" s="36" t="n"/>
      <c r="S29" s="36" t="n"/>
      <c r="T29" s="36" t="n"/>
      <c r="U29" s="36" t="n"/>
      <c r="V29" s="36" t="n"/>
      <c r="W29" s="36" t="n"/>
      <c r="X29" s="36" t="n"/>
      <c r="Y29" s="36" t="n"/>
      <c r="Z29" s="36" t="n"/>
      <c r="AA29" s="36" t="n"/>
      <c r="AB29" s="36" t="n"/>
      <c r="AC29" s="36" t="n"/>
      <c r="AD29" s="36" t="n"/>
      <c r="AE29" s="36" t="n"/>
      <c r="AF29" s="36" t="n"/>
      <c r="AG29" s="36" t="n"/>
      <c r="AH29" s="36" t="n"/>
      <c r="AI29" s="36" t="n"/>
      <c r="AJ29" s="36" t="n"/>
      <c r="AK29" s="36" t="n"/>
      <c r="AL29" s="36" t="n"/>
      <c r="AM29" s="36" t="n"/>
      <c r="AN29" s="36" t="n"/>
      <c r="AO29" s="36" t="n"/>
      <c r="AP29" s="36" t="n"/>
      <c r="AQ29" s="36" t="n"/>
      <c r="AR29" s="36" t="n"/>
      <c r="AS29" s="36" t="n"/>
      <c r="AT29" s="36" t="n"/>
      <c r="AU29" s="36" t="n"/>
      <c r="AV29" s="36" t="n"/>
      <c r="AW29" s="36" t="n"/>
      <c r="AX29" s="36" t="n"/>
      <c r="AY29" s="36" t="n"/>
      <c r="AZ29" s="36" t="n"/>
      <c r="BA29" s="36" t="n"/>
      <c r="BB29" s="36" t="n"/>
      <c r="BC29" s="36" t="n"/>
      <c r="BD29" s="36" t="n"/>
      <c r="BE29" s="36" t="n"/>
      <c r="BF29" s="36" t="n"/>
      <c r="BG29" s="36" t="n"/>
      <c r="BH29" s="36" t="n"/>
      <c r="BI29" s="36" t="n"/>
      <c r="BJ29" s="36" t="n"/>
      <c r="BK29" s="36" t="n"/>
      <c r="BL29" s="36" t="n"/>
      <c r="BM29" s="36" t="n"/>
      <c r="BN29" s="36" t="n"/>
      <c r="BO29" s="36" t="n"/>
      <c r="BP29" s="36" t="n"/>
      <c r="BQ29" s="36" t="n"/>
      <c r="BR29" s="36" t="n"/>
      <c r="BS29" s="36" t="n"/>
      <c r="BT29" s="36" t="n"/>
      <c r="BU29" s="36" t="n"/>
      <c r="BV29" s="36" t="n"/>
      <c r="BW29" s="36" t="n"/>
    </row>
    <row r="30" ht="34" customHeight="1">
      <c r="A30" s="37" t="n"/>
      <c r="B30" s="35" t="inlineStr"/>
      <c r="C30" s="26">
        <f>IF(TRIM($B30)="","",IFERROR(INDEX(People!$A$2:$A$199,MATCH(TRIM($B30),People!$B$2:$B$199,0)),IFERROR(INDEX(Teams!$A$2:$A$9,MATCH(TRIM($B30),Teams!$B$2:$B$9,0)),"?? CHECK NAME")))</f>
        <v/>
      </c>
      <c r="D30" s="36" t="n"/>
      <c r="E30" s="36" t="n"/>
      <c r="F30" s="36" t="n"/>
      <c r="G30" s="36" t="n"/>
      <c r="H30" s="36" t="n"/>
      <c r="I30" s="36" t="n"/>
      <c r="J30" s="36" t="n"/>
      <c r="K30" s="36" t="n"/>
      <c r="L30" s="36" t="n"/>
      <c r="M30" s="36" t="n"/>
      <c r="N30" s="36" t="n"/>
      <c r="O30" s="36" t="n"/>
      <c r="P30" s="36" t="n"/>
      <c r="Q30" s="36" t="n"/>
      <c r="R30" s="36" t="n"/>
      <c r="S30" s="36" t="n"/>
      <c r="T30" s="36" t="n"/>
      <c r="U30" s="36" t="n"/>
      <c r="V30" s="36" t="n"/>
      <c r="W30" s="36" t="n"/>
      <c r="X30" s="36" t="n"/>
      <c r="Y30" s="36" t="n"/>
      <c r="Z30" s="36" t="n"/>
      <c r="AA30" s="36" t="n"/>
      <c r="AB30" s="36" t="n"/>
      <c r="AC30" s="36" t="n"/>
      <c r="AD30" s="36" t="n"/>
      <c r="AE30" s="36" t="n"/>
      <c r="AF30" s="36" t="n"/>
      <c r="AG30" s="36" t="n"/>
      <c r="AH30" s="36" t="n"/>
      <c r="AI30" s="36" t="n"/>
      <c r="AJ30" s="36" t="n"/>
      <c r="AK30" s="36" t="n"/>
      <c r="AL30" s="36" t="n"/>
      <c r="AM30" s="36" t="n"/>
      <c r="AN30" s="36" t="n"/>
      <c r="AO30" s="36" t="n"/>
      <c r="AP30" s="36" t="n"/>
      <c r="AQ30" s="36" t="n"/>
      <c r="AR30" s="36" t="n"/>
      <c r="AS30" s="36" t="n"/>
      <c r="AT30" s="36" t="n"/>
      <c r="AU30" s="36" t="n"/>
      <c r="AV30" s="36" t="n"/>
      <c r="AW30" s="36" t="n"/>
      <c r="AX30" s="36" t="n"/>
      <c r="AY30" s="36" t="n"/>
      <c r="AZ30" s="36" t="n"/>
      <c r="BA30" s="36" t="n"/>
      <c r="BB30" s="36" t="n"/>
      <c r="BC30" s="36" t="n"/>
      <c r="BD30" s="36" t="n"/>
      <c r="BE30" s="36" t="n"/>
      <c r="BF30" s="36" t="n"/>
      <c r="BG30" s="36" t="n"/>
      <c r="BH30" s="36" t="n"/>
      <c r="BI30" s="36" t="n"/>
      <c r="BJ30" s="36" t="n"/>
      <c r="BK30" s="36" t="n"/>
      <c r="BL30" s="36" t="n"/>
      <c r="BM30" s="36" t="n"/>
      <c r="BN30" s="36" t="n"/>
      <c r="BO30" s="36" t="n"/>
      <c r="BP30" s="36" t="n"/>
      <c r="BQ30" s="36" t="n"/>
      <c r="BR30" s="36" t="n"/>
      <c r="BS30" s="36" t="n"/>
      <c r="BT30" s="36" t="n"/>
      <c r="BU30" s="36" t="n"/>
      <c r="BV30" s="36" t="n"/>
      <c r="BW30" s="36" t="n"/>
    </row>
    <row r="31" ht="34" customHeight="1">
      <c r="A31" s="37" t="n"/>
      <c r="B31" s="35" t="inlineStr"/>
      <c r="C31" s="26">
        <f>IF(TRIM($B31)="","",IFERROR(INDEX(People!$A$2:$A$199,MATCH(TRIM($B31),People!$B$2:$B$199,0)),IFERROR(INDEX(Teams!$A$2:$A$9,MATCH(TRIM($B31),Teams!$B$2:$B$9,0)),"?? CHECK NAME")))</f>
        <v/>
      </c>
      <c r="D31" s="36" t="n"/>
      <c r="E31" s="36" t="n"/>
      <c r="F31" s="36" t="n"/>
      <c r="G31" s="36" t="n"/>
      <c r="H31" s="36" t="n"/>
      <c r="I31" s="36" t="n"/>
      <c r="J31" s="36" t="n"/>
      <c r="K31" s="36" t="n"/>
      <c r="L31" s="36" t="n"/>
      <c r="M31" s="36" t="n"/>
      <c r="N31" s="36" t="n"/>
      <c r="O31" s="36" t="n"/>
      <c r="P31" s="36" t="n"/>
      <c r="Q31" s="36" t="n"/>
      <c r="R31" s="36" t="n"/>
      <c r="S31" s="36" t="n"/>
      <c r="T31" s="36" t="n"/>
      <c r="U31" s="36" t="n"/>
      <c r="V31" s="36" t="n"/>
      <c r="W31" s="36" t="n"/>
      <c r="X31" s="36" t="n"/>
      <c r="Y31" s="36" t="n"/>
      <c r="Z31" s="36" t="n"/>
      <c r="AA31" s="36" t="n"/>
      <c r="AB31" s="36" t="n"/>
      <c r="AC31" s="36" t="n"/>
      <c r="AD31" s="36" t="n"/>
      <c r="AE31" s="36" t="n"/>
      <c r="AF31" s="36" t="n"/>
      <c r="AG31" s="36" t="n"/>
      <c r="AH31" s="36" t="n"/>
      <c r="AI31" s="36" t="n"/>
      <c r="AJ31" s="36" t="n"/>
      <c r="AK31" s="36" t="n"/>
      <c r="AL31" s="36" t="n"/>
      <c r="AM31" s="36" t="n"/>
      <c r="AN31" s="36" t="n"/>
      <c r="AO31" s="36" t="n"/>
      <c r="AP31" s="36" t="n"/>
      <c r="AQ31" s="36" t="n"/>
      <c r="AR31" s="36" t="n"/>
      <c r="AS31" s="36" t="n"/>
      <c r="AT31" s="36" t="n"/>
      <c r="AU31" s="36" t="n"/>
      <c r="AV31" s="36" t="n"/>
      <c r="AW31" s="36" t="n"/>
      <c r="AX31" s="36" t="n"/>
      <c r="AY31" s="36" t="n"/>
      <c r="AZ31" s="36" t="n"/>
      <c r="BA31" s="36" t="n"/>
      <c r="BB31" s="36" t="n"/>
      <c r="BC31" s="36" t="n"/>
      <c r="BD31" s="36" t="n"/>
      <c r="BE31" s="36" t="n"/>
      <c r="BF31" s="36" t="n"/>
      <c r="BG31" s="36" t="n"/>
      <c r="BH31" s="36" t="n"/>
      <c r="BI31" s="36" t="n"/>
      <c r="BJ31" s="36" t="n"/>
      <c r="BK31" s="36" t="n"/>
      <c r="BL31" s="36" t="n"/>
      <c r="BM31" s="36" t="n"/>
      <c r="BN31" s="36" t="n"/>
      <c r="BO31" s="36" t="n"/>
      <c r="BP31" s="36" t="n"/>
      <c r="BQ31" s="36" t="n"/>
      <c r="BR31" s="36" t="n"/>
      <c r="BS31" s="36" t="n"/>
      <c r="BT31" s="36" t="n"/>
      <c r="BU31" s="36" t="n"/>
      <c r="BV31" s="36" t="n"/>
      <c r="BW31" s="36" t="n"/>
    </row>
    <row r="32" ht="34" customHeight="1">
      <c r="A32" s="37" t="n"/>
      <c r="B32" s="35" t="inlineStr"/>
      <c r="C32" s="26">
        <f>IF(TRIM($B32)="","",IFERROR(INDEX(People!$A$2:$A$199,MATCH(TRIM($B32),People!$B$2:$B$199,0)),IFERROR(INDEX(Teams!$A$2:$A$9,MATCH(TRIM($B32),Teams!$B$2:$B$9,0)),"?? CHECK NAME")))</f>
        <v/>
      </c>
      <c r="D32" s="36" t="n"/>
      <c r="E32" s="36" t="n"/>
      <c r="F32" s="36" t="n"/>
      <c r="G32" s="36" t="n"/>
      <c r="H32" s="36" t="n"/>
      <c r="I32" s="36" t="n"/>
      <c r="J32" s="36" t="n"/>
      <c r="K32" s="36" t="n"/>
      <c r="L32" s="36" t="n"/>
      <c r="M32" s="36" t="n"/>
      <c r="N32" s="36" t="n"/>
      <c r="O32" s="36" t="n"/>
      <c r="P32" s="36" t="n"/>
      <c r="Q32" s="36" t="n"/>
      <c r="R32" s="36" t="n"/>
      <c r="S32" s="36" t="n"/>
      <c r="T32" s="36" t="n"/>
      <c r="U32" s="36" t="n"/>
      <c r="V32" s="36" t="n"/>
      <c r="W32" s="36" t="n"/>
      <c r="X32" s="36" t="n"/>
      <c r="Y32" s="36" t="n"/>
      <c r="Z32" s="36" t="n"/>
      <c r="AA32" s="36" t="n"/>
      <c r="AB32" s="36" t="n"/>
      <c r="AC32" s="36" t="n"/>
      <c r="AD32" s="36" t="n"/>
      <c r="AE32" s="36" t="n"/>
      <c r="AF32" s="36" t="n"/>
      <c r="AG32" s="36" t="n"/>
      <c r="AH32" s="36" t="n"/>
      <c r="AI32" s="36" t="n"/>
      <c r="AJ32" s="36" t="n"/>
      <c r="AK32" s="36" t="n"/>
      <c r="AL32" s="36" t="n"/>
      <c r="AM32" s="36" t="n"/>
      <c r="AN32" s="36" t="n"/>
      <c r="AO32" s="36" t="n"/>
      <c r="AP32" s="36" t="n"/>
      <c r="AQ32" s="36" t="n"/>
      <c r="AR32" s="36" t="n"/>
      <c r="AS32" s="36" t="n"/>
      <c r="AT32" s="36" t="n"/>
      <c r="AU32" s="36" t="n"/>
      <c r="AV32" s="36" t="n"/>
      <c r="AW32" s="36" t="n"/>
      <c r="AX32" s="36" t="n"/>
      <c r="AY32" s="36" t="n"/>
      <c r="AZ32" s="36" t="n"/>
      <c r="BA32" s="36" t="n"/>
      <c r="BB32" s="36" t="n"/>
      <c r="BC32" s="36" t="n"/>
      <c r="BD32" s="36" t="n"/>
      <c r="BE32" s="36" t="n"/>
      <c r="BF32" s="36" t="n"/>
      <c r="BG32" s="36" t="n"/>
      <c r="BH32" s="36" t="n"/>
      <c r="BI32" s="36" t="n"/>
      <c r="BJ32" s="36" t="n"/>
      <c r="BK32" s="36" t="n"/>
      <c r="BL32" s="36" t="n"/>
      <c r="BM32" s="36" t="n"/>
      <c r="BN32" s="36" t="n"/>
      <c r="BO32" s="36" t="n"/>
      <c r="BP32" s="36" t="n"/>
      <c r="BQ32" s="36" t="n"/>
      <c r="BR32" s="36" t="n"/>
      <c r="BS32" s="36" t="n"/>
      <c r="BT32" s="36" t="n"/>
      <c r="BU32" s="36" t="n"/>
      <c r="BV32" s="36" t="n"/>
      <c r="BW32" s="36" t="n"/>
    </row>
    <row r="33" ht="34" customHeight="1">
      <c r="A33" s="38" t="n"/>
      <c r="B33" s="35" t="inlineStr"/>
      <c r="C33" s="26">
        <f>IF(TRIM($B33)="","",IFERROR(INDEX(People!$A$2:$A$199,MATCH(TRIM($B33),People!$B$2:$B$199,0)),IFERROR(INDEX(Teams!$A$2:$A$9,MATCH(TRIM($B33),Teams!$B$2:$B$9,0)),"?? CHECK NAME")))</f>
        <v/>
      </c>
      <c r="D33" s="36" t="n"/>
      <c r="E33" s="36" t="n"/>
      <c r="F33" s="36" t="n"/>
      <c r="G33" s="36" t="n"/>
      <c r="H33" s="36" t="n"/>
      <c r="I33" s="36" t="n"/>
      <c r="J33" s="36" t="n"/>
      <c r="K33" s="36" t="n"/>
      <c r="L33" s="36" t="n"/>
      <c r="M33" s="36" t="n"/>
      <c r="N33" s="36" t="n"/>
      <c r="O33" s="36" t="n"/>
      <c r="P33" s="36" t="n"/>
      <c r="Q33" s="36" t="n"/>
      <c r="R33" s="36" t="n"/>
      <c r="S33" s="36" t="n"/>
      <c r="T33" s="36" t="n"/>
      <c r="U33" s="36" t="n"/>
      <c r="V33" s="36" t="n"/>
      <c r="W33" s="36" t="n"/>
      <c r="X33" s="36" t="n"/>
      <c r="Y33" s="36" t="n"/>
      <c r="Z33" s="36" t="n"/>
      <c r="AA33" s="36" t="n"/>
      <c r="AB33" s="36" t="n"/>
      <c r="AC33" s="36" t="n"/>
      <c r="AD33" s="36" t="n"/>
      <c r="AE33" s="36" t="n"/>
      <c r="AF33" s="36" t="n"/>
      <c r="AG33" s="36" t="n"/>
      <c r="AH33" s="36" t="n"/>
      <c r="AI33" s="36" t="n"/>
      <c r="AJ33" s="36" t="n"/>
      <c r="AK33" s="36" t="n"/>
      <c r="AL33" s="36" t="n"/>
      <c r="AM33" s="36" t="n"/>
      <c r="AN33" s="36" t="n"/>
      <c r="AO33" s="36" t="n"/>
      <c r="AP33" s="36" t="n"/>
      <c r="AQ33" s="36" t="n"/>
      <c r="AR33" s="36" t="n"/>
      <c r="AS33" s="36" t="n"/>
      <c r="AT33" s="36" t="n"/>
      <c r="AU33" s="36" t="n"/>
      <c r="AV33" s="36" t="n"/>
      <c r="AW33" s="36" t="n"/>
      <c r="AX33" s="36" t="n"/>
      <c r="AY33" s="36" t="n"/>
      <c r="AZ33" s="36" t="n"/>
      <c r="BA33" s="36" t="n"/>
      <c r="BB33" s="36" t="n"/>
      <c r="BC33" s="36" t="n"/>
      <c r="BD33" s="36" t="n"/>
      <c r="BE33" s="36" t="n"/>
      <c r="BF33" s="36" t="n"/>
      <c r="BG33" s="36" t="n"/>
      <c r="BH33" s="36" t="n"/>
      <c r="BI33" s="36" t="n"/>
      <c r="BJ33" s="36" t="n"/>
      <c r="BK33" s="36" t="n"/>
      <c r="BL33" s="36" t="n"/>
      <c r="BM33" s="36" t="n"/>
      <c r="BN33" s="36" t="n"/>
      <c r="BO33" s="36" t="n"/>
      <c r="BP33" s="36" t="n"/>
      <c r="BQ33" s="36" t="n"/>
      <c r="BR33" s="36" t="n"/>
      <c r="BS33" s="36" t="n"/>
      <c r="BT33" s="36" t="n"/>
      <c r="BU33" s="36" t="n"/>
      <c r="BV33" s="36" t="n"/>
      <c r="BW33" s="36" t="n"/>
    </row>
    <row r="34" ht="34" customHeight="1">
      <c r="A34" s="16" t="inlineStr">
        <is>
          <t>Head Liaisons</t>
        </is>
      </c>
      <c r="B34" s="35" t="inlineStr"/>
      <c r="C34" s="26">
        <f>IF(TRIM($B34)="","",IFERROR(INDEX(People!$A$2:$A$199,MATCH(TRIM($B34),People!$B$2:$B$199,0)),IFERROR(INDEX(Teams!$A$2:$A$9,MATCH(TRIM($B34),Teams!$B$2:$B$9,0)),"?? CHECK NAME")))</f>
        <v/>
      </c>
      <c r="D34" s="36" t="n"/>
      <c r="E34" s="36" t="n"/>
      <c r="F34" s="36" t="n"/>
      <c r="G34" s="36" t="n"/>
      <c r="H34" s="36" t="n"/>
      <c r="I34" s="36" t="n"/>
      <c r="J34" s="36" t="n"/>
      <c r="K34" s="36" t="n"/>
      <c r="L34" s="36" t="n"/>
      <c r="M34" s="36" t="n"/>
      <c r="N34" s="36" t="n"/>
      <c r="O34" s="36" t="n"/>
      <c r="P34" s="36" t="n"/>
      <c r="Q34" s="36" t="n"/>
      <c r="R34" s="36" t="n"/>
      <c r="S34" s="36" t="n"/>
      <c r="T34" s="36" t="n"/>
      <c r="U34" s="36" t="n"/>
      <c r="V34" s="36" t="n"/>
      <c r="W34" s="36" t="n"/>
      <c r="X34" s="36" t="n"/>
      <c r="Y34" s="36" t="n"/>
      <c r="Z34" s="36" t="n"/>
      <c r="AA34" s="36" t="n"/>
      <c r="AB34" s="36" t="n"/>
      <c r="AC34" s="36" t="n"/>
      <c r="AD34" s="36" t="n"/>
      <c r="AE34" s="36" t="n"/>
      <c r="AF34" s="36" t="n"/>
      <c r="AG34" s="36" t="n"/>
      <c r="AH34" s="36" t="n"/>
      <c r="AI34" s="36" t="n"/>
      <c r="AJ34" s="36" t="n"/>
      <c r="AK34" s="36" t="n"/>
      <c r="AL34" s="36" t="n"/>
      <c r="AM34" s="36" t="n"/>
      <c r="AN34" s="36" t="n"/>
      <c r="AO34" s="36" t="n"/>
      <c r="AP34" s="36" t="n"/>
      <c r="AQ34" s="36" t="n"/>
      <c r="AR34" s="36" t="n"/>
      <c r="AS34" s="36" t="n"/>
      <c r="AT34" s="36" t="n"/>
      <c r="AU34" s="36" t="n"/>
      <c r="AV34" s="36" t="n"/>
      <c r="AW34" s="36" t="n"/>
      <c r="AX34" s="36" t="n"/>
      <c r="AY34" s="36" t="n"/>
      <c r="AZ34" s="36" t="n"/>
      <c r="BA34" s="36" t="n"/>
      <c r="BB34" s="36" t="n"/>
      <c r="BC34" s="36" t="n"/>
      <c r="BD34" s="36" t="n"/>
      <c r="BE34" s="36" t="n"/>
      <c r="BF34" s="36" t="n"/>
      <c r="BG34" s="36" t="n"/>
      <c r="BH34" s="36" t="n"/>
      <c r="BI34" s="36" t="n"/>
      <c r="BJ34" s="36" t="n"/>
      <c r="BK34" s="36" t="n"/>
      <c r="BL34" s="36" t="n"/>
      <c r="BM34" s="36" t="n"/>
      <c r="BN34" s="36" t="n"/>
      <c r="BO34" s="36" t="n"/>
      <c r="BP34" s="36" t="n"/>
      <c r="BQ34" s="36" t="n"/>
      <c r="BR34" s="36" t="n"/>
      <c r="BS34" s="36" t="n"/>
      <c r="BT34" s="36" t="n"/>
      <c r="BU34" s="36" t="n"/>
      <c r="BV34" s="36" t="n"/>
      <c r="BW34" s="36" t="n"/>
    </row>
    <row r="35" ht="34" customHeight="1">
      <c r="A35" s="37" t="n"/>
      <c r="B35" s="35" t="inlineStr"/>
      <c r="C35" s="26">
        <f>IF(TRIM($B35)="","",IFERROR(INDEX(People!$A$2:$A$199,MATCH(TRIM($B35),People!$B$2:$B$199,0)),IFERROR(INDEX(Teams!$A$2:$A$9,MATCH(TRIM($B35),Teams!$B$2:$B$9,0)),"?? CHECK NAME")))</f>
        <v/>
      </c>
      <c r="D35" s="36" t="n"/>
      <c r="E35" s="36" t="n"/>
      <c r="F35" s="36" t="n"/>
      <c r="G35" s="36" t="n"/>
      <c r="H35" s="36" t="n"/>
      <c r="I35" s="36" t="n"/>
      <c r="J35" s="36" t="n"/>
      <c r="K35" s="36" t="n"/>
      <c r="L35" s="36" t="n"/>
      <c r="M35" s="36" t="n"/>
      <c r="N35" s="36" t="n"/>
      <c r="O35" s="36" t="n"/>
      <c r="P35" s="36" t="n"/>
      <c r="Q35" s="36" t="n"/>
      <c r="R35" s="36" t="n"/>
      <c r="S35" s="36" t="n"/>
      <c r="T35" s="36" t="n"/>
      <c r="U35" s="36" t="n"/>
      <c r="V35" s="36" t="n"/>
      <c r="W35" s="36" t="n"/>
      <c r="X35" s="36" t="n"/>
      <c r="Y35" s="36" t="n"/>
      <c r="Z35" s="36" t="n"/>
      <c r="AA35" s="36" t="n"/>
      <c r="AB35" s="36" t="n"/>
      <c r="AC35" s="36" t="n"/>
      <c r="AD35" s="36" t="n"/>
      <c r="AE35" s="36" t="n"/>
      <c r="AF35" s="36" t="n"/>
      <c r="AG35" s="36" t="n"/>
      <c r="AH35" s="36" t="n"/>
      <c r="AI35" s="36" t="n"/>
      <c r="AJ35" s="36" t="n"/>
      <c r="AK35" s="36" t="n"/>
      <c r="AL35" s="36" t="n"/>
      <c r="AM35" s="36" t="n"/>
      <c r="AN35" s="36" t="n"/>
      <c r="AO35" s="36" t="n"/>
      <c r="AP35" s="36" t="n"/>
      <c r="AQ35" s="36" t="n"/>
      <c r="AR35" s="36" t="n"/>
      <c r="AS35" s="36" t="n"/>
      <c r="AT35" s="36" t="n"/>
      <c r="AU35" s="36" t="n"/>
      <c r="AV35" s="36" t="n"/>
      <c r="AW35" s="36" t="n"/>
      <c r="AX35" s="36" t="n"/>
      <c r="AY35" s="36" t="n"/>
      <c r="AZ35" s="36" t="n"/>
      <c r="BA35" s="36" t="n"/>
      <c r="BB35" s="36" t="n"/>
      <c r="BC35" s="36" t="n"/>
      <c r="BD35" s="36" t="n"/>
      <c r="BE35" s="36" t="n"/>
      <c r="BF35" s="36" t="n"/>
      <c r="BG35" s="36" t="n"/>
      <c r="BH35" s="36" t="n"/>
      <c r="BI35" s="36" t="n"/>
      <c r="BJ35" s="36" t="n"/>
      <c r="BK35" s="36" t="n"/>
      <c r="BL35" s="36" t="n"/>
      <c r="BM35" s="36" t="n"/>
      <c r="BN35" s="36" t="n"/>
      <c r="BO35" s="36" t="n"/>
      <c r="BP35" s="36" t="n"/>
      <c r="BQ35" s="36" t="n"/>
      <c r="BR35" s="36" t="n"/>
      <c r="BS35" s="36" t="n"/>
      <c r="BT35" s="36" t="n"/>
      <c r="BU35" s="36" t="n"/>
      <c r="BV35" s="36" t="n"/>
      <c r="BW35" s="36" t="n"/>
    </row>
    <row r="36" ht="34" customHeight="1">
      <c r="A36" s="37" t="n"/>
      <c r="B36" s="35" t="inlineStr"/>
      <c r="C36" s="26">
        <f>IF(TRIM($B36)="","",IFERROR(INDEX(People!$A$2:$A$199,MATCH(TRIM($B36),People!$B$2:$B$199,0)),IFERROR(INDEX(Teams!$A$2:$A$9,MATCH(TRIM($B36),Teams!$B$2:$B$9,0)),"?? CHECK NAME")))</f>
        <v/>
      </c>
      <c r="D36" s="36" t="n"/>
      <c r="E36" s="36" t="n"/>
      <c r="F36" s="36" t="n"/>
      <c r="G36" s="36" t="n"/>
      <c r="H36" s="36" t="n"/>
      <c r="I36" s="36" t="n"/>
      <c r="J36" s="36" t="n"/>
      <c r="K36" s="36" t="n"/>
      <c r="L36" s="36" t="n"/>
      <c r="M36" s="36" t="n"/>
      <c r="N36" s="36" t="n"/>
      <c r="O36" s="36" t="n"/>
      <c r="P36" s="36" t="n"/>
      <c r="Q36" s="36" t="n"/>
      <c r="R36" s="36" t="n"/>
      <c r="S36" s="36" t="n"/>
      <c r="T36" s="36" t="n"/>
      <c r="U36" s="36" t="n"/>
      <c r="V36" s="36" t="n"/>
      <c r="W36" s="36" t="n"/>
      <c r="X36" s="36" t="n"/>
      <c r="Y36" s="36" t="n"/>
      <c r="Z36" s="36" t="n"/>
      <c r="AA36" s="36" t="n"/>
      <c r="AB36" s="36" t="n"/>
      <c r="AC36" s="36" t="n"/>
      <c r="AD36" s="36" t="n"/>
      <c r="AE36" s="36" t="n"/>
      <c r="AF36" s="36" t="n"/>
      <c r="AG36" s="36" t="n"/>
      <c r="AH36" s="36" t="n"/>
      <c r="AI36" s="36" t="n"/>
      <c r="AJ36" s="36" t="n"/>
      <c r="AK36" s="36" t="n"/>
      <c r="AL36" s="36" t="n"/>
      <c r="AM36" s="36" t="n"/>
      <c r="AN36" s="36" t="n"/>
      <c r="AO36" s="36" t="n"/>
      <c r="AP36" s="36" t="n"/>
      <c r="AQ36" s="36" t="n"/>
      <c r="AR36" s="36" t="n"/>
      <c r="AS36" s="36" t="n"/>
      <c r="AT36" s="36" t="n"/>
      <c r="AU36" s="36" t="n"/>
      <c r="AV36" s="36" t="n"/>
      <c r="AW36" s="36" t="n"/>
      <c r="AX36" s="36" t="n"/>
      <c r="AY36" s="36" t="n"/>
      <c r="AZ36" s="36" t="n"/>
      <c r="BA36" s="36" t="n"/>
      <c r="BB36" s="36" t="n"/>
      <c r="BC36" s="36" t="n"/>
      <c r="BD36" s="36" t="n"/>
      <c r="BE36" s="36" t="n"/>
      <c r="BF36" s="36" t="n"/>
      <c r="BG36" s="36" t="n"/>
      <c r="BH36" s="36" t="n"/>
      <c r="BI36" s="36" t="n"/>
      <c r="BJ36" s="36" t="n"/>
      <c r="BK36" s="36" t="n"/>
      <c r="BL36" s="36" t="n"/>
      <c r="BM36" s="36" t="n"/>
      <c r="BN36" s="36" t="n"/>
      <c r="BO36" s="36" t="n"/>
      <c r="BP36" s="36" t="n"/>
      <c r="BQ36" s="36" t="n"/>
      <c r="BR36" s="36" t="n"/>
      <c r="BS36" s="36" t="n"/>
      <c r="BT36" s="36" t="n"/>
      <c r="BU36" s="36" t="n"/>
      <c r="BV36" s="36" t="n"/>
      <c r="BW36" s="36" t="n"/>
    </row>
    <row r="37" ht="34" customHeight="1">
      <c r="A37" s="37" t="n"/>
      <c r="B37" s="35" t="inlineStr"/>
      <c r="C37" s="26">
        <f>IF(TRIM($B37)="","",IFERROR(INDEX(People!$A$2:$A$199,MATCH(TRIM($B37),People!$B$2:$B$199,0)),IFERROR(INDEX(Teams!$A$2:$A$9,MATCH(TRIM($B37),Teams!$B$2:$B$9,0)),"?? CHECK NAME")))</f>
        <v/>
      </c>
      <c r="D37" s="36" t="n"/>
      <c r="E37" s="36" t="n"/>
      <c r="F37" s="36" t="n"/>
      <c r="G37" s="36" t="n"/>
      <c r="H37" s="36" t="n"/>
      <c r="I37" s="36" t="n"/>
      <c r="J37" s="36" t="n"/>
      <c r="K37" s="36" t="n"/>
      <c r="L37" s="36" t="n"/>
      <c r="M37" s="36" t="n"/>
      <c r="N37" s="36" t="n"/>
      <c r="O37" s="36" t="n"/>
      <c r="P37" s="36" t="n"/>
      <c r="Q37" s="36" t="n"/>
      <c r="R37" s="36" t="n"/>
      <c r="S37" s="36" t="n"/>
      <c r="T37" s="36" t="n"/>
      <c r="U37" s="36" t="n"/>
      <c r="V37" s="36" t="n"/>
      <c r="W37" s="36" t="n"/>
      <c r="X37" s="36" t="n"/>
      <c r="Y37" s="36" t="n"/>
      <c r="Z37" s="36" t="n"/>
      <c r="AA37" s="36" t="n"/>
      <c r="AB37" s="36" t="n"/>
      <c r="AC37" s="36" t="n"/>
      <c r="AD37" s="36" t="n"/>
      <c r="AE37" s="36" t="n"/>
      <c r="AF37" s="36" t="n"/>
      <c r="AG37" s="36" t="n"/>
      <c r="AH37" s="36" t="n"/>
      <c r="AI37" s="36" t="n"/>
      <c r="AJ37" s="36" t="n"/>
      <c r="AK37" s="36" t="n"/>
      <c r="AL37" s="36" t="n"/>
      <c r="AM37" s="36" t="n"/>
      <c r="AN37" s="36" t="n"/>
      <c r="AO37" s="36" t="n"/>
      <c r="AP37" s="36" t="n"/>
      <c r="AQ37" s="36" t="n"/>
      <c r="AR37" s="36" t="n"/>
      <c r="AS37" s="36" t="n"/>
      <c r="AT37" s="36" t="n"/>
      <c r="AU37" s="36" t="n"/>
      <c r="AV37" s="36" t="n"/>
      <c r="AW37" s="36" t="n"/>
      <c r="AX37" s="36" t="n"/>
      <c r="AY37" s="36" t="n"/>
      <c r="AZ37" s="36" t="n"/>
      <c r="BA37" s="36" t="n"/>
      <c r="BB37" s="36" t="n"/>
      <c r="BC37" s="36" t="n"/>
      <c r="BD37" s="36" t="n"/>
      <c r="BE37" s="36" t="n"/>
      <c r="BF37" s="36" t="n"/>
      <c r="BG37" s="36" t="n"/>
      <c r="BH37" s="36" t="n"/>
      <c r="BI37" s="36" t="n"/>
      <c r="BJ37" s="36" t="n"/>
      <c r="BK37" s="36" t="n"/>
      <c r="BL37" s="36" t="n"/>
      <c r="BM37" s="36" t="n"/>
      <c r="BN37" s="36" t="n"/>
      <c r="BO37" s="36" t="n"/>
      <c r="BP37" s="36" t="n"/>
      <c r="BQ37" s="36" t="n"/>
      <c r="BR37" s="36" t="n"/>
      <c r="BS37" s="36" t="n"/>
      <c r="BT37" s="36" t="n"/>
      <c r="BU37" s="36" t="n"/>
      <c r="BV37" s="36" t="n"/>
      <c r="BW37" s="36" t="n"/>
    </row>
    <row r="38" ht="34" customHeight="1">
      <c r="A38" s="38" t="n"/>
      <c r="B38" s="35" t="inlineStr"/>
      <c r="C38" s="26">
        <f>IF(TRIM($B38)="","",IFERROR(INDEX(People!$A$2:$A$199,MATCH(TRIM($B38),People!$B$2:$B$199,0)),IFERROR(INDEX(Teams!$A$2:$A$9,MATCH(TRIM($B38),Teams!$B$2:$B$9,0)),"?? CHECK NAME")))</f>
        <v/>
      </c>
      <c r="D38" s="36" t="n"/>
      <c r="E38" s="36" t="n"/>
      <c r="F38" s="36" t="n"/>
      <c r="G38" s="36" t="n"/>
      <c r="H38" s="36" t="n"/>
      <c r="I38" s="36" t="n"/>
      <c r="J38" s="36" t="n"/>
      <c r="K38" s="36" t="n"/>
      <c r="L38" s="36" t="n"/>
      <c r="M38" s="36" t="n"/>
      <c r="N38" s="36" t="n"/>
      <c r="O38" s="36" t="n"/>
      <c r="P38" s="36" t="n"/>
      <c r="Q38" s="36" t="n"/>
      <c r="R38" s="36" t="n"/>
      <c r="S38" s="36" t="n"/>
      <c r="T38" s="36" t="n"/>
      <c r="U38" s="36" t="n"/>
      <c r="V38" s="36" t="n"/>
      <c r="W38" s="36" t="n"/>
      <c r="X38" s="36" t="n"/>
      <c r="Y38" s="36" t="n"/>
      <c r="Z38" s="36" t="n"/>
      <c r="AA38" s="36" t="n"/>
      <c r="AB38" s="36" t="n"/>
      <c r="AC38" s="36" t="n"/>
      <c r="AD38" s="36" t="n"/>
      <c r="AE38" s="36" t="n"/>
      <c r="AF38" s="36" t="n"/>
      <c r="AG38" s="36" t="n"/>
      <c r="AH38" s="36" t="n"/>
      <c r="AI38" s="36" t="n"/>
      <c r="AJ38" s="36" t="n"/>
      <c r="AK38" s="36" t="n"/>
      <c r="AL38" s="36" t="n"/>
      <c r="AM38" s="36" t="n"/>
      <c r="AN38" s="36" t="n"/>
      <c r="AO38" s="36" t="n"/>
      <c r="AP38" s="36" t="n"/>
      <c r="AQ38" s="36" t="n"/>
      <c r="AR38" s="36" t="n"/>
      <c r="AS38" s="36" t="n"/>
      <c r="AT38" s="36" t="n"/>
      <c r="AU38" s="36" t="n"/>
      <c r="AV38" s="36" t="n"/>
      <c r="AW38" s="36" t="n"/>
      <c r="AX38" s="36" t="n"/>
      <c r="AY38" s="36" t="n"/>
      <c r="AZ38" s="36" t="n"/>
      <c r="BA38" s="36" t="n"/>
      <c r="BB38" s="36" t="n"/>
      <c r="BC38" s="36" t="n"/>
      <c r="BD38" s="36" t="n"/>
      <c r="BE38" s="36" t="n"/>
      <c r="BF38" s="36" t="n"/>
      <c r="BG38" s="36" t="n"/>
      <c r="BH38" s="36" t="n"/>
      <c r="BI38" s="36" t="n"/>
      <c r="BJ38" s="36" t="n"/>
      <c r="BK38" s="36" t="n"/>
      <c r="BL38" s="36" t="n"/>
      <c r="BM38" s="36" t="n"/>
      <c r="BN38" s="36" t="n"/>
      <c r="BO38" s="36" t="n"/>
      <c r="BP38" s="36" t="n"/>
      <c r="BQ38" s="36" t="n"/>
      <c r="BR38" s="36" t="n"/>
      <c r="BS38" s="36" t="n"/>
      <c r="BT38" s="36" t="n"/>
      <c r="BU38" s="36" t="n"/>
      <c r="BV38" s="36" t="n"/>
      <c r="BW38" s="36" t="n"/>
    </row>
    <row r="39" ht="34" customHeight="1">
      <c r="A39" s="16" t="inlineStr">
        <is>
          <t>PR</t>
        </is>
      </c>
      <c r="B39" s="35" t="inlineStr"/>
      <c r="C39" s="26">
        <f>IF(TRIM($B39)="","",IFERROR(INDEX(People!$A$2:$A$199,MATCH(TRIM($B39),People!$B$2:$B$199,0)),IFERROR(INDEX(Teams!$A$2:$A$9,MATCH(TRIM($B39),Teams!$B$2:$B$9,0)),"?? CHECK NAME")))</f>
        <v/>
      </c>
      <c r="D39" s="36" t="n"/>
      <c r="E39" s="36" t="n"/>
      <c r="F39" s="36" t="n"/>
      <c r="G39" s="36" t="n"/>
      <c r="H39" s="36" t="n"/>
      <c r="I39" s="36" t="n"/>
      <c r="J39" s="36" t="n"/>
      <c r="K39" s="36" t="n"/>
      <c r="L39" s="36" t="n"/>
      <c r="M39" s="36" t="n"/>
      <c r="N39" s="36" t="n"/>
      <c r="O39" s="36" t="n"/>
      <c r="P39" s="36" t="n"/>
      <c r="Q39" s="36" t="n"/>
      <c r="R39" s="36" t="n"/>
      <c r="S39" s="36" t="n"/>
      <c r="T39" s="36" t="n"/>
      <c r="U39" s="36" t="n"/>
      <c r="V39" s="36" t="n"/>
      <c r="W39" s="36" t="n"/>
      <c r="X39" s="36" t="n"/>
      <c r="Y39" s="36" t="n"/>
      <c r="Z39" s="36" t="n"/>
      <c r="AA39" s="36" t="n"/>
      <c r="AB39" s="36" t="n"/>
      <c r="AC39" s="36" t="n"/>
      <c r="AD39" s="36" t="n"/>
      <c r="AE39" s="36" t="n"/>
      <c r="AF39" s="36" t="n"/>
      <c r="AG39" s="36" t="n"/>
      <c r="AH39" s="36" t="n"/>
      <c r="AI39" s="36" t="n"/>
      <c r="AJ39" s="36" t="n"/>
      <c r="AK39" s="36" t="n"/>
      <c r="AL39" s="36" t="n"/>
      <c r="AM39" s="36" t="n"/>
      <c r="AN39" s="36" t="n"/>
      <c r="AO39" s="36" t="n"/>
      <c r="AP39" s="36" t="n"/>
      <c r="AQ39" s="36" t="n"/>
      <c r="AR39" s="36" t="n"/>
      <c r="AS39" s="36" t="n"/>
      <c r="AT39" s="36" t="n"/>
      <c r="AU39" s="36" t="n"/>
      <c r="AV39" s="36" t="n"/>
      <c r="AW39" s="36" t="n"/>
      <c r="AX39" s="36" t="n"/>
      <c r="AY39" s="36" t="n"/>
      <c r="AZ39" s="36" t="n"/>
      <c r="BA39" s="36" t="n"/>
      <c r="BB39" s="36" t="n"/>
      <c r="BC39" s="36" t="n"/>
      <c r="BD39" s="36" t="n"/>
      <c r="BE39" s="36" t="n"/>
      <c r="BF39" s="36" t="n"/>
      <c r="BG39" s="36" t="n"/>
      <c r="BH39" s="36" t="n"/>
      <c r="BI39" s="36" t="n"/>
      <c r="BJ39" s="36" t="n"/>
      <c r="BK39" s="36" t="n"/>
      <c r="BL39" s="36" t="n"/>
      <c r="BM39" s="36" t="n"/>
      <c r="BN39" s="36" t="n"/>
      <c r="BO39" s="36" t="n"/>
      <c r="BP39" s="36" t="n"/>
      <c r="BQ39" s="36" t="n"/>
      <c r="BR39" s="36" t="n"/>
      <c r="BS39" s="36" t="n"/>
      <c r="BT39" s="36" t="n"/>
      <c r="BU39" s="36" t="n"/>
      <c r="BV39" s="36" t="n"/>
      <c r="BW39" s="36" t="n"/>
    </row>
    <row r="40" ht="34" customHeight="1">
      <c r="A40" s="37" t="n"/>
      <c r="B40" s="35" t="inlineStr"/>
      <c r="C40" s="26">
        <f>IF(TRIM($B40)="","",IFERROR(INDEX(People!$A$2:$A$199,MATCH(TRIM($B40),People!$B$2:$B$199,0)),IFERROR(INDEX(Teams!$A$2:$A$9,MATCH(TRIM($B40),Teams!$B$2:$B$9,0)),"?? CHECK NAME")))</f>
        <v/>
      </c>
      <c r="D40" s="36" t="n"/>
      <c r="E40" s="36" t="n"/>
      <c r="F40" s="36" t="n"/>
      <c r="G40" s="36" t="n"/>
      <c r="H40" s="36" t="n"/>
      <c r="I40" s="36" t="n"/>
      <c r="J40" s="36" t="n"/>
      <c r="K40" s="36" t="n"/>
      <c r="L40" s="36" t="n"/>
      <c r="M40" s="36" t="n"/>
      <c r="N40" s="36" t="n"/>
      <c r="O40" s="36" t="n"/>
      <c r="P40" s="36" t="n"/>
      <c r="Q40" s="36" t="n"/>
      <c r="R40" s="36" t="n"/>
      <c r="S40" s="36" t="n"/>
      <c r="T40" s="36" t="n"/>
      <c r="U40" s="36" t="n"/>
      <c r="V40" s="36" t="n"/>
      <c r="W40" s="36" t="n"/>
      <c r="X40" s="36" t="n"/>
      <c r="Y40" s="36" t="n"/>
      <c r="Z40" s="36" t="n"/>
      <c r="AA40" s="36" t="n"/>
      <c r="AB40" s="36" t="n"/>
      <c r="AC40" s="36" t="n"/>
      <c r="AD40" s="36" t="n"/>
      <c r="AE40" s="36" t="n"/>
      <c r="AF40" s="36" t="n"/>
      <c r="AG40" s="36" t="n"/>
      <c r="AH40" s="36" t="n"/>
      <c r="AI40" s="36" t="n"/>
      <c r="AJ40" s="36" t="n"/>
      <c r="AK40" s="36" t="n"/>
      <c r="AL40" s="36" t="n"/>
      <c r="AM40" s="36" t="n"/>
      <c r="AN40" s="36" t="n"/>
      <c r="AO40" s="36" t="n"/>
      <c r="AP40" s="36" t="n"/>
      <c r="AQ40" s="36" t="n"/>
      <c r="AR40" s="36" t="n"/>
      <c r="AS40" s="36" t="n"/>
      <c r="AT40" s="36" t="n"/>
      <c r="AU40" s="36" t="n"/>
      <c r="AV40" s="36" t="n"/>
      <c r="AW40" s="36" t="n"/>
      <c r="AX40" s="36" t="n"/>
      <c r="AY40" s="36" t="n"/>
      <c r="AZ40" s="36" t="n"/>
      <c r="BA40" s="36" t="n"/>
      <c r="BB40" s="36" t="n"/>
      <c r="BC40" s="36" t="n"/>
      <c r="BD40" s="36" t="n"/>
      <c r="BE40" s="36" t="n"/>
      <c r="BF40" s="36" t="n"/>
      <c r="BG40" s="36" t="n"/>
      <c r="BH40" s="36" t="n"/>
      <c r="BI40" s="36" t="n"/>
      <c r="BJ40" s="36" t="n"/>
      <c r="BK40" s="36" t="n"/>
      <c r="BL40" s="36" t="n"/>
      <c r="BM40" s="36" t="n"/>
      <c r="BN40" s="36" t="n"/>
      <c r="BO40" s="36" t="n"/>
      <c r="BP40" s="36" t="n"/>
      <c r="BQ40" s="36" t="n"/>
      <c r="BR40" s="36" t="n"/>
      <c r="BS40" s="36" t="n"/>
      <c r="BT40" s="36" t="n"/>
      <c r="BU40" s="36" t="n"/>
      <c r="BV40" s="36" t="n"/>
      <c r="BW40" s="36" t="n"/>
    </row>
    <row r="41" ht="34" customHeight="1">
      <c r="A41" s="37" t="n"/>
      <c r="B41" s="35" t="inlineStr"/>
      <c r="C41" s="26">
        <f>IF(TRIM($B41)="","",IFERROR(INDEX(People!$A$2:$A$199,MATCH(TRIM($B41),People!$B$2:$B$199,0)),IFERROR(INDEX(Teams!$A$2:$A$9,MATCH(TRIM($B41),Teams!$B$2:$B$9,0)),"?? CHECK NAME")))</f>
        <v/>
      </c>
      <c r="D41" s="36" t="n"/>
      <c r="E41" s="36" t="n"/>
      <c r="F41" s="36" t="n"/>
      <c r="G41" s="36" t="n"/>
      <c r="H41" s="36" t="n"/>
      <c r="I41" s="36" t="n"/>
      <c r="J41" s="36" t="n"/>
      <c r="K41" s="36" t="n"/>
      <c r="L41" s="36" t="n"/>
      <c r="M41" s="36" t="n"/>
      <c r="N41" s="36" t="n"/>
      <c r="O41" s="36" t="n"/>
      <c r="P41" s="36" t="n"/>
      <c r="Q41" s="36" t="n"/>
      <c r="R41" s="36" t="n"/>
      <c r="S41" s="36" t="n"/>
      <c r="T41" s="36" t="n"/>
      <c r="U41" s="36" t="n"/>
      <c r="V41" s="36" t="n"/>
      <c r="W41" s="36" t="n"/>
      <c r="X41" s="36" t="n"/>
      <c r="Y41" s="36" t="n"/>
      <c r="Z41" s="36" t="n"/>
      <c r="AA41" s="36" t="n"/>
      <c r="AB41" s="36" t="n"/>
      <c r="AC41" s="36" t="n"/>
      <c r="AD41" s="36" t="n"/>
      <c r="AE41" s="36" t="n"/>
      <c r="AF41" s="36" t="n"/>
      <c r="AG41" s="36" t="n"/>
      <c r="AH41" s="36" t="n"/>
      <c r="AI41" s="36" t="n"/>
      <c r="AJ41" s="36" t="n"/>
      <c r="AK41" s="36" t="n"/>
      <c r="AL41" s="36" t="n"/>
      <c r="AM41" s="36" t="n"/>
      <c r="AN41" s="36" t="n"/>
      <c r="AO41" s="36" t="n"/>
      <c r="AP41" s="36" t="n"/>
      <c r="AQ41" s="36" t="n"/>
      <c r="AR41" s="36" t="n"/>
      <c r="AS41" s="36" t="n"/>
      <c r="AT41" s="36" t="n"/>
      <c r="AU41" s="36" t="n"/>
      <c r="AV41" s="36" t="n"/>
      <c r="AW41" s="36" t="n"/>
      <c r="AX41" s="36" t="n"/>
      <c r="AY41" s="36" t="n"/>
      <c r="AZ41" s="36" t="n"/>
      <c r="BA41" s="36" t="n"/>
      <c r="BB41" s="36" t="n"/>
      <c r="BC41" s="36" t="n"/>
      <c r="BD41" s="36" t="n"/>
      <c r="BE41" s="36" t="n"/>
      <c r="BF41" s="36" t="n"/>
      <c r="BG41" s="36" t="n"/>
      <c r="BH41" s="36" t="n"/>
      <c r="BI41" s="36" t="n"/>
      <c r="BJ41" s="36" t="n"/>
      <c r="BK41" s="36" t="n"/>
      <c r="BL41" s="36" t="n"/>
      <c r="BM41" s="36" t="n"/>
      <c r="BN41" s="36" t="n"/>
      <c r="BO41" s="36" t="n"/>
      <c r="BP41" s="36" t="n"/>
      <c r="BQ41" s="36" t="n"/>
      <c r="BR41" s="36" t="n"/>
      <c r="BS41" s="36" t="n"/>
      <c r="BT41" s="36" t="n"/>
      <c r="BU41" s="36" t="n"/>
      <c r="BV41" s="36" t="n"/>
      <c r="BW41" s="36" t="n"/>
    </row>
    <row r="42" ht="34" customHeight="1">
      <c r="A42" s="37" t="n"/>
      <c r="B42" s="35" t="inlineStr"/>
      <c r="C42" s="26">
        <f>IF(TRIM($B42)="","",IFERROR(INDEX(People!$A$2:$A$199,MATCH(TRIM($B42),People!$B$2:$B$199,0)),IFERROR(INDEX(Teams!$A$2:$A$9,MATCH(TRIM($B42),Teams!$B$2:$B$9,0)),"?? CHECK NAME")))</f>
        <v/>
      </c>
      <c r="D42" s="36" t="n"/>
      <c r="E42" s="36" t="n"/>
      <c r="F42" s="36" t="n"/>
      <c r="G42" s="36" t="n"/>
      <c r="H42" s="36" t="n"/>
      <c r="I42" s="36" t="n"/>
      <c r="J42" s="36" t="n"/>
      <c r="K42" s="36" t="n"/>
      <c r="L42" s="36" t="n"/>
      <c r="M42" s="36" t="n"/>
      <c r="N42" s="36" t="n"/>
      <c r="O42" s="36" t="n"/>
      <c r="P42" s="36" t="n"/>
      <c r="Q42" s="36" t="n"/>
      <c r="R42" s="36" t="n"/>
      <c r="S42" s="36" t="n"/>
      <c r="T42" s="36" t="n"/>
      <c r="U42" s="36" t="n"/>
      <c r="V42" s="36" t="n"/>
      <c r="W42" s="36" t="n"/>
      <c r="X42" s="36" t="n"/>
      <c r="Y42" s="36" t="n"/>
      <c r="Z42" s="36" t="n"/>
      <c r="AA42" s="36" t="n"/>
      <c r="AB42" s="36" t="n"/>
      <c r="AC42" s="36" t="n"/>
      <c r="AD42" s="36" t="n"/>
      <c r="AE42" s="36" t="n"/>
      <c r="AF42" s="36" t="n"/>
      <c r="AG42" s="36" t="n"/>
      <c r="AH42" s="36" t="n"/>
      <c r="AI42" s="36" t="n"/>
      <c r="AJ42" s="36" t="n"/>
      <c r="AK42" s="36" t="n"/>
      <c r="AL42" s="36" t="n"/>
      <c r="AM42" s="36" t="n"/>
      <c r="AN42" s="36" t="n"/>
      <c r="AO42" s="36" t="n"/>
      <c r="AP42" s="36" t="n"/>
      <c r="AQ42" s="36" t="n"/>
      <c r="AR42" s="36" t="n"/>
      <c r="AS42" s="36" t="n"/>
      <c r="AT42" s="36" t="n"/>
      <c r="AU42" s="36" t="n"/>
      <c r="AV42" s="36" t="n"/>
      <c r="AW42" s="36" t="n"/>
      <c r="AX42" s="36" t="n"/>
      <c r="AY42" s="36" t="n"/>
      <c r="AZ42" s="36" t="n"/>
      <c r="BA42" s="36" t="n"/>
      <c r="BB42" s="36" t="n"/>
      <c r="BC42" s="36" t="n"/>
      <c r="BD42" s="36" t="n"/>
      <c r="BE42" s="36" t="n"/>
      <c r="BF42" s="36" t="n"/>
      <c r="BG42" s="36" t="n"/>
      <c r="BH42" s="36" t="n"/>
      <c r="BI42" s="36" t="n"/>
      <c r="BJ42" s="36" t="n"/>
      <c r="BK42" s="36" t="n"/>
      <c r="BL42" s="36" t="n"/>
      <c r="BM42" s="36" t="n"/>
      <c r="BN42" s="36" t="n"/>
      <c r="BO42" s="36" t="n"/>
      <c r="BP42" s="36" t="n"/>
      <c r="BQ42" s="36" t="n"/>
      <c r="BR42" s="36" t="n"/>
      <c r="BS42" s="36" t="n"/>
      <c r="BT42" s="36" t="n"/>
      <c r="BU42" s="36" t="n"/>
      <c r="BV42" s="36" t="n"/>
      <c r="BW42" s="36" t="n"/>
    </row>
    <row r="43" ht="34" customHeight="1">
      <c r="A43" s="38" t="n"/>
      <c r="B43" s="35" t="inlineStr"/>
      <c r="C43" s="26">
        <f>IF(TRIM($B43)="","",IFERROR(INDEX(People!$A$2:$A$199,MATCH(TRIM($B43),People!$B$2:$B$199,0)),IFERROR(INDEX(Teams!$A$2:$A$9,MATCH(TRIM($B43),Teams!$B$2:$B$9,0)),"?? CHECK NAME")))</f>
        <v/>
      </c>
      <c r="D43" s="36" t="n"/>
      <c r="E43" s="36" t="n"/>
      <c r="F43" s="36" t="n"/>
      <c r="G43" s="36" t="n"/>
      <c r="H43" s="36" t="n"/>
      <c r="I43" s="36" t="n"/>
      <c r="J43" s="36" t="n"/>
      <c r="K43" s="36" t="n"/>
      <c r="L43" s="36" t="n"/>
      <c r="M43" s="36" t="n"/>
      <c r="N43" s="36" t="n"/>
      <c r="O43" s="36" t="n"/>
      <c r="P43" s="36" t="n"/>
      <c r="Q43" s="36" t="n"/>
      <c r="R43" s="36" t="n"/>
      <c r="S43" s="36" t="n"/>
      <c r="T43" s="36" t="n"/>
      <c r="U43" s="36" t="n"/>
      <c r="V43" s="36" t="n"/>
      <c r="W43" s="36" t="n"/>
      <c r="X43" s="36" t="n"/>
      <c r="Y43" s="36" t="n"/>
      <c r="Z43" s="36" t="n"/>
      <c r="AA43" s="36" t="n"/>
      <c r="AB43" s="36" t="n"/>
      <c r="AC43" s="36" t="n"/>
      <c r="AD43" s="36" t="n"/>
      <c r="AE43" s="36" t="n"/>
      <c r="AF43" s="36" t="n"/>
      <c r="AG43" s="36" t="n"/>
      <c r="AH43" s="36" t="n"/>
      <c r="AI43" s="36" t="n"/>
      <c r="AJ43" s="36" t="n"/>
      <c r="AK43" s="36" t="n"/>
      <c r="AL43" s="36" t="n"/>
      <c r="AM43" s="36" t="n"/>
      <c r="AN43" s="36" t="n"/>
      <c r="AO43" s="36" t="n"/>
      <c r="AP43" s="36" t="n"/>
      <c r="AQ43" s="36" t="n"/>
      <c r="AR43" s="36" t="n"/>
      <c r="AS43" s="36" t="n"/>
      <c r="AT43" s="36" t="n"/>
      <c r="AU43" s="36" t="n"/>
      <c r="AV43" s="36" t="n"/>
      <c r="AW43" s="36" t="n"/>
      <c r="AX43" s="36" t="n"/>
      <c r="AY43" s="36" t="n"/>
      <c r="AZ43" s="36" t="n"/>
      <c r="BA43" s="36" t="n"/>
      <c r="BB43" s="36" t="n"/>
      <c r="BC43" s="36" t="n"/>
      <c r="BD43" s="36" t="n"/>
      <c r="BE43" s="36" t="n"/>
      <c r="BF43" s="36" t="n"/>
      <c r="BG43" s="36" t="n"/>
      <c r="BH43" s="36" t="n"/>
      <c r="BI43" s="36" t="n"/>
      <c r="BJ43" s="36" t="n"/>
      <c r="BK43" s="36" t="n"/>
      <c r="BL43" s="36" t="n"/>
      <c r="BM43" s="36" t="n"/>
      <c r="BN43" s="36" t="n"/>
      <c r="BO43" s="36" t="n"/>
      <c r="BP43" s="36" t="n"/>
      <c r="BQ43" s="36" t="n"/>
      <c r="BR43" s="36" t="n"/>
      <c r="BS43" s="36" t="n"/>
      <c r="BT43" s="36" t="n"/>
      <c r="BU43" s="36" t="n"/>
      <c r="BV43" s="36" t="n"/>
      <c r="BW43" s="36" t="n"/>
    </row>
    <row r="44" ht="34" customHeight="1">
      <c r="A44" s="16" t="inlineStr">
        <is>
          <t>External</t>
        </is>
      </c>
      <c r="B44" s="35" t="inlineStr"/>
      <c r="C44" s="26">
        <f>IF(TRIM($B44)="","",IFERROR(INDEX(People!$A$2:$A$199,MATCH(TRIM($B44),People!$B$2:$B$199,0)),IFERROR(INDEX(Teams!$A$2:$A$9,MATCH(TRIM($B44),Teams!$B$2:$B$9,0)),"?? CHECK NAME")))</f>
        <v/>
      </c>
      <c r="D44" s="36" t="n"/>
      <c r="E44" s="36" t="n"/>
      <c r="F44" s="36" t="n"/>
      <c r="G44" s="36" t="n"/>
      <c r="H44" s="36" t="n"/>
      <c r="I44" s="36" t="n"/>
      <c r="J44" s="36" t="n"/>
      <c r="K44" s="36" t="n"/>
      <c r="L44" s="36" t="n"/>
      <c r="M44" s="36" t="n"/>
      <c r="N44" s="36" t="n"/>
      <c r="O44" s="36" t="n"/>
      <c r="P44" s="36" t="n"/>
      <c r="Q44" s="36" t="n"/>
      <c r="R44" s="36" t="n"/>
      <c r="S44" s="36" t="n"/>
      <c r="T44" s="36" t="n"/>
      <c r="U44" s="36" t="n"/>
      <c r="V44" s="36" t="n"/>
      <c r="W44" s="36" t="n"/>
      <c r="X44" s="36" t="n"/>
      <c r="Y44" s="36" t="n"/>
      <c r="Z44" s="36" t="n"/>
      <c r="AA44" s="36" t="n"/>
      <c r="AB44" s="36" t="n"/>
      <c r="AC44" s="36" t="n"/>
      <c r="AD44" s="36" t="n"/>
      <c r="AE44" s="36" t="n"/>
      <c r="AF44" s="36" t="n"/>
      <c r="AG44" s="36" t="n"/>
      <c r="AH44" s="36" t="n"/>
      <c r="AI44" s="36" t="n"/>
      <c r="AJ44" s="36" t="n"/>
      <c r="AK44" s="36" t="n"/>
      <c r="AL44" s="36" t="n"/>
      <c r="AM44" s="36" t="n"/>
      <c r="AN44" s="36" t="n"/>
      <c r="AO44" s="36" t="n"/>
      <c r="AP44" s="36" t="n"/>
      <c r="AQ44" s="36" t="n"/>
      <c r="AR44" s="36" t="n"/>
      <c r="AS44" s="36" t="n"/>
      <c r="AT44" s="36" t="n"/>
      <c r="AU44" s="36" t="n"/>
      <c r="AV44" s="36" t="n"/>
      <c r="AW44" s="36" t="n"/>
      <c r="AX44" s="36" t="n"/>
      <c r="AY44" s="36" t="n"/>
      <c r="AZ44" s="36" t="n"/>
      <c r="BA44" s="36" t="n"/>
      <c r="BB44" s="36" t="n"/>
      <c r="BC44" s="36" t="n"/>
      <c r="BD44" s="36" t="n"/>
      <c r="BE44" s="36" t="n"/>
      <c r="BF44" s="36" t="n"/>
      <c r="BG44" s="36" t="n"/>
      <c r="BH44" s="36" t="n"/>
      <c r="BI44" s="36" t="n"/>
      <c r="BJ44" s="36" t="n"/>
      <c r="BK44" s="36" t="n"/>
      <c r="BL44" s="36" t="n"/>
      <c r="BM44" s="36" t="n"/>
      <c r="BN44" s="36" t="n"/>
      <c r="BO44" s="36" t="n"/>
      <c r="BP44" s="36" t="n"/>
      <c r="BQ44" s="36" t="n"/>
      <c r="BR44" s="36" t="n"/>
      <c r="BS44" s="36" t="n"/>
      <c r="BT44" s="36" t="n"/>
      <c r="BU44" s="36" t="n"/>
      <c r="BV44" s="36" t="n"/>
      <c r="BW44" s="36" t="n"/>
    </row>
    <row r="45" ht="34" customHeight="1">
      <c r="A45" s="37" t="n"/>
      <c r="B45" s="35" t="inlineStr"/>
      <c r="C45" s="26">
        <f>IF(TRIM($B45)="","",IFERROR(INDEX(People!$A$2:$A$199,MATCH(TRIM($B45),People!$B$2:$B$199,0)),IFERROR(INDEX(Teams!$A$2:$A$9,MATCH(TRIM($B45),Teams!$B$2:$B$9,0)),"?? CHECK NAME")))</f>
        <v/>
      </c>
      <c r="D45" s="36" t="n"/>
      <c r="E45" s="36" t="n"/>
      <c r="F45" s="36" t="n"/>
      <c r="G45" s="36" t="n"/>
      <c r="H45" s="36" t="n"/>
      <c r="I45" s="36" t="n"/>
      <c r="J45" s="36" t="n"/>
      <c r="K45" s="36" t="n"/>
      <c r="L45" s="36" t="n"/>
      <c r="M45" s="36" t="n"/>
      <c r="N45" s="36" t="n"/>
      <c r="O45" s="36" t="n"/>
      <c r="P45" s="36" t="n"/>
      <c r="Q45" s="36" t="n"/>
      <c r="R45" s="36" t="n"/>
      <c r="S45" s="36" t="n"/>
      <c r="T45" s="36" t="n"/>
      <c r="U45" s="36" t="n"/>
      <c r="V45" s="36" t="n"/>
      <c r="W45" s="36" t="n"/>
      <c r="X45" s="36" t="n"/>
      <c r="Y45" s="36" t="n"/>
      <c r="Z45" s="36" t="n"/>
      <c r="AA45" s="36" t="n"/>
      <c r="AB45" s="36" t="n"/>
      <c r="AC45" s="36" t="n"/>
      <c r="AD45" s="36" t="n"/>
      <c r="AE45" s="36" t="n"/>
      <c r="AF45" s="36" t="n"/>
      <c r="AG45" s="36" t="n"/>
      <c r="AH45" s="36" t="n"/>
      <c r="AI45" s="36" t="n"/>
      <c r="AJ45" s="36" t="n"/>
      <c r="AK45" s="36" t="n"/>
      <c r="AL45" s="36" t="n"/>
      <c r="AM45" s="36" t="n"/>
      <c r="AN45" s="36" t="n"/>
      <c r="AO45" s="36" t="n"/>
      <c r="AP45" s="36" t="n"/>
      <c r="AQ45" s="36" t="n"/>
      <c r="AR45" s="36" t="n"/>
      <c r="AS45" s="36" t="n"/>
      <c r="AT45" s="36" t="n"/>
      <c r="AU45" s="36" t="n"/>
      <c r="AV45" s="36" t="n"/>
      <c r="AW45" s="36" t="n"/>
      <c r="AX45" s="36" t="n"/>
      <c r="AY45" s="36" t="n"/>
      <c r="AZ45" s="36" t="n"/>
      <c r="BA45" s="36" t="n"/>
      <c r="BB45" s="36" t="n"/>
      <c r="BC45" s="36" t="n"/>
      <c r="BD45" s="36" t="n"/>
      <c r="BE45" s="36" t="n"/>
      <c r="BF45" s="36" t="n"/>
      <c r="BG45" s="36" t="n"/>
      <c r="BH45" s="36" t="n"/>
      <c r="BI45" s="36" t="n"/>
      <c r="BJ45" s="36" t="n"/>
      <c r="BK45" s="36" t="n"/>
      <c r="BL45" s="36" t="n"/>
      <c r="BM45" s="36" t="n"/>
      <c r="BN45" s="36" t="n"/>
      <c r="BO45" s="36" t="n"/>
      <c r="BP45" s="36" t="n"/>
      <c r="BQ45" s="36" t="n"/>
      <c r="BR45" s="36" t="n"/>
      <c r="BS45" s="36" t="n"/>
      <c r="BT45" s="36" t="n"/>
      <c r="BU45" s="36" t="n"/>
      <c r="BV45" s="36" t="n"/>
      <c r="BW45" s="36" t="n"/>
    </row>
    <row r="46" ht="34" customHeight="1">
      <c r="A46" s="37" t="n"/>
      <c r="B46" s="35" t="inlineStr"/>
      <c r="C46" s="26">
        <f>IF(TRIM($B46)="","",IFERROR(INDEX(People!$A$2:$A$199,MATCH(TRIM($B46),People!$B$2:$B$199,0)),IFERROR(INDEX(Teams!$A$2:$A$9,MATCH(TRIM($B46),Teams!$B$2:$B$9,0)),"?? CHECK NAME")))</f>
        <v/>
      </c>
      <c r="D46" s="36" t="n"/>
      <c r="E46" s="36" t="n"/>
      <c r="F46" s="36" t="n"/>
      <c r="G46" s="36" t="n"/>
      <c r="H46" s="36" t="n"/>
      <c r="I46" s="36" t="n"/>
      <c r="J46" s="36" t="n"/>
      <c r="K46" s="36" t="n"/>
      <c r="L46" s="36" t="n"/>
      <c r="M46" s="36" t="n"/>
      <c r="N46" s="36" t="n"/>
      <c r="O46" s="36" t="n"/>
      <c r="P46" s="36" t="n"/>
      <c r="Q46" s="36" t="n"/>
      <c r="R46" s="36" t="n"/>
      <c r="S46" s="36" t="n"/>
      <c r="T46" s="36" t="n"/>
      <c r="U46" s="36" t="n"/>
      <c r="V46" s="36" t="n"/>
      <c r="W46" s="36" t="n"/>
      <c r="X46" s="36" t="n"/>
      <c r="Y46" s="36" t="n"/>
      <c r="Z46" s="36" t="n"/>
      <c r="AA46" s="36" t="n"/>
      <c r="AB46" s="36" t="n"/>
      <c r="AC46" s="36" t="n"/>
      <c r="AD46" s="36" t="n"/>
      <c r="AE46" s="36" t="n"/>
      <c r="AF46" s="36" t="n"/>
      <c r="AG46" s="36" t="n"/>
      <c r="AH46" s="36" t="n"/>
      <c r="AI46" s="36" t="n"/>
      <c r="AJ46" s="36" t="n"/>
      <c r="AK46" s="36" t="n"/>
      <c r="AL46" s="36" t="n"/>
      <c r="AM46" s="36" t="n"/>
      <c r="AN46" s="36" t="n"/>
      <c r="AO46" s="36" t="n"/>
      <c r="AP46" s="36" t="n"/>
      <c r="AQ46" s="36" t="n"/>
      <c r="AR46" s="36" t="n"/>
      <c r="AS46" s="36" t="n"/>
      <c r="AT46" s="36" t="n"/>
      <c r="AU46" s="36" t="n"/>
      <c r="AV46" s="36" t="n"/>
      <c r="AW46" s="36" t="n"/>
      <c r="AX46" s="36" t="n"/>
      <c r="AY46" s="36" t="n"/>
      <c r="AZ46" s="36" t="n"/>
      <c r="BA46" s="36" t="n"/>
      <c r="BB46" s="36" t="n"/>
      <c r="BC46" s="36" t="n"/>
      <c r="BD46" s="36" t="n"/>
      <c r="BE46" s="36" t="n"/>
      <c r="BF46" s="36" t="n"/>
      <c r="BG46" s="36" t="n"/>
      <c r="BH46" s="36" t="n"/>
      <c r="BI46" s="36" t="n"/>
      <c r="BJ46" s="36" t="n"/>
      <c r="BK46" s="36" t="n"/>
      <c r="BL46" s="36" t="n"/>
      <c r="BM46" s="36" t="n"/>
      <c r="BN46" s="36" t="n"/>
      <c r="BO46" s="36" t="n"/>
      <c r="BP46" s="36" t="n"/>
      <c r="BQ46" s="36" t="n"/>
      <c r="BR46" s="36" t="n"/>
      <c r="BS46" s="36" t="n"/>
      <c r="BT46" s="36" t="n"/>
      <c r="BU46" s="36" t="n"/>
      <c r="BV46" s="36" t="n"/>
      <c r="BW46" s="36" t="n"/>
    </row>
    <row r="47" ht="34" customHeight="1">
      <c r="A47" s="37" t="n"/>
      <c r="B47" s="35" t="inlineStr"/>
      <c r="C47" s="26">
        <f>IF(TRIM($B47)="","",IFERROR(INDEX(People!$A$2:$A$199,MATCH(TRIM($B47),People!$B$2:$B$199,0)),IFERROR(INDEX(Teams!$A$2:$A$9,MATCH(TRIM($B47),Teams!$B$2:$B$9,0)),"?? CHECK NAME")))</f>
        <v/>
      </c>
      <c r="D47" s="36" t="n"/>
      <c r="E47" s="36" t="n"/>
      <c r="F47" s="36" t="n"/>
      <c r="G47" s="36" t="n"/>
      <c r="H47" s="36" t="n"/>
      <c r="I47" s="36" t="n"/>
      <c r="J47" s="36" t="n"/>
      <c r="K47" s="36" t="n"/>
      <c r="L47" s="36" t="n"/>
      <c r="M47" s="36" t="n"/>
      <c r="N47" s="36" t="n"/>
      <c r="O47" s="36" t="n"/>
      <c r="P47" s="36" t="n"/>
      <c r="Q47" s="36" t="n"/>
      <c r="R47" s="36" t="n"/>
      <c r="S47" s="36" t="n"/>
      <c r="T47" s="36" t="n"/>
      <c r="U47" s="36" t="n"/>
      <c r="V47" s="36" t="n"/>
      <c r="W47" s="36" t="n"/>
      <c r="X47" s="36" t="n"/>
      <c r="Y47" s="36" t="n"/>
      <c r="Z47" s="36" t="n"/>
      <c r="AA47" s="36" t="n"/>
      <c r="AB47" s="36" t="n"/>
      <c r="AC47" s="36" t="n"/>
      <c r="AD47" s="36" t="n"/>
      <c r="AE47" s="36" t="n"/>
      <c r="AF47" s="36" t="n"/>
      <c r="AG47" s="36" t="n"/>
      <c r="AH47" s="36" t="n"/>
      <c r="AI47" s="36" t="n"/>
      <c r="AJ47" s="36" t="n"/>
      <c r="AK47" s="36" t="n"/>
      <c r="AL47" s="36" t="n"/>
      <c r="AM47" s="36" t="n"/>
      <c r="AN47" s="36" t="n"/>
      <c r="AO47" s="36" t="n"/>
      <c r="AP47" s="36" t="n"/>
      <c r="AQ47" s="36" t="n"/>
      <c r="AR47" s="36" t="n"/>
      <c r="AS47" s="36" t="n"/>
      <c r="AT47" s="36" t="n"/>
      <c r="AU47" s="36" t="n"/>
      <c r="AV47" s="36" t="n"/>
      <c r="AW47" s="36" t="n"/>
      <c r="AX47" s="36" t="n"/>
      <c r="AY47" s="36" t="n"/>
      <c r="AZ47" s="36" t="n"/>
      <c r="BA47" s="36" t="n"/>
      <c r="BB47" s="36" t="n"/>
      <c r="BC47" s="36" t="n"/>
      <c r="BD47" s="36" t="n"/>
      <c r="BE47" s="36" t="n"/>
      <c r="BF47" s="36" t="n"/>
      <c r="BG47" s="36" t="n"/>
      <c r="BH47" s="36" t="n"/>
      <c r="BI47" s="36" t="n"/>
      <c r="BJ47" s="36" t="n"/>
      <c r="BK47" s="36" t="n"/>
      <c r="BL47" s="36" t="n"/>
      <c r="BM47" s="36" t="n"/>
      <c r="BN47" s="36" t="n"/>
      <c r="BO47" s="36" t="n"/>
      <c r="BP47" s="36" t="n"/>
      <c r="BQ47" s="36" t="n"/>
      <c r="BR47" s="36" t="n"/>
      <c r="BS47" s="36" t="n"/>
      <c r="BT47" s="36" t="n"/>
      <c r="BU47" s="36" t="n"/>
      <c r="BV47" s="36" t="n"/>
      <c r="BW47" s="36" t="n"/>
    </row>
    <row r="48" ht="34" customHeight="1">
      <c r="A48" s="38" t="n"/>
      <c r="B48" s="35" t="inlineStr"/>
      <c r="C48" s="26">
        <f>IF(TRIM($B48)="","",IFERROR(INDEX(People!$A$2:$A$199,MATCH(TRIM($B48),People!$B$2:$B$199,0)),IFERROR(INDEX(Teams!$A$2:$A$9,MATCH(TRIM($B48),Teams!$B$2:$B$9,0)),"?? CHECK NAME")))</f>
        <v/>
      </c>
      <c r="D48" s="36" t="n"/>
      <c r="E48" s="36" t="n"/>
      <c r="F48" s="36" t="n"/>
      <c r="G48" s="36" t="n"/>
      <c r="H48" s="36" t="n"/>
      <c r="I48" s="36" t="n"/>
      <c r="J48" s="36" t="n"/>
      <c r="K48" s="36" t="n"/>
      <c r="L48" s="36" t="n"/>
      <c r="M48" s="36" t="n"/>
      <c r="N48" s="36" t="n"/>
      <c r="O48" s="36" t="n"/>
      <c r="P48" s="36" t="n"/>
      <c r="Q48" s="36" t="n"/>
      <c r="R48" s="36" t="n"/>
      <c r="S48" s="36" t="n"/>
      <c r="T48" s="36" t="n"/>
      <c r="U48" s="36" t="n"/>
      <c r="V48" s="36" t="n"/>
      <c r="W48" s="36" t="n"/>
      <c r="X48" s="36" t="n"/>
      <c r="Y48" s="36" t="n"/>
      <c r="Z48" s="36" t="n"/>
      <c r="AA48" s="36" t="n"/>
      <c r="AB48" s="36" t="n"/>
      <c r="AC48" s="36" t="n"/>
      <c r="AD48" s="36" t="n"/>
      <c r="AE48" s="36" t="n"/>
      <c r="AF48" s="36" t="n"/>
      <c r="AG48" s="36" t="n"/>
      <c r="AH48" s="36" t="n"/>
      <c r="AI48" s="36" t="n"/>
      <c r="AJ48" s="36" t="n"/>
      <c r="AK48" s="36" t="n"/>
      <c r="AL48" s="36" t="n"/>
      <c r="AM48" s="36" t="n"/>
      <c r="AN48" s="36" t="n"/>
      <c r="AO48" s="36" t="n"/>
      <c r="AP48" s="36" t="n"/>
      <c r="AQ48" s="36" t="n"/>
      <c r="AR48" s="36" t="n"/>
      <c r="AS48" s="36" t="n"/>
      <c r="AT48" s="36" t="n"/>
      <c r="AU48" s="36" t="n"/>
      <c r="AV48" s="36" t="n"/>
      <c r="AW48" s="36" t="n"/>
      <c r="AX48" s="36" t="n"/>
      <c r="AY48" s="36" t="n"/>
      <c r="AZ48" s="36" t="n"/>
      <c r="BA48" s="36" t="n"/>
      <c r="BB48" s="36" t="n"/>
      <c r="BC48" s="36" t="n"/>
      <c r="BD48" s="36" t="n"/>
      <c r="BE48" s="36" t="n"/>
      <c r="BF48" s="36" t="n"/>
      <c r="BG48" s="36" t="n"/>
      <c r="BH48" s="36" t="n"/>
      <c r="BI48" s="36" t="n"/>
      <c r="BJ48" s="36" t="n"/>
      <c r="BK48" s="36" t="n"/>
      <c r="BL48" s="36" t="n"/>
      <c r="BM48" s="36" t="n"/>
      <c r="BN48" s="36" t="n"/>
      <c r="BO48" s="36" t="n"/>
      <c r="BP48" s="36" t="n"/>
      <c r="BQ48" s="36" t="n"/>
      <c r="BR48" s="36" t="n"/>
      <c r="BS48" s="36" t="n"/>
      <c r="BT48" s="36" t="n"/>
      <c r="BU48" s="36" t="n"/>
      <c r="BV48" s="36" t="n"/>
      <c r="BW48" s="36" t="n"/>
    </row>
    <row r="49" ht="34" customHeight="1">
      <c r="A49" s="16" t="inlineStr">
        <is>
          <t>Judging</t>
        </is>
      </c>
      <c r="B49" s="35" t="inlineStr"/>
      <c r="C49" s="26">
        <f>IF(TRIM($B49)="","",IFERROR(INDEX(People!$A$2:$A$199,MATCH(TRIM($B49),People!$B$2:$B$199,0)),IFERROR(INDEX(Teams!$A$2:$A$9,MATCH(TRIM($B49),Teams!$B$2:$B$9,0)),"?? CHECK NAME")))</f>
        <v/>
      </c>
      <c r="D49" s="36" t="n"/>
      <c r="E49" s="36" t="n"/>
      <c r="F49" s="36" t="n"/>
      <c r="G49" s="36" t="n"/>
      <c r="H49" s="36" t="n"/>
      <c r="I49" s="36" t="n"/>
      <c r="J49" s="36" t="n"/>
      <c r="K49" s="36" t="n"/>
      <c r="L49" s="36" t="n"/>
      <c r="M49" s="36" t="n"/>
      <c r="N49" s="36" t="n"/>
      <c r="O49" s="36" t="n"/>
      <c r="P49" s="36" t="n"/>
      <c r="Q49" s="36" t="n"/>
      <c r="R49" s="36" t="n"/>
      <c r="S49" s="36" t="n"/>
      <c r="T49" s="36" t="n"/>
      <c r="U49" s="36" t="n"/>
      <c r="V49" s="36" t="n"/>
      <c r="W49" s="36" t="n"/>
      <c r="X49" s="36" t="n"/>
      <c r="Y49" s="36" t="n"/>
      <c r="Z49" s="36" t="n"/>
      <c r="AA49" s="36" t="n"/>
      <c r="AB49" s="36" t="n"/>
      <c r="AC49" s="36" t="n"/>
      <c r="AD49" s="36" t="n"/>
      <c r="AE49" s="36" t="n"/>
      <c r="AF49" s="36" t="n"/>
      <c r="AG49" s="36" t="n"/>
      <c r="AH49" s="36" t="n"/>
      <c r="AI49" s="36" t="n"/>
      <c r="AJ49" s="36" t="n"/>
      <c r="AK49" s="36" t="n"/>
      <c r="AL49" s="36" t="n"/>
      <c r="AM49" s="36" t="n"/>
      <c r="AN49" s="36" t="n"/>
      <c r="AO49" s="36" t="n"/>
      <c r="AP49" s="36" t="n"/>
      <c r="AQ49" s="36" t="n"/>
      <c r="AR49" s="36" t="n"/>
      <c r="AS49" s="36" t="n"/>
      <c r="AT49" s="36" t="n"/>
      <c r="AU49" s="36" t="n"/>
      <c r="AV49" s="36" t="n"/>
      <c r="AW49" s="36" t="n"/>
      <c r="AX49" s="36" t="n"/>
      <c r="AY49" s="36" t="n"/>
      <c r="AZ49" s="36" t="n"/>
      <c r="BA49" s="36" t="n"/>
      <c r="BB49" s="36" t="n"/>
      <c r="BC49" s="36" t="n"/>
      <c r="BD49" s="36" t="n"/>
      <c r="BE49" s="36" t="n"/>
      <c r="BF49" s="36" t="n"/>
      <c r="BG49" s="36" t="n"/>
      <c r="BH49" s="36" t="n"/>
      <c r="BI49" s="36" t="n"/>
      <c r="BJ49" s="36" t="n"/>
      <c r="BK49" s="36" t="n"/>
      <c r="BL49" s="36" t="n"/>
      <c r="BM49" s="36" t="n"/>
      <c r="BN49" s="36" t="n"/>
      <c r="BO49" s="36" t="n"/>
      <c r="BP49" s="36" t="n"/>
      <c r="BQ49" s="36" t="n"/>
      <c r="BR49" s="36" t="n"/>
      <c r="BS49" s="36" t="n"/>
      <c r="BT49" s="36" t="n"/>
      <c r="BU49" s="36" t="n"/>
      <c r="BV49" s="36" t="n"/>
      <c r="BW49" s="36" t="n"/>
    </row>
    <row r="50" ht="34" customHeight="1">
      <c r="A50" s="37" t="n"/>
      <c r="B50" s="35" t="inlineStr"/>
      <c r="C50" s="26">
        <f>IF(TRIM($B50)="","",IFERROR(INDEX(People!$A$2:$A$199,MATCH(TRIM($B50),People!$B$2:$B$199,0)),IFERROR(INDEX(Teams!$A$2:$A$9,MATCH(TRIM($B50),Teams!$B$2:$B$9,0)),"?? CHECK NAME")))</f>
        <v/>
      </c>
      <c r="D50" s="36" t="n"/>
      <c r="E50" s="36" t="n"/>
      <c r="F50" s="36" t="n"/>
      <c r="G50" s="36" t="n"/>
      <c r="H50" s="36" t="n"/>
      <c r="I50" s="36" t="n"/>
      <c r="J50" s="36" t="n"/>
      <c r="K50" s="36" t="n"/>
      <c r="L50" s="36" t="n"/>
      <c r="M50" s="36" t="n"/>
      <c r="N50" s="36" t="n"/>
      <c r="O50" s="36" t="n"/>
      <c r="P50" s="36" t="n"/>
      <c r="Q50" s="36" t="n"/>
      <c r="R50" s="36" t="n"/>
      <c r="S50" s="36" t="n"/>
      <c r="T50" s="36" t="n"/>
      <c r="U50" s="36" t="n"/>
      <c r="V50" s="36" t="n"/>
      <c r="W50" s="36" t="n"/>
      <c r="X50" s="36" t="n"/>
      <c r="Y50" s="36" t="n"/>
      <c r="Z50" s="36" t="n"/>
      <c r="AA50" s="36" t="n"/>
      <c r="AB50" s="36" t="n"/>
      <c r="AC50" s="36" t="n"/>
      <c r="AD50" s="36" t="n"/>
      <c r="AE50" s="36" t="n"/>
      <c r="AF50" s="36" t="n"/>
      <c r="AG50" s="36" t="n"/>
      <c r="AH50" s="36" t="n"/>
      <c r="AI50" s="36" t="n"/>
      <c r="AJ50" s="36" t="n"/>
      <c r="AK50" s="36" t="n"/>
      <c r="AL50" s="36" t="n"/>
      <c r="AM50" s="36" t="n"/>
      <c r="AN50" s="36" t="n"/>
      <c r="AO50" s="36" t="n"/>
      <c r="AP50" s="36" t="n"/>
      <c r="AQ50" s="36" t="n"/>
      <c r="AR50" s="36" t="n"/>
      <c r="AS50" s="36" t="n"/>
      <c r="AT50" s="36" t="n"/>
      <c r="AU50" s="36" t="n"/>
      <c r="AV50" s="36" t="n"/>
      <c r="AW50" s="36" t="n"/>
      <c r="AX50" s="36" t="n"/>
      <c r="AY50" s="36" t="n"/>
      <c r="AZ50" s="36" t="n"/>
      <c r="BA50" s="36" t="n"/>
      <c r="BB50" s="36" t="n"/>
      <c r="BC50" s="36" t="n"/>
      <c r="BD50" s="36" t="n"/>
      <c r="BE50" s="36" t="n"/>
      <c r="BF50" s="36" t="n"/>
      <c r="BG50" s="36" t="n"/>
      <c r="BH50" s="36" t="n"/>
      <c r="BI50" s="36" t="n"/>
      <c r="BJ50" s="36" t="n"/>
      <c r="BK50" s="36" t="n"/>
      <c r="BL50" s="36" t="n"/>
      <c r="BM50" s="36" t="n"/>
      <c r="BN50" s="36" t="n"/>
      <c r="BO50" s="36" t="n"/>
      <c r="BP50" s="36" t="n"/>
      <c r="BQ50" s="36" t="n"/>
      <c r="BR50" s="36" t="n"/>
      <c r="BS50" s="36" t="n"/>
      <c r="BT50" s="36" t="n"/>
      <c r="BU50" s="36" t="n"/>
      <c r="BV50" s="36" t="n"/>
      <c r="BW50" s="36" t="n"/>
    </row>
    <row r="51" ht="34" customHeight="1">
      <c r="A51" s="37" t="n"/>
      <c r="B51" s="35" t="inlineStr"/>
      <c r="C51" s="26">
        <f>IF(TRIM($B51)="","",IFERROR(INDEX(People!$A$2:$A$199,MATCH(TRIM($B51),People!$B$2:$B$199,0)),IFERROR(INDEX(Teams!$A$2:$A$9,MATCH(TRIM($B51),Teams!$B$2:$B$9,0)),"?? CHECK NAME")))</f>
        <v/>
      </c>
      <c r="D51" s="36" t="n"/>
      <c r="E51" s="36" t="n"/>
      <c r="F51" s="36" t="n"/>
      <c r="G51" s="36" t="n"/>
      <c r="H51" s="36" t="n"/>
      <c r="I51" s="36" t="n"/>
      <c r="J51" s="36" t="n"/>
      <c r="K51" s="36" t="n"/>
      <c r="L51" s="36" t="n"/>
      <c r="M51" s="36" t="n"/>
      <c r="N51" s="36" t="n"/>
      <c r="O51" s="36" t="n"/>
      <c r="P51" s="36" t="n"/>
      <c r="Q51" s="36" t="n"/>
      <c r="R51" s="36" t="n"/>
      <c r="S51" s="36" t="n"/>
      <c r="T51" s="36" t="n"/>
      <c r="U51" s="36" t="n"/>
      <c r="V51" s="36" t="n"/>
      <c r="W51" s="36" t="n"/>
      <c r="X51" s="36" t="n"/>
      <c r="Y51" s="36" t="n"/>
      <c r="Z51" s="36" t="n"/>
      <c r="AA51" s="36" t="n"/>
      <c r="AB51" s="36" t="n"/>
      <c r="AC51" s="36" t="n"/>
      <c r="AD51" s="36" t="n"/>
      <c r="AE51" s="36" t="n"/>
      <c r="AF51" s="36" t="n"/>
      <c r="AG51" s="36" t="n"/>
      <c r="AH51" s="36" t="n"/>
      <c r="AI51" s="36" t="n"/>
      <c r="AJ51" s="36" t="n"/>
      <c r="AK51" s="36" t="n"/>
      <c r="AL51" s="36" t="n"/>
      <c r="AM51" s="36" t="n"/>
      <c r="AN51" s="36" t="n"/>
      <c r="AO51" s="36" t="n"/>
      <c r="AP51" s="36" t="n"/>
      <c r="AQ51" s="36" t="n"/>
      <c r="AR51" s="36" t="n"/>
      <c r="AS51" s="36" t="n"/>
      <c r="AT51" s="36" t="n"/>
      <c r="AU51" s="36" t="n"/>
      <c r="AV51" s="36" t="n"/>
      <c r="AW51" s="36" t="n"/>
      <c r="AX51" s="36" t="n"/>
      <c r="AY51" s="36" t="n"/>
      <c r="AZ51" s="36" t="n"/>
      <c r="BA51" s="36" t="n"/>
      <c r="BB51" s="36" t="n"/>
      <c r="BC51" s="36" t="n"/>
      <c r="BD51" s="36" t="n"/>
      <c r="BE51" s="36" t="n"/>
      <c r="BF51" s="36" t="n"/>
      <c r="BG51" s="36" t="n"/>
      <c r="BH51" s="36" t="n"/>
      <c r="BI51" s="36" t="n"/>
      <c r="BJ51" s="36" t="n"/>
      <c r="BK51" s="36" t="n"/>
      <c r="BL51" s="36" t="n"/>
      <c r="BM51" s="36" t="n"/>
      <c r="BN51" s="36" t="n"/>
      <c r="BO51" s="36" t="n"/>
      <c r="BP51" s="36" t="n"/>
      <c r="BQ51" s="36" t="n"/>
      <c r="BR51" s="36" t="n"/>
      <c r="BS51" s="36" t="n"/>
      <c r="BT51" s="36" t="n"/>
      <c r="BU51" s="36" t="n"/>
      <c r="BV51" s="36" t="n"/>
      <c r="BW51" s="36" t="n"/>
    </row>
    <row r="52" ht="34" customHeight="1">
      <c r="A52" s="37" t="n"/>
      <c r="B52" s="35" t="inlineStr"/>
      <c r="C52" s="26">
        <f>IF(TRIM($B52)="","",IFERROR(INDEX(People!$A$2:$A$199,MATCH(TRIM($B52),People!$B$2:$B$199,0)),IFERROR(INDEX(Teams!$A$2:$A$9,MATCH(TRIM($B52),Teams!$B$2:$B$9,0)),"?? CHECK NAME")))</f>
        <v/>
      </c>
      <c r="D52" s="36" t="n"/>
      <c r="E52" s="36" t="n"/>
      <c r="F52" s="36" t="n"/>
      <c r="G52" s="36" t="n"/>
      <c r="H52" s="36" t="n"/>
      <c r="I52" s="36" t="n"/>
      <c r="J52" s="36" t="n"/>
      <c r="K52" s="36" t="n"/>
      <c r="L52" s="36" t="n"/>
      <c r="M52" s="36" t="n"/>
      <c r="N52" s="36" t="n"/>
      <c r="O52" s="36" t="n"/>
      <c r="P52" s="36" t="n"/>
      <c r="Q52" s="36" t="n"/>
      <c r="R52" s="36" t="n"/>
      <c r="S52" s="36" t="n"/>
      <c r="T52" s="36" t="n"/>
      <c r="U52" s="36" t="n"/>
      <c r="V52" s="36" t="n"/>
      <c r="W52" s="36" t="n"/>
      <c r="X52" s="36" t="n"/>
      <c r="Y52" s="36" t="n"/>
      <c r="Z52" s="36" t="n"/>
      <c r="AA52" s="36" t="n"/>
      <c r="AB52" s="36" t="n"/>
      <c r="AC52" s="36" t="n"/>
      <c r="AD52" s="36" t="n"/>
      <c r="AE52" s="36" t="n"/>
      <c r="AF52" s="36" t="n"/>
      <c r="AG52" s="36" t="n"/>
      <c r="AH52" s="36" t="n"/>
      <c r="AI52" s="36" t="n"/>
      <c r="AJ52" s="36" t="n"/>
      <c r="AK52" s="36" t="n"/>
      <c r="AL52" s="36" t="n"/>
      <c r="AM52" s="36" t="n"/>
      <c r="AN52" s="36" t="n"/>
      <c r="AO52" s="36" t="n"/>
      <c r="AP52" s="36" t="n"/>
      <c r="AQ52" s="36" t="n"/>
      <c r="AR52" s="36" t="n"/>
      <c r="AS52" s="36" t="n"/>
      <c r="AT52" s="36" t="n"/>
      <c r="AU52" s="36" t="n"/>
      <c r="AV52" s="36" t="n"/>
      <c r="AW52" s="36" t="n"/>
      <c r="AX52" s="36" t="n"/>
      <c r="AY52" s="36" t="n"/>
      <c r="AZ52" s="36" t="n"/>
      <c r="BA52" s="36" t="n"/>
      <c r="BB52" s="36" t="n"/>
      <c r="BC52" s="36" t="n"/>
      <c r="BD52" s="36" t="n"/>
      <c r="BE52" s="36" t="n"/>
      <c r="BF52" s="36" t="n"/>
      <c r="BG52" s="36" t="n"/>
      <c r="BH52" s="36" t="n"/>
      <c r="BI52" s="36" t="n"/>
      <c r="BJ52" s="36" t="n"/>
      <c r="BK52" s="36" t="n"/>
      <c r="BL52" s="36" t="n"/>
      <c r="BM52" s="36" t="n"/>
      <c r="BN52" s="36" t="n"/>
      <c r="BO52" s="36" t="n"/>
      <c r="BP52" s="36" t="n"/>
      <c r="BQ52" s="36" t="n"/>
      <c r="BR52" s="36" t="n"/>
      <c r="BS52" s="36" t="n"/>
      <c r="BT52" s="36" t="n"/>
      <c r="BU52" s="36" t="n"/>
      <c r="BV52" s="36" t="n"/>
      <c r="BW52" s="36" t="n"/>
    </row>
    <row r="53" ht="34" customHeight="1">
      <c r="A53" s="38" t="n"/>
      <c r="B53" s="35" t="inlineStr"/>
      <c r="C53" s="26">
        <f>IF(TRIM($B53)="","",IFERROR(INDEX(People!$A$2:$A$199,MATCH(TRIM($B53),People!$B$2:$B$199,0)),IFERROR(INDEX(Teams!$A$2:$A$9,MATCH(TRIM($B53),Teams!$B$2:$B$9,0)),"?? CHECK NAME")))</f>
        <v/>
      </c>
      <c r="D53" s="36" t="n"/>
      <c r="E53" s="36" t="n"/>
      <c r="F53" s="36" t="n"/>
      <c r="G53" s="36" t="n"/>
      <c r="H53" s="36" t="n"/>
      <c r="I53" s="36" t="n"/>
      <c r="J53" s="36" t="n"/>
      <c r="K53" s="36" t="n"/>
      <c r="L53" s="36" t="n"/>
      <c r="M53" s="36" t="n"/>
      <c r="N53" s="36" t="n"/>
      <c r="O53" s="36" t="n"/>
      <c r="P53" s="36" t="n"/>
      <c r="Q53" s="36" t="n"/>
      <c r="R53" s="36" t="n"/>
      <c r="S53" s="36" t="n"/>
      <c r="T53" s="36" t="n"/>
      <c r="U53" s="36" t="n"/>
      <c r="V53" s="36" t="n"/>
      <c r="W53" s="36" t="n"/>
      <c r="X53" s="36" t="n"/>
      <c r="Y53" s="36" t="n"/>
      <c r="Z53" s="36" t="n"/>
      <c r="AA53" s="36" t="n"/>
      <c r="AB53" s="36" t="n"/>
      <c r="AC53" s="36" t="n"/>
      <c r="AD53" s="36" t="n"/>
      <c r="AE53" s="36" t="n"/>
      <c r="AF53" s="36" t="n"/>
      <c r="AG53" s="36" t="n"/>
      <c r="AH53" s="36" t="n"/>
      <c r="AI53" s="36" t="n"/>
      <c r="AJ53" s="36" t="n"/>
      <c r="AK53" s="36" t="n"/>
      <c r="AL53" s="36" t="n"/>
      <c r="AM53" s="36" t="n"/>
      <c r="AN53" s="36" t="n"/>
      <c r="AO53" s="36" t="n"/>
      <c r="AP53" s="36" t="n"/>
      <c r="AQ53" s="36" t="n"/>
      <c r="AR53" s="36" t="n"/>
      <c r="AS53" s="36" t="n"/>
      <c r="AT53" s="36" t="n"/>
      <c r="AU53" s="36" t="n"/>
      <c r="AV53" s="36" t="n"/>
      <c r="AW53" s="36" t="n"/>
      <c r="AX53" s="36" t="n"/>
      <c r="AY53" s="36" t="n"/>
      <c r="AZ53" s="36" t="n"/>
      <c r="BA53" s="36" t="n"/>
      <c r="BB53" s="36" t="n"/>
      <c r="BC53" s="36" t="n"/>
      <c r="BD53" s="36" t="n"/>
      <c r="BE53" s="36" t="n"/>
      <c r="BF53" s="36" t="n"/>
      <c r="BG53" s="36" t="n"/>
      <c r="BH53" s="36" t="n"/>
      <c r="BI53" s="36" t="n"/>
      <c r="BJ53" s="36" t="n"/>
      <c r="BK53" s="36" t="n"/>
      <c r="BL53" s="36" t="n"/>
      <c r="BM53" s="36" t="n"/>
      <c r="BN53" s="36" t="n"/>
      <c r="BO53" s="36" t="n"/>
      <c r="BP53" s="36" t="n"/>
      <c r="BQ53" s="36" t="n"/>
      <c r="BR53" s="36" t="n"/>
      <c r="BS53" s="36" t="n"/>
      <c r="BT53" s="36" t="n"/>
      <c r="BU53" s="36" t="n"/>
      <c r="BV53" s="36" t="n"/>
      <c r="BW53" s="36" t="n"/>
    </row>
    <row r="54" ht="34" customHeight="1">
      <c r="A54" s="16" t="inlineStr">
        <is>
          <t>Fundraising</t>
        </is>
      </c>
      <c r="B54" s="35" t="inlineStr"/>
      <c r="C54" s="26">
        <f>IF(TRIM($B54)="","",IFERROR(INDEX(People!$A$2:$A$199,MATCH(TRIM($B54),People!$B$2:$B$199,0)),IFERROR(INDEX(Teams!$A$2:$A$9,MATCH(TRIM($B54),Teams!$B$2:$B$9,0)),"?? CHECK NAME")))</f>
        <v/>
      </c>
      <c r="D54" s="36" t="n"/>
      <c r="E54" s="36" t="n"/>
      <c r="F54" s="36" t="n"/>
      <c r="G54" s="36" t="n"/>
      <c r="H54" s="36" t="n"/>
      <c r="I54" s="36" t="n"/>
      <c r="J54" s="36" t="n"/>
      <c r="K54" s="36" t="n"/>
      <c r="L54" s="36" t="n"/>
      <c r="M54" s="36" t="n"/>
      <c r="N54" s="36" t="n"/>
      <c r="O54" s="36" t="n"/>
      <c r="P54" s="36" t="n"/>
      <c r="Q54" s="36" t="n"/>
      <c r="R54" s="36" t="n"/>
      <c r="S54" s="36" t="n"/>
      <c r="T54" s="36" t="n"/>
      <c r="U54" s="36" t="n"/>
      <c r="V54" s="36" t="n"/>
      <c r="W54" s="36" t="n"/>
      <c r="X54" s="36" t="n"/>
      <c r="Y54" s="36" t="n"/>
      <c r="Z54" s="36" t="n"/>
      <c r="AA54" s="36" t="n"/>
      <c r="AB54" s="36" t="n"/>
      <c r="AC54" s="36" t="n"/>
      <c r="AD54" s="36" t="n"/>
      <c r="AE54" s="36" t="n"/>
      <c r="AF54" s="36" t="n"/>
      <c r="AG54" s="36" t="n"/>
      <c r="AH54" s="36" t="n"/>
      <c r="AI54" s="36" t="n"/>
      <c r="AJ54" s="36" t="n"/>
      <c r="AK54" s="36" t="n"/>
      <c r="AL54" s="36" t="n"/>
      <c r="AM54" s="36" t="n"/>
      <c r="AN54" s="36" t="n"/>
      <c r="AO54" s="36" t="n"/>
      <c r="AP54" s="36" t="n"/>
      <c r="AQ54" s="36" t="n"/>
      <c r="AR54" s="36" t="n"/>
      <c r="AS54" s="36" t="n"/>
      <c r="AT54" s="36" t="n"/>
      <c r="AU54" s="36" t="n"/>
      <c r="AV54" s="36" t="n"/>
      <c r="AW54" s="36" t="n"/>
      <c r="AX54" s="36" t="n"/>
      <c r="AY54" s="36" t="n"/>
      <c r="AZ54" s="36" t="n"/>
      <c r="BA54" s="36" t="n"/>
      <c r="BB54" s="36" t="n"/>
      <c r="BC54" s="36" t="n"/>
      <c r="BD54" s="36" t="n"/>
      <c r="BE54" s="36" t="n"/>
      <c r="BF54" s="36" t="n"/>
      <c r="BG54" s="36" t="n"/>
      <c r="BH54" s="36" t="n"/>
      <c r="BI54" s="36" t="n"/>
      <c r="BJ54" s="36" t="n"/>
      <c r="BK54" s="36" t="n"/>
      <c r="BL54" s="36" t="n"/>
      <c r="BM54" s="36" t="n"/>
      <c r="BN54" s="36" t="n"/>
      <c r="BO54" s="36" t="n"/>
      <c r="BP54" s="36" t="n"/>
      <c r="BQ54" s="36" t="n"/>
      <c r="BR54" s="36" t="n"/>
      <c r="BS54" s="36" t="n"/>
      <c r="BT54" s="36" t="n"/>
      <c r="BU54" s="36" t="n"/>
      <c r="BV54" s="36" t="n"/>
      <c r="BW54" s="36" t="n"/>
    </row>
    <row r="55" ht="34" customHeight="1">
      <c r="A55" s="37" t="n"/>
      <c r="B55" s="35" t="inlineStr"/>
      <c r="C55" s="26">
        <f>IF(TRIM($B55)="","",IFERROR(INDEX(People!$A$2:$A$199,MATCH(TRIM($B55),People!$B$2:$B$199,0)),IFERROR(INDEX(Teams!$A$2:$A$9,MATCH(TRIM($B55),Teams!$B$2:$B$9,0)),"?? CHECK NAME")))</f>
        <v/>
      </c>
      <c r="D55" s="36" t="n"/>
      <c r="E55" s="36" t="n"/>
      <c r="F55" s="36" t="n"/>
      <c r="G55" s="36" t="n"/>
      <c r="H55" s="36" t="n"/>
      <c r="I55" s="36" t="n"/>
      <c r="J55" s="36" t="n"/>
      <c r="K55" s="36" t="n"/>
      <c r="L55" s="36" t="n"/>
      <c r="M55" s="36" t="n"/>
      <c r="N55" s="36" t="n"/>
      <c r="O55" s="36" t="n"/>
      <c r="P55" s="36" t="n"/>
      <c r="Q55" s="36" t="n"/>
      <c r="R55" s="36" t="n"/>
      <c r="S55" s="36" t="n"/>
      <c r="T55" s="36" t="n"/>
      <c r="U55" s="36" t="n"/>
      <c r="V55" s="36" t="n"/>
      <c r="W55" s="36" t="n"/>
      <c r="X55" s="36" t="n"/>
      <c r="Y55" s="36" t="n"/>
      <c r="Z55" s="36" t="n"/>
      <c r="AA55" s="36" t="n"/>
      <c r="AB55" s="36" t="n"/>
      <c r="AC55" s="36" t="n"/>
      <c r="AD55" s="36" t="n"/>
      <c r="AE55" s="36" t="n"/>
      <c r="AF55" s="36" t="n"/>
      <c r="AG55" s="36" t="n"/>
      <c r="AH55" s="36" t="n"/>
      <c r="AI55" s="36" t="n"/>
      <c r="AJ55" s="36" t="n"/>
      <c r="AK55" s="36" t="n"/>
      <c r="AL55" s="36" t="n"/>
      <c r="AM55" s="36" t="n"/>
      <c r="AN55" s="36" t="n"/>
      <c r="AO55" s="36" t="n"/>
      <c r="AP55" s="36" t="n"/>
      <c r="AQ55" s="36" t="n"/>
      <c r="AR55" s="36" t="n"/>
      <c r="AS55" s="36" t="n"/>
      <c r="AT55" s="36" t="n"/>
      <c r="AU55" s="36" t="n"/>
      <c r="AV55" s="36" t="n"/>
      <c r="AW55" s="36" t="n"/>
      <c r="AX55" s="36" t="n"/>
      <c r="AY55" s="36" t="n"/>
      <c r="AZ55" s="36" t="n"/>
      <c r="BA55" s="36" t="n"/>
      <c r="BB55" s="36" t="n"/>
      <c r="BC55" s="36" t="n"/>
      <c r="BD55" s="36" t="n"/>
      <c r="BE55" s="36" t="n"/>
      <c r="BF55" s="36" t="n"/>
      <c r="BG55" s="36" t="n"/>
      <c r="BH55" s="36" t="n"/>
      <c r="BI55" s="36" t="n"/>
      <c r="BJ55" s="36" t="n"/>
      <c r="BK55" s="36" t="n"/>
      <c r="BL55" s="36" t="n"/>
      <c r="BM55" s="36" t="n"/>
      <c r="BN55" s="36" t="n"/>
      <c r="BO55" s="36" t="n"/>
      <c r="BP55" s="36" t="n"/>
      <c r="BQ55" s="36" t="n"/>
      <c r="BR55" s="36" t="n"/>
      <c r="BS55" s="36" t="n"/>
      <c r="BT55" s="36" t="n"/>
      <c r="BU55" s="36" t="n"/>
      <c r="BV55" s="36" t="n"/>
      <c r="BW55" s="36" t="n"/>
    </row>
    <row r="56" ht="34" customHeight="1">
      <c r="A56" s="37" t="n"/>
      <c r="B56" s="35" t="inlineStr"/>
      <c r="C56" s="26">
        <f>IF(TRIM($B56)="","",IFERROR(INDEX(People!$A$2:$A$199,MATCH(TRIM($B56),People!$B$2:$B$199,0)),IFERROR(INDEX(Teams!$A$2:$A$9,MATCH(TRIM($B56),Teams!$B$2:$B$9,0)),"?? CHECK NAME")))</f>
        <v/>
      </c>
      <c r="D56" s="36" t="n"/>
      <c r="E56" s="36" t="n"/>
      <c r="F56" s="36" t="n"/>
      <c r="G56" s="36" t="n"/>
      <c r="H56" s="36" t="n"/>
      <c r="I56" s="36" t="n"/>
      <c r="J56" s="36" t="n"/>
      <c r="K56" s="36" t="n"/>
      <c r="L56" s="36" t="n"/>
      <c r="M56" s="36" t="n"/>
      <c r="N56" s="36" t="n"/>
      <c r="O56" s="36" t="n"/>
      <c r="P56" s="36" t="n"/>
      <c r="Q56" s="36" t="n"/>
      <c r="R56" s="36" t="n"/>
      <c r="S56" s="36" t="n"/>
      <c r="T56" s="36" t="n"/>
      <c r="U56" s="36" t="n"/>
      <c r="V56" s="36" t="n"/>
      <c r="W56" s="36" t="n"/>
      <c r="X56" s="36" t="n"/>
      <c r="Y56" s="36" t="n"/>
      <c r="Z56" s="36" t="n"/>
      <c r="AA56" s="36" t="n"/>
      <c r="AB56" s="36" t="n"/>
      <c r="AC56" s="36" t="n"/>
      <c r="AD56" s="36" t="n"/>
      <c r="AE56" s="36" t="n"/>
      <c r="AF56" s="36" t="n"/>
      <c r="AG56" s="36" t="n"/>
      <c r="AH56" s="36" t="n"/>
      <c r="AI56" s="36" t="n"/>
      <c r="AJ56" s="36" t="n"/>
      <c r="AK56" s="36" t="n"/>
      <c r="AL56" s="36" t="n"/>
      <c r="AM56" s="36" t="n"/>
      <c r="AN56" s="36" t="n"/>
      <c r="AO56" s="36" t="n"/>
      <c r="AP56" s="36" t="n"/>
      <c r="AQ56" s="36" t="n"/>
      <c r="AR56" s="36" t="n"/>
      <c r="AS56" s="36" t="n"/>
      <c r="AT56" s="36" t="n"/>
      <c r="AU56" s="36" t="n"/>
      <c r="AV56" s="36" t="n"/>
      <c r="AW56" s="36" t="n"/>
      <c r="AX56" s="36" t="n"/>
      <c r="AY56" s="36" t="n"/>
      <c r="AZ56" s="36" t="n"/>
      <c r="BA56" s="36" t="n"/>
      <c r="BB56" s="36" t="n"/>
      <c r="BC56" s="36" t="n"/>
      <c r="BD56" s="36" t="n"/>
      <c r="BE56" s="36" t="n"/>
      <c r="BF56" s="36" t="n"/>
      <c r="BG56" s="36" t="n"/>
      <c r="BH56" s="36" t="n"/>
      <c r="BI56" s="36" t="n"/>
      <c r="BJ56" s="36" t="n"/>
      <c r="BK56" s="36" t="n"/>
      <c r="BL56" s="36" t="n"/>
      <c r="BM56" s="36" t="n"/>
      <c r="BN56" s="36" t="n"/>
      <c r="BO56" s="36" t="n"/>
      <c r="BP56" s="36" t="n"/>
      <c r="BQ56" s="36" t="n"/>
      <c r="BR56" s="36" t="n"/>
      <c r="BS56" s="36" t="n"/>
      <c r="BT56" s="36" t="n"/>
      <c r="BU56" s="36" t="n"/>
      <c r="BV56" s="36" t="n"/>
      <c r="BW56" s="36" t="n"/>
    </row>
    <row r="57" ht="34" customHeight="1">
      <c r="A57" s="37" t="n"/>
      <c r="B57" s="35" t="inlineStr"/>
      <c r="C57" s="26">
        <f>IF(TRIM($B57)="","",IFERROR(INDEX(People!$A$2:$A$199,MATCH(TRIM($B57),People!$B$2:$B$199,0)),IFERROR(INDEX(Teams!$A$2:$A$9,MATCH(TRIM($B57),Teams!$B$2:$B$9,0)),"?? CHECK NAME")))</f>
        <v/>
      </c>
      <c r="D57" s="36" t="n"/>
      <c r="E57" s="36" t="n"/>
      <c r="F57" s="36" t="n"/>
      <c r="G57" s="36" t="n"/>
      <c r="H57" s="36" t="n"/>
      <c r="I57" s="36" t="n"/>
      <c r="J57" s="36" t="n"/>
      <c r="K57" s="36" t="n"/>
      <c r="L57" s="36" t="n"/>
      <c r="M57" s="36" t="n"/>
      <c r="N57" s="36" t="n"/>
      <c r="O57" s="36" t="n"/>
      <c r="P57" s="36" t="n"/>
      <c r="Q57" s="36" t="n"/>
      <c r="R57" s="36" t="n"/>
      <c r="S57" s="36" t="n"/>
      <c r="T57" s="36" t="n"/>
      <c r="U57" s="36" t="n"/>
      <c r="V57" s="36" t="n"/>
      <c r="W57" s="36" t="n"/>
      <c r="X57" s="36" t="n"/>
      <c r="Y57" s="36" t="n"/>
      <c r="Z57" s="36" t="n"/>
      <c r="AA57" s="36" t="n"/>
      <c r="AB57" s="36" t="n"/>
      <c r="AC57" s="36" t="n"/>
      <c r="AD57" s="36" t="n"/>
      <c r="AE57" s="36" t="n"/>
      <c r="AF57" s="36" t="n"/>
      <c r="AG57" s="36" t="n"/>
      <c r="AH57" s="36" t="n"/>
      <c r="AI57" s="36" t="n"/>
      <c r="AJ57" s="36" t="n"/>
      <c r="AK57" s="36" t="n"/>
      <c r="AL57" s="36" t="n"/>
      <c r="AM57" s="36" t="n"/>
      <c r="AN57" s="36" t="n"/>
      <c r="AO57" s="36" t="n"/>
      <c r="AP57" s="36" t="n"/>
      <c r="AQ57" s="36" t="n"/>
      <c r="AR57" s="36" t="n"/>
      <c r="AS57" s="36" t="n"/>
      <c r="AT57" s="36" t="n"/>
      <c r="AU57" s="36" t="n"/>
      <c r="AV57" s="36" t="n"/>
      <c r="AW57" s="36" t="n"/>
      <c r="AX57" s="36" t="n"/>
      <c r="AY57" s="36" t="n"/>
      <c r="AZ57" s="36" t="n"/>
      <c r="BA57" s="36" t="n"/>
      <c r="BB57" s="36" t="n"/>
      <c r="BC57" s="36" t="n"/>
      <c r="BD57" s="36" t="n"/>
      <c r="BE57" s="36" t="n"/>
      <c r="BF57" s="36" t="n"/>
      <c r="BG57" s="36" t="n"/>
      <c r="BH57" s="36" t="n"/>
      <c r="BI57" s="36" t="n"/>
      <c r="BJ57" s="36" t="n"/>
      <c r="BK57" s="36" t="n"/>
      <c r="BL57" s="36" t="n"/>
      <c r="BM57" s="36" t="n"/>
      <c r="BN57" s="36" t="n"/>
      <c r="BO57" s="36" t="n"/>
      <c r="BP57" s="36" t="n"/>
      <c r="BQ57" s="36" t="n"/>
      <c r="BR57" s="36" t="n"/>
      <c r="BS57" s="36" t="n"/>
      <c r="BT57" s="36" t="n"/>
      <c r="BU57" s="36" t="n"/>
      <c r="BV57" s="36" t="n"/>
      <c r="BW57" s="36" t="n"/>
    </row>
    <row r="58" ht="34" customHeight="1">
      <c r="A58" s="38" t="n"/>
      <c r="B58" s="35" t="inlineStr"/>
      <c r="C58" s="26">
        <f>IF(TRIM($B58)="","",IFERROR(INDEX(People!$A$2:$A$199,MATCH(TRIM($B58),People!$B$2:$B$199,0)),IFERROR(INDEX(Teams!$A$2:$A$9,MATCH(TRIM($B58),Teams!$B$2:$B$9,0)),"?? CHECK NAME")))</f>
        <v/>
      </c>
      <c r="D58" s="36" t="n"/>
      <c r="E58" s="36" t="n"/>
      <c r="F58" s="36" t="n"/>
      <c r="G58" s="36" t="n"/>
      <c r="H58" s="36" t="n"/>
      <c r="I58" s="36" t="n"/>
      <c r="J58" s="36" t="n"/>
      <c r="K58" s="36" t="n"/>
      <c r="L58" s="36" t="n"/>
      <c r="M58" s="36" t="n"/>
      <c r="N58" s="36" t="n"/>
      <c r="O58" s="36" t="n"/>
      <c r="P58" s="36" t="n"/>
      <c r="Q58" s="36" t="n"/>
      <c r="R58" s="36" t="n"/>
      <c r="S58" s="36" t="n"/>
      <c r="T58" s="36" t="n"/>
      <c r="U58" s="36" t="n"/>
      <c r="V58" s="36" t="n"/>
      <c r="W58" s="36" t="n"/>
      <c r="X58" s="36" t="n"/>
      <c r="Y58" s="36" t="n"/>
      <c r="Z58" s="36" t="n"/>
      <c r="AA58" s="36" t="n"/>
      <c r="AB58" s="36" t="n"/>
      <c r="AC58" s="36" t="n"/>
      <c r="AD58" s="36" t="n"/>
      <c r="AE58" s="36" t="n"/>
      <c r="AF58" s="36" t="n"/>
      <c r="AG58" s="36" t="n"/>
      <c r="AH58" s="36" t="n"/>
      <c r="AI58" s="36" t="n"/>
      <c r="AJ58" s="36" t="n"/>
      <c r="AK58" s="36" t="n"/>
      <c r="AL58" s="36" t="n"/>
      <c r="AM58" s="36" t="n"/>
      <c r="AN58" s="36" t="n"/>
      <c r="AO58" s="36" t="n"/>
      <c r="AP58" s="36" t="n"/>
      <c r="AQ58" s="36" t="n"/>
      <c r="AR58" s="36" t="n"/>
      <c r="AS58" s="36" t="n"/>
      <c r="AT58" s="36" t="n"/>
      <c r="AU58" s="36" t="n"/>
      <c r="AV58" s="36" t="n"/>
      <c r="AW58" s="36" t="n"/>
      <c r="AX58" s="36" t="n"/>
      <c r="AY58" s="36" t="n"/>
      <c r="AZ58" s="36" t="n"/>
      <c r="BA58" s="36" t="n"/>
      <c r="BB58" s="36" t="n"/>
      <c r="BC58" s="36" t="n"/>
      <c r="BD58" s="36" t="n"/>
      <c r="BE58" s="36" t="n"/>
      <c r="BF58" s="36" t="n"/>
      <c r="BG58" s="36" t="n"/>
      <c r="BH58" s="36" t="n"/>
      <c r="BI58" s="36" t="n"/>
      <c r="BJ58" s="36" t="n"/>
      <c r="BK58" s="36" t="n"/>
      <c r="BL58" s="36" t="n"/>
      <c r="BM58" s="36" t="n"/>
      <c r="BN58" s="36" t="n"/>
      <c r="BO58" s="36" t="n"/>
      <c r="BP58" s="36" t="n"/>
      <c r="BQ58" s="36" t="n"/>
      <c r="BR58" s="36" t="n"/>
      <c r="BS58" s="36" t="n"/>
      <c r="BT58" s="36" t="n"/>
      <c r="BU58" s="36" t="n"/>
      <c r="BV58" s="36" t="n"/>
      <c r="BW58" s="36" t="n"/>
    </row>
    <row r="59" ht="34" customHeight="1">
      <c r="A59" s="16" t="inlineStr">
        <is>
          <t>Campus Wellness</t>
        </is>
      </c>
      <c r="B59" s="35" t="inlineStr"/>
      <c r="C59" s="26">
        <f>IF(TRIM($B59)="","",IFERROR(INDEX(People!$A$2:$A$199,MATCH(TRIM($B59),People!$B$2:$B$199,0)),IFERROR(INDEX(Teams!$A$2:$A$9,MATCH(TRIM($B59),Teams!$B$2:$B$9,0)),"?? CHECK NAME")))</f>
        <v/>
      </c>
      <c r="D59" s="36" t="n"/>
      <c r="E59" s="36" t="n"/>
      <c r="F59" s="36" t="n"/>
      <c r="G59" s="36" t="n"/>
      <c r="H59" s="36" t="n"/>
      <c r="I59" s="36" t="n"/>
      <c r="J59" s="36" t="n"/>
      <c r="K59" s="36" t="n"/>
      <c r="L59" s="36" t="n"/>
      <c r="M59" s="36" t="n"/>
      <c r="N59" s="36" t="n"/>
      <c r="O59" s="36" t="n"/>
      <c r="P59" s="36" t="n"/>
      <c r="Q59" s="36" t="n"/>
      <c r="R59" s="36" t="n"/>
      <c r="S59" s="36" t="n"/>
      <c r="T59" s="36" t="n"/>
      <c r="U59" s="36" t="n"/>
      <c r="V59" s="36" t="n"/>
      <c r="W59" s="36" t="n"/>
      <c r="X59" s="36" t="n"/>
      <c r="Y59" s="36" t="n"/>
      <c r="Z59" s="36" t="n"/>
      <c r="AA59" s="36" t="n"/>
      <c r="AB59" s="36" t="n"/>
      <c r="AC59" s="36" t="n"/>
      <c r="AD59" s="36" t="n"/>
      <c r="AE59" s="36" t="n"/>
      <c r="AF59" s="36" t="n"/>
      <c r="AG59" s="36" t="n"/>
      <c r="AH59" s="36" t="n"/>
      <c r="AI59" s="36" t="n"/>
      <c r="AJ59" s="36" t="n"/>
      <c r="AK59" s="36" t="n"/>
      <c r="AL59" s="36" t="n"/>
      <c r="AM59" s="36" t="n"/>
      <c r="AN59" s="36" t="n"/>
      <c r="AO59" s="36" t="n"/>
      <c r="AP59" s="36" t="n"/>
      <c r="AQ59" s="36" t="n"/>
      <c r="AR59" s="36" t="n"/>
      <c r="AS59" s="36" t="n"/>
      <c r="AT59" s="36" t="n"/>
      <c r="AU59" s="36" t="n"/>
      <c r="AV59" s="36" t="n"/>
      <c r="AW59" s="36" t="n"/>
      <c r="AX59" s="36" t="n"/>
      <c r="AY59" s="36" t="n"/>
      <c r="AZ59" s="36" t="n"/>
      <c r="BA59" s="36" t="n"/>
      <c r="BB59" s="36" t="n"/>
      <c r="BC59" s="36" t="n"/>
      <c r="BD59" s="36" t="n"/>
      <c r="BE59" s="36" t="n"/>
      <c r="BF59" s="36" t="n"/>
      <c r="BG59" s="36" t="n"/>
      <c r="BH59" s="36" t="n"/>
      <c r="BI59" s="36" t="n"/>
      <c r="BJ59" s="36" t="n"/>
      <c r="BK59" s="36" t="n"/>
      <c r="BL59" s="36" t="n"/>
      <c r="BM59" s="36" t="n"/>
      <c r="BN59" s="36" t="n"/>
      <c r="BO59" s="36" t="n"/>
      <c r="BP59" s="36" t="n"/>
      <c r="BQ59" s="36" t="n"/>
      <c r="BR59" s="36" t="n"/>
      <c r="BS59" s="36" t="n"/>
      <c r="BT59" s="36" t="n"/>
      <c r="BU59" s="36" t="n"/>
      <c r="BV59" s="36" t="n"/>
      <c r="BW59" s="36" t="n"/>
    </row>
    <row r="60" ht="34" customHeight="1">
      <c r="A60" s="37" t="n"/>
      <c r="B60" s="35" t="inlineStr"/>
      <c r="C60" s="26">
        <f>IF(TRIM($B60)="","",IFERROR(INDEX(People!$A$2:$A$199,MATCH(TRIM($B60),People!$B$2:$B$199,0)),IFERROR(INDEX(Teams!$A$2:$A$9,MATCH(TRIM($B60),Teams!$B$2:$B$9,0)),"?? CHECK NAME")))</f>
        <v/>
      </c>
      <c r="D60" s="36" t="n"/>
      <c r="E60" s="36" t="n"/>
      <c r="F60" s="36" t="n"/>
      <c r="G60" s="36" t="n"/>
      <c r="H60" s="36" t="n"/>
      <c r="I60" s="36" t="n"/>
      <c r="J60" s="36" t="n"/>
      <c r="K60" s="36" t="n"/>
      <c r="L60" s="36" t="n"/>
      <c r="M60" s="36" t="n"/>
      <c r="N60" s="36" t="n"/>
      <c r="O60" s="36" t="n"/>
      <c r="P60" s="36" t="n"/>
      <c r="Q60" s="36" t="n"/>
      <c r="R60" s="36" t="n"/>
      <c r="S60" s="36" t="n"/>
      <c r="T60" s="36" t="n"/>
      <c r="U60" s="36" t="n"/>
      <c r="V60" s="36" t="n"/>
      <c r="W60" s="36" t="n"/>
      <c r="X60" s="36" t="n"/>
      <c r="Y60" s="36" t="n"/>
      <c r="Z60" s="36" t="n"/>
      <c r="AA60" s="36" t="n"/>
      <c r="AB60" s="36" t="n"/>
      <c r="AC60" s="36" t="n"/>
      <c r="AD60" s="36" t="n"/>
      <c r="AE60" s="36" t="n"/>
      <c r="AF60" s="36" t="n"/>
      <c r="AG60" s="36" t="n"/>
      <c r="AH60" s="36" t="n"/>
      <c r="AI60" s="36" t="n"/>
      <c r="AJ60" s="36" t="n"/>
      <c r="AK60" s="36" t="n"/>
      <c r="AL60" s="36" t="n"/>
      <c r="AM60" s="36" t="n"/>
      <c r="AN60" s="36" t="n"/>
      <c r="AO60" s="36" t="n"/>
      <c r="AP60" s="36" t="n"/>
      <c r="AQ60" s="36" t="n"/>
      <c r="AR60" s="36" t="n"/>
      <c r="AS60" s="36" t="n"/>
      <c r="AT60" s="36" t="n"/>
      <c r="AU60" s="36" t="n"/>
      <c r="AV60" s="36" t="n"/>
      <c r="AW60" s="36" t="n"/>
      <c r="AX60" s="36" t="n"/>
      <c r="AY60" s="36" t="n"/>
      <c r="AZ60" s="36" t="n"/>
      <c r="BA60" s="36" t="n"/>
      <c r="BB60" s="36" t="n"/>
      <c r="BC60" s="36" t="n"/>
      <c r="BD60" s="36" t="n"/>
      <c r="BE60" s="36" t="n"/>
      <c r="BF60" s="36" t="n"/>
      <c r="BG60" s="36" t="n"/>
      <c r="BH60" s="36" t="n"/>
      <c r="BI60" s="36" t="n"/>
      <c r="BJ60" s="36" t="n"/>
      <c r="BK60" s="36" t="n"/>
      <c r="BL60" s="36" t="n"/>
      <c r="BM60" s="36" t="n"/>
      <c r="BN60" s="36" t="n"/>
      <c r="BO60" s="36" t="n"/>
      <c r="BP60" s="36" t="n"/>
      <c r="BQ60" s="36" t="n"/>
      <c r="BR60" s="36" t="n"/>
      <c r="BS60" s="36" t="n"/>
      <c r="BT60" s="36" t="n"/>
      <c r="BU60" s="36" t="n"/>
      <c r="BV60" s="36" t="n"/>
      <c r="BW60" s="36" t="n"/>
    </row>
    <row r="61" ht="34" customHeight="1">
      <c r="A61" s="37" t="n"/>
      <c r="B61" s="35" t="inlineStr"/>
      <c r="C61" s="26">
        <f>IF(TRIM($B61)="","",IFERROR(INDEX(People!$A$2:$A$199,MATCH(TRIM($B61),People!$B$2:$B$199,0)),IFERROR(INDEX(Teams!$A$2:$A$9,MATCH(TRIM($B61),Teams!$B$2:$B$9,0)),"?? CHECK NAME")))</f>
        <v/>
      </c>
      <c r="D61" s="36" t="n"/>
      <c r="E61" s="36" t="n"/>
      <c r="F61" s="36" t="n"/>
      <c r="G61" s="36" t="n"/>
      <c r="H61" s="36" t="n"/>
      <c r="I61" s="36" t="n"/>
      <c r="J61" s="36" t="n"/>
      <c r="K61" s="36" t="n"/>
      <c r="L61" s="36" t="n"/>
      <c r="M61" s="36" t="n"/>
      <c r="N61" s="36" t="n"/>
      <c r="O61" s="36" t="n"/>
      <c r="P61" s="36" t="n"/>
      <c r="Q61" s="36" t="n"/>
      <c r="R61" s="36" t="n"/>
      <c r="S61" s="36" t="n"/>
      <c r="T61" s="36" t="n"/>
      <c r="U61" s="36" t="n"/>
      <c r="V61" s="36" t="n"/>
      <c r="W61" s="36" t="n"/>
      <c r="X61" s="36" t="n"/>
      <c r="Y61" s="36" t="n"/>
      <c r="Z61" s="36" t="n"/>
      <c r="AA61" s="36" t="n"/>
      <c r="AB61" s="36" t="n"/>
      <c r="AC61" s="36" t="n"/>
      <c r="AD61" s="36" t="n"/>
      <c r="AE61" s="36" t="n"/>
      <c r="AF61" s="36" t="n"/>
      <c r="AG61" s="36" t="n"/>
      <c r="AH61" s="36" t="n"/>
      <c r="AI61" s="36" t="n"/>
      <c r="AJ61" s="36" t="n"/>
      <c r="AK61" s="36" t="n"/>
      <c r="AL61" s="36" t="n"/>
      <c r="AM61" s="36" t="n"/>
      <c r="AN61" s="36" t="n"/>
      <c r="AO61" s="36" t="n"/>
      <c r="AP61" s="36" t="n"/>
      <c r="AQ61" s="36" t="n"/>
      <c r="AR61" s="36" t="n"/>
      <c r="AS61" s="36" t="n"/>
      <c r="AT61" s="36" t="n"/>
      <c r="AU61" s="36" t="n"/>
      <c r="AV61" s="36" t="n"/>
      <c r="AW61" s="36" t="n"/>
      <c r="AX61" s="36" t="n"/>
      <c r="AY61" s="36" t="n"/>
      <c r="AZ61" s="36" t="n"/>
      <c r="BA61" s="36" t="n"/>
      <c r="BB61" s="36" t="n"/>
      <c r="BC61" s="36" t="n"/>
      <c r="BD61" s="36" t="n"/>
      <c r="BE61" s="36" t="n"/>
      <c r="BF61" s="36" t="n"/>
      <c r="BG61" s="36" t="n"/>
      <c r="BH61" s="36" t="n"/>
      <c r="BI61" s="36" t="n"/>
      <c r="BJ61" s="36" t="n"/>
      <c r="BK61" s="36" t="n"/>
      <c r="BL61" s="36" t="n"/>
      <c r="BM61" s="36" t="n"/>
      <c r="BN61" s="36" t="n"/>
      <c r="BO61" s="36" t="n"/>
      <c r="BP61" s="36" t="n"/>
      <c r="BQ61" s="36" t="n"/>
      <c r="BR61" s="36" t="n"/>
      <c r="BS61" s="36" t="n"/>
      <c r="BT61" s="36" t="n"/>
      <c r="BU61" s="36" t="n"/>
      <c r="BV61" s="36" t="n"/>
      <c r="BW61" s="36" t="n"/>
    </row>
    <row r="62" ht="34" customHeight="1">
      <c r="A62" s="37" t="n"/>
      <c r="B62" s="35" t="inlineStr"/>
      <c r="C62" s="26">
        <f>IF(TRIM($B62)="","",IFERROR(INDEX(People!$A$2:$A$199,MATCH(TRIM($B62),People!$B$2:$B$199,0)),IFERROR(INDEX(Teams!$A$2:$A$9,MATCH(TRIM($B62),Teams!$B$2:$B$9,0)),"?? CHECK NAME")))</f>
        <v/>
      </c>
      <c r="D62" s="36" t="n"/>
      <c r="E62" s="36" t="n"/>
      <c r="F62" s="36" t="n"/>
      <c r="G62" s="36" t="n"/>
      <c r="H62" s="36" t="n"/>
      <c r="I62" s="36" t="n"/>
      <c r="J62" s="36" t="n"/>
      <c r="K62" s="36" t="n"/>
      <c r="L62" s="36" t="n"/>
      <c r="M62" s="36" t="n"/>
      <c r="N62" s="36" t="n"/>
      <c r="O62" s="36" t="n"/>
      <c r="P62" s="36" t="n"/>
      <c r="Q62" s="36" t="n"/>
      <c r="R62" s="36" t="n"/>
      <c r="S62" s="36" t="n"/>
      <c r="T62" s="36" t="n"/>
      <c r="U62" s="36" t="n"/>
      <c r="V62" s="36" t="n"/>
      <c r="W62" s="36" t="n"/>
      <c r="X62" s="36" t="n"/>
      <c r="Y62" s="36" t="n"/>
      <c r="Z62" s="36" t="n"/>
      <c r="AA62" s="36" t="n"/>
      <c r="AB62" s="36" t="n"/>
      <c r="AC62" s="36" t="n"/>
      <c r="AD62" s="36" t="n"/>
      <c r="AE62" s="36" t="n"/>
      <c r="AF62" s="36" t="n"/>
      <c r="AG62" s="36" t="n"/>
      <c r="AH62" s="36" t="n"/>
      <c r="AI62" s="36" t="n"/>
      <c r="AJ62" s="36" t="n"/>
      <c r="AK62" s="36" t="n"/>
      <c r="AL62" s="36" t="n"/>
      <c r="AM62" s="36" t="n"/>
      <c r="AN62" s="36" t="n"/>
      <c r="AO62" s="36" t="n"/>
      <c r="AP62" s="36" t="n"/>
      <c r="AQ62" s="36" t="n"/>
      <c r="AR62" s="36" t="n"/>
      <c r="AS62" s="36" t="n"/>
      <c r="AT62" s="36" t="n"/>
      <c r="AU62" s="36" t="n"/>
      <c r="AV62" s="36" t="n"/>
      <c r="AW62" s="36" t="n"/>
      <c r="AX62" s="36" t="n"/>
      <c r="AY62" s="36" t="n"/>
      <c r="AZ62" s="36" t="n"/>
      <c r="BA62" s="36" t="n"/>
      <c r="BB62" s="36" t="n"/>
      <c r="BC62" s="36" t="n"/>
      <c r="BD62" s="36" t="n"/>
      <c r="BE62" s="36" t="n"/>
      <c r="BF62" s="36" t="n"/>
      <c r="BG62" s="36" t="n"/>
      <c r="BH62" s="36" t="n"/>
      <c r="BI62" s="36" t="n"/>
      <c r="BJ62" s="36" t="n"/>
      <c r="BK62" s="36" t="n"/>
      <c r="BL62" s="36" t="n"/>
      <c r="BM62" s="36" t="n"/>
      <c r="BN62" s="36" t="n"/>
      <c r="BO62" s="36" t="n"/>
      <c r="BP62" s="36" t="n"/>
      <c r="BQ62" s="36" t="n"/>
      <c r="BR62" s="36" t="n"/>
      <c r="BS62" s="36" t="n"/>
      <c r="BT62" s="36" t="n"/>
      <c r="BU62" s="36" t="n"/>
      <c r="BV62" s="36" t="n"/>
      <c r="BW62" s="36" t="n"/>
    </row>
    <row r="63" ht="34" customHeight="1">
      <c r="A63" s="38" t="n"/>
      <c r="B63" s="35" t="inlineStr"/>
      <c r="C63" s="26">
        <f>IF(TRIM($B63)="","",IFERROR(INDEX(People!$A$2:$A$199,MATCH(TRIM($B63),People!$B$2:$B$199,0)),IFERROR(INDEX(Teams!$A$2:$A$9,MATCH(TRIM($B63),Teams!$B$2:$B$9,0)),"?? CHECK NAME")))</f>
        <v/>
      </c>
      <c r="D63" s="36" t="n"/>
      <c r="E63" s="36" t="n"/>
      <c r="F63" s="36" t="n"/>
      <c r="G63" s="36" t="n"/>
      <c r="H63" s="36" t="n"/>
      <c r="I63" s="36" t="n"/>
      <c r="J63" s="36" t="n"/>
      <c r="K63" s="36" t="n"/>
      <c r="L63" s="36" t="n"/>
      <c r="M63" s="36" t="n"/>
      <c r="N63" s="36" t="n"/>
      <c r="O63" s="36" t="n"/>
      <c r="P63" s="36" t="n"/>
      <c r="Q63" s="36" t="n"/>
      <c r="R63" s="36" t="n"/>
      <c r="S63" s="36" t="n"/>
      <c r="T63" s="36" t="n"/>
      <c r="U63" s="36" t="n"/>
      <c r="V63" s="36" t="n"/>
      <c r="W63" s="36" t="n"/>
      <c r="X63" s="36" t="n"/>
      <c r="Y63" s="36" t="n"/>
      <c r="Z63" s="36" t="n"/>
      <c r="AA63" s="36" t="n"/>
      <c r="AB63" s="36" t="n"/>
      <c r="AC63" s="36" t="n"/>
      <c r="AD63" s="36" t="n"/>
      <c r="AE63" s="36" t="n"/>
      <c r="AF63" s="36" t="n"/>
      <c r="AG63" s="36" t="n"/>
      <c r="AH63" s="36" t="n"/>
      <c r="AI63" s="36" t="n"/>
      <c r="AJ63" s="36" t="n"/>
      <c r="AK63" s="36" t="n"/>
      <c r="AL63" s="36" t="n"/>
      <c r="AM63" s="36" t="n"/>
      <c r="AN63" s="36" t="n"/>
      <c r="AO63" s="36" t="n"/>
      <c r="AP63" s="36" t="n"/>
      <c r="AQ63" s="36" t="n"/>
      <c r="AR63" s="36" t="n"/>
      <c r="AS63" s="36" t="n"/>
      <c r="AT63" s="36" t="n"/>
      <c r="AU63" s="36" t="n"/>
      <c r="AV63" s="36" t="n"/>
      <c r="AW63" s="36" t="n"/>
      <c r="AX63" s="36" t="n"/>
      <c r="AY63" s="36" t="n"/>
      <c r="AZ63" s="36" t="n"/>
      <c r="BA63" s="36" t="n"/>
      <c r="BB63" s="36" t="n"/>
      <c r="BC63" s="36" t="n"/>
      <c r="BD63" s="36" t="n"/>
      <c r="BE63" s="36" t="n"/>
      <c r="BF63" s="36" t="n"/>
      <c r="BG63" s="36" t="n"/>
      <c r="BH63" s="36" t="n"/>
      <c r="BI63" s="36" t="n"/>
      <c r="BJ63" s="36" t="n"/>
      <c r="BK63" s="36" t="n"/>
      <c r="BL63" s="36" t="n"/>
      <c r="BM63" s="36" t="n"/>
      <c r="BN63" s="36" t="n"/>
      <c r="BO63" s="36" t="n"/>
      <c r="BP63" s="36" t="n"/>
      <c r="BQ63" s="36" t="n"/>
      <c r="BR63" s="36" t="n"/>
      <c r="BS63" s="36" t="n"/>
      <c r="BT63" s="36" t="n"/>
      <c r="BU63" s="36" t="n"/>
      <c r="BV63" s="36" t="n"/>
      <c r="BW63" s="36" t="n"/>
    </row>
    <row r="64" ht="34" customHeight="1">
      <c r="A64" s="16" t="inlineStr">
        <is>
          <t>FreshReps</t>
        </is>
      </c>
      <c r="B64" s="35" t="inlineStr"/>
      <c r="C64" s="26">
        <f>IF(TRIM($B64)="","",IFERROR(INDEX(People!$A$2:$A$199,MATCH(TRIM($B64),People!$B$2:$B$199,0)),IFERROR(INDEX(Teams!$A$2:$A$9,MATCH(TRIM($B64),Teams!$B$2:$B$9,0)),"?? CHECK NAME")))</f>
        <v/>
      </c>
      <c r="D64" s="36" t="n"/>
      <c r="E64" s="36" t="n"/>
      <c r="F64" s="36" t="n"/>
      <c r="G64" s="36" t="n"/>
      <c r="H64" s="36" t="n"/>
      <c r="I64" s="36" t="n"/>
      <c r="J64" s="36" t="n"/>
      <c r="K64" s="36" t="n"/>
      <c r="L64" s="36" t="n"/>
      <c r="M64" s="36" t="n"/>
      <c r="N64" s="36" t="n"/>
      <c r="O64" s="36" t="n"/>
      <c r="P64" s="36" t="n"/>
      <c r="Q64" s="36" t="n"/>
      <c r="R64" s="36" t="n"/>
      <c r="S64" s="36" t="n"/>
      <c r="T64" s="36" t="n"/>
      <c r="U64" s="36" t="n"/>
      <c r="V64" s="36" t="n"/>
      <c r="W64" s="36" t="n"/>
      <c r="X64" s="36" t="n"/>
      <c r="Y64" s="36" t="n"/>
      <c r="Z64" s="36" t="n"/>
      <c r="AA64" s="36" t="n"/>
      <c r="AB64" s="36" t="n"/>
      <c r="AC64" s="36" t="n"/>
      <c r="AD64" s="36" t="n"/>
      <c r="AE64" s="36" t="n"/>
      <c r="AF64" s="36" t="n"/>
      <c r="AG64" s="36" t="n"/>
      <c r="AH64" s="36" t="n"/>
      <c r="AI64" s="36" t="n"/>
      <c r="AJ64" s="36" t="n"/>
      <c r="AK64" s="36" t="n"/>
      <c r="AL64" s="36" t="n"/>
      <c r="AM64" s="36" t="n"/>
      <c r="AN64" s="36" t="n"/>
      <c r="AO64" s="36" t="n"/>
      <c r="AP64" s="36" t="n"/>
      <c r="AQ64" s="36" t="n"/>
      <c r="AR64" s="36" t="n"/>
      <c r="AS64" s="36" t="n"/>
      <c r="AT64" s="36" t="n"/>
      <c r="AU64" s="36" t="n"/>
      <c r="AV64" s="36" t="n"/>
      <c r="AW64" s="36" t="n"/>
      <c r="AX64" s="36" t="n"/>
      <c r="AY64" s="36" t="n"/>
      <c r="AZ64" s="36" t="n"/>
      <c r="BA64" s="36" t="n"/>
      <c r="BB64" s="36" t="n"/>
      <c r="BC64" s="36" t="n"/>
      <c r="BD64" s="36" t="n"/>
      <c r="BE64" s="36" t="n"/>
      <c r="BF64" s="36" t="n"/>
      <c r="BG64" s="36" t="n"/>
      <c r="BH64" s="36" t="n"/>
      <c r="BI64" s="36" t="n"/>
      <c r="BJ64" s="36" t="n"/>
      <c r="BK64" s="36" t="n"/>
      <c r="BL64" s="36" t="n"/>
      <c r="BM64" s="36" t="n"/>
      <c r="BN64" s="36" t="n"/>
      <c r="BO64" s="36" t="n"/>
      <c r="BP64" s="36" t="n"/>
      <c r="BQ64" s="36" t="n"/>
      <c r="BR64" s="36" t="n"/>
      <c r="BS64" s="36" t="n"/>
      <c r="BT64" s="36" t="n"/>
      <c r="BU64" s="36" t="n"/>
      <c r="BV64" s="36" t="n"/>
      <c r="BW64" s="36" t="n"/>
    </row>
    <row r="65" ht="34" customHeight="1">
      <c r="A65" s="37" t="n"/>
      <c r="B65" s="35" t="inlineStr"/>
      <c r="C65" s="26">
        <f>IF(TRIM($B65)="","",IFERROR(INDEX(People!$A$2:$A$199,MATCH(TRIM($B65),People!$B$2:$B$199,0)),IFERROR(INDEX(Teams!$A$2:$A$9,MATCH(TRIM($B65),Teams!$B$2:$B$9,0)),"?? CHECK NAME")))</f>
        <v/>
      </c>
      <c r="D65" s="36" t="n"/>
      <c r="E65" s="36" t="n"/>
      <c r="F65" s="36" t="n"/>
      <c r="G65" s="36" t="n"/>
      <c r="H65" s="36" t="n"/>
      <c r="I65" s="36" t="n"/>
      <c r="J65" s="36" t="n"/>
      <c r="K65" s="36" t="n"/>
      <c r="L65" s="36" t="n"/>
      <c r="M65" s="36" t="n"/>
      <c r="N65" s="36" t="n"/>
      <c r="O65" s="36" t="n"/>
      <c r="P65" s="36" t="n"/>
      <c r="Q65" s="36" t="n"/>
      <c r="R65" s="36" t="n"/>
      <c r="S65" s="36" t="n"/>
      <c r="T65" s="36" t="n"/>
      <c r="U65" s="36" t="n"/>
      <c r="V65" s="36" t="n"/>
      <c r="W65" s="36" t="n"/>
      <c r="X65" s="36" t="n"/>
      <c r="Y65" s="36" t="n"/>
      <c r="Z65" s="36" t="n"/>
      <c r="AA65" s="36" t="n"/>
      <c r="AB65" s="36" t="n"/>
      <c r="AC65" s="36" t="n"/>
      <c r="AD65" s="36" t="n"/>
      <c r="AE65" s="36" t="n"/>
      <c r="AF65" s="36" t="n"/>
      <c r="AG65" s="36" t="n"/>
      <c r="AH65" s="36" t="n"/>
      <c r="AI65" s="36" t="n"/>
      <c r="AJ65" s="36" t="n"/>
      <c r="AK65" s="36" t="n"/>
      <c r="AL65" s="36" t="n"/>
      <c r="AM65" s="36" t="n"/>
      <c r="AN65" s="36" t="n"/>
      <c r="AO65" s="36" t="n"/>
      <c r="AP65" s="36" t="n"/>
      <c r="AQ65" s="36" t="n"/>
      <c r="AR65" s="36" t="n"/>
      <c r="AS65" s="36" t="n"/>
      <c r="AT65" s="36" t="n"/>
      <c r="AU65" s="36" t="n"/>
      <c r="AV65" s="36" t="n"/>
      <c r="AW65" s="36" t="n"/>
      <c r="AX65" s="36" t="n"/>
      <c r="AY65" s="36" t="n"/>
      <c r="AZ65" s="36" t="n"/>
      <c r="BA65" s="36" t="n"/>
      <c r="BB65" s="36" t="n"/>
      <c r="BC65" s="36" t="n"/>
      <c r="BD65" s="36" t="n"/>
      <c r="BE65" s="36" t="n"/>
      <c r="BF65" s="36" t="n"/>
      <c r="BG65" s="36" t="n"/>
      <c r="BH65" s="36" t="n"/>
      <c r="BI65" s="36" t="n"/>
      <c r="BJ65" s="36" t="n"/>
      <c r="BK65" s="36" t="n"/>
      <c r="BL65" s="36" t="n"/>
      <c r="BM65" s="36" t="n"/>
      <c r="BN65" s="36" t="n"/>
      <c r="BO65" s="36" t="n"/>
      <c r="BP65" s="36" t="n"/>
      <c r="BQ65" s="36" t="n"/>
      <c r="BR65" s="36" t="n"/>
      <c r="BS65" s="36" t="n"/>
      <c r="BT65" s="36" t="n"/>
      <c r="BU65" s="36" t="n"/>
      <c r="BV65" s="36" t="n"/>
      <c r="BW65" s="36" t="n"/>
    </row>
    <row r="66" ht="34" customHeight="1">
      <c r="A66" s="37" t="n"/>
      <c r="B66" s="35" t="inlineStr"/>
      <c r="C66" s="26">
        <f>IF(TRIM($B66)="","",IFERROR(INDEX(People!$A$2:$A$199,MATCH(TRIM($B66),People!$B$2:$B$199,0)),IFERROR(INDEX(Teams!$A$2:$A$9,MATCH(TRIM($B66),Teams!$B$2:$B$9,0)),"?? CHECK NAME")))</f>
        <v/>
      </c>
      <c r="D66" s="36" t="n"/>
      <c r="E66" s="36" t="n"/>
      <c r="F66" s="36" t="n"/>
      <c r="G66" s="36" t="n"/>
      <c r="H66" s="36" t="n"/>
      <c r="I66" s="36" t="n"/>
      <c r="J66" s="36" t="n"/>
      <c r="K66" s="36" t="n"/>
      <c r="L66" s="36" t="n"/>
      <c r="M66" s="36" t="n"/>
      <c r="N66" s="36" t="n"/>
      <c r="O66" s="36" t="n"/>
      <c r="P66" s="36" t="n"/>
      <c r="Q66" s="36" t="n"/>
      <c r="R66" s="36" t="n"/>
      <c r="S66" s="36" t="n"/>
      <c r="T66" s="36" t="n"/>
      <c r="U66" s="36" t="n"/>
      <c r="V66" s="36" t="n"/>
      <c r="W66" s="36" t="n"/>
      <c r="X66" s="36" t="n"/>
      <c r="Y66" s="36" t="n"/>
      <c r="Z66" s="36" t="n"/>
      <c r="AA66" s="36" t="n"/>
      <c r="AB66" s="36" t="n"/>
      <c r="AC66" s="36" t="n"/>
      <c r="AD66" s="36" t="n"/>
      <c r="AE66" s="36" t="n"/>
      <c r="AF66" s="36" t="n"/>
      <c r="AG66" s="36" t="n"/>
      <c r="AH66" s="36" t="n"/>
      <c r="AI66" s="36" t="n"/>
      <c r="AJ66" s="36" t="n"/>
      <c r="AK66" s="36" t="n"/>
      <c r="AL66" s="36" t="n"/>
      <c r="AM66" s="36" t="n"/>
      <c r="AN66" s="36" t="n"/>
      <c r="AO66" s="36" t="n"/>
      <c r="AP66" s="36" t="n"/>
      <c r="AQ66" s="36" t="n"/>
      <c r="AR66" s="36" t="n"/>
      <c r="AS66" s="36" t="n"/>
      <c r="AT66" s="36" t="n"/>
      <c r="AU66" s="36" t="n"/>
      <c r="AV66" s="36" t="n"/>
      <c r="AW66" s="36" t="n"/>
      <c r="AX66" s="36" t="n"/>
      <c r="AY66" s="36" t="n"/>
      <c r="AZ66" s="36" t="n"/>
      <c r="BA66" s="36" t="n"/>
      <c r="BB66" s="36" t="n"/>
      <c r="BC66" s="36" t="n"/>
      <c r="BD66" s="36" t="n"/>
      <c r="BE66" s="36" t="n"/>
      <c r="BF66" s="36" t="n"/>
      <c r="BG66" s="36" t="n"/>
      <c r="BH66" s="36" t="n"/>
      <c r="BI66" s="36" t="n"/>
      <c r="BJ66" s="36" t="n"/>
      <c r="BK66" s="36" t="n"/>
      <c r="BL66" s="36" t="n"/>
      <c r="BM66" s="36" t="n"/>
      <c r="BN66" s="36" t="n"/>
      <c r="BO66" s="36" t="n"/>
      <c r="BP66" s="36" t="n"/>
      <c r="BQ66" s="36" t="n"/>
      <c r="BR66" s="36" t="n"/>
      <c r="BS66" s="36" t="n"/>
      <c r="BT66" s="36" t="n"/>
      <c r="BU66" s="36" t="n"/>
      <c r="BV66" s="36" t="n"/>
      <c r="BW66" s="36" t="n"/>
    </row>
    <row r="67" ht="34" customHeight="1">
      <c r="A67" s="37" t="n"/>
      <c r="B67" s="35" t="inlineStr"/>
      <c r="C67" s="26">
        <f>IF(TRIM($B67)="","",IFERROR(INDEX(People!$A$2:$A$199,MATCH(TRIM($B67),People!$B$2:$B$199,0)),IFERROR(INDEX(Teams!$A$2:$A$9,MATCH(TRIM($B67),Teams!$B$2:$B$9,0)),"?? CHECK NAME")))</f>
        <v/>
      </c>
      <c r="D67" s="36" t="n"/>
      <c r="E67" s="36" t="n"/>
      <c r="F67" s="36" t="n"/>
      <c r="G67" s="36" t="n"/>
      <c r="H67" s="36" t="n"/>
      <c r="I67" s="36" t="n"/>
      <c r="J67" s="36" t="n"/>
      <c r="K67" s="36" t="n"/>
      <c r="L67" s="36" t="n"/>
      <c r="M67" s="36" t="n"/>
      <c r="N67" s="36" t="n"/>
      <c r="O67" s="36" t="n"/>
      <c r="P67" s="36" t="n"/>
      <c r="Q67" s="36" t="n"/>
      <c r="R67" s="36" t="n"/>
      <c r="S67" s="36" t="n"/>
      <c r="T67" s="36" t="n"/>
      <c r="U67" s="36" t="n"/>
      <c r="V67" s="36" t="n"/>
      <c r="W67" s="36" t="n"/>
      <c r="X67" s="36" t="n"/>
      <c r="Y67" s="36" t="n"/>
      <c r="Z67" s="36" t="n"/>
      <c r="AA67" s="36" t="n"/>
      <c r="AB67" s="36" t="n"/>
      <c r="AC67" s="36" t="n"/>
      <c r="AD67" s="36" t="n"/>
      <c r="AE67" s="36" t="n"/>
      <c r="AF67" s="36" t="n"/>
      <c r="AG67" s="36" t="n"/>
      <c r="AH67" s="36" t="n"/>
      <c r="AI67" s="36" t="n"/>
      <c r="AJ67" s="36" t="n"/>
      <c r="AK67" s="36" t="n"/>
      <c r="AL67" s="36" t="n"/>
      <c r="AM67" s="36" t="n"/>
      <c r="AN67" s="36" t="n"/>
      <c r="AO67" s="36" t="n"/>
      <c r="AP67" s="36" t="n"/>
      <c r="AQ67" s="36" t="n"/>
      <c r="AR67" s="36" t="n"/>
      <c r="AS67" s="36" t="n"/>
      <c r="AT67" s="36" t="n"/>
      <c r="AU67" s="36" t="n"/>
      <c r="AV67" s="36" t="n"/>
      <c r="AW67" s="36" t="n"/>
      <c r="AX67" s="36" t="n"/>
      <c r="AY67" s="36" t="n"/>
      <c r="AZ67" s="36" t="n"/>
      <c r="BA67" s="36" t="n"/>
      <c r="BB67" s="36" t="n"/>
      <c r="BC67" s="36" t="n"/>
      <c r="BD67" s="36" t="n"/>
      <c r="BE67" s="36" t="n"/>
      <c r="BF67" s="36" t="n"/>
      <c r="BG67" s="36" t="n"/>
      <c r="BH67" s="36" t="n"/>
      <c r="BI67" s="36" t="n"/>
      <c r="BJ67" s="36" t="n"/>
      <c r="BK67" s="36" t="n"/>
      <c r="BL67" s="36" t="n"/>
      <c r="BM67" s="36" t="n"/>
      <c r="BN67" s="36" t="n"/>
      <c r="BO67" s="36" t="n"/>
      <c r="BP67" s="36" t="n"/>
      <c r="BQ67" s="36" t="n"/>
      <c r="BR67" s="36" t="n"/>
      <c r="BS67" s="36" t="n"/>
      <c r="BT67" s="36" t="n"/>
      <c r="BU67" s="36" t="n"/>
      <c r="BV67" s="36" t="n"/>
      <c r="BW67" s="36" t="n"/>
    </row>
    <row r="68" ht="34" customHeight="1">
      <c r="A68" s="38" t="n"/>
      <c r="B68" s="35" t="inlineStr"/>
      <c r="C68" s="26">
        <f>IF(TRIM($B68)="","",IFERROR(INDEX(People!$A$2:$A$199,MATCH(TRIM($B68),People!$B$2:$B$199,0)),IFERROR(INDEX(Teams!$A$2:$A$9,MATCH(TRIM($B68),Teams!$B$2:$B$9,0)),"?? CHECK NAME")))</f>
        <v/>
      </c>
      <c r="D68" s="36" t="n"/>
      <c r="E68" s="36" t="n"/>
      <c r="F68" s="36" t="n"/>
      <c r="G68" s="36" t="n"/>
      <c r="H68" s="36" t="n"/>
      <c r="I68" s="36" t="n"/>
      <c r="J68" s="36" t="n"/>
      <c r="K68" s="36" t="n"/>
      <c r="L68" s="36" t="n"/>
      <c r="M68" s="36" t="n"/>
      <c r="N68" s="36" t="n"/>
      <c r="O68" s="36" t="n"/>
      <c r="P68" s="36" t="n"/>
      <c r="Q68" s="36" t="n"/>
      <c r="R68" s="36" t="n"/>
      <c r="S68" s="36" t="n"/>
      <c r="T68" s="36" t="n"/>
      <c r="U68" s="36" t="n"/>
      <c r="V68" s="36" t="n"/>
      <c r="W68" s="36" t="n"/>
      <c r="X68" s="36" t="n"/>
      <c r="Y68" s="36" t="n"/>
      <c r="Z68" s="36" t="n"/>
      <c r="AA68" s="36" t="n"/>
      <c r="AB68" s="36" t="n"/>
      <c r="AC68" s="36" t="n"/>
      <c r="AD68" s="36" t="n"/>
      <c r="AE68" s="36" t="n"/>
      <c r="AF68" s="36" t="n"/>
      <c r="AG68" s="36" t="n"/>
      <c r="AH68" s="36" t="n"/>
      <c r="AI68" s="36" t="n"/>
      <c r="AJ68" s="36" t="n"/>
      <c r="AK68" s="36" t="n"/>
      <c r="AL68" s="36" t="n"/>
      <c r="AM68" s="36" t="n"/>
      <c r="AN68" s="36" t="n"/>
      <c r="AO68" s="36" t="n"/>
      <c r="AP68" s="36" t="n"/>
      <c r="AQ68" s="36" t="n"/>
      <c r="AR68" s="36" t="n"/>
      <c r="AS68" s="36" t="n"/>
      <c r="AT68" s="36" t="n"/>
      <c r="AU68" s="36" t="n"/>
      <c r="AV68" s="36" t="n"/>
      <c r="AW68" s="36" t="n"/>
      <c r="AX68" s="36" t="n"/>
      <c r="AY68" s="36" t="n"/>
      <c r="AZ68" s="36" t="n"/>
      <c r="BA68" s="36" t="n"/>
      <c r="BB68" s="36" t="n"/>
      <c r="BC68" s="36" t="n"/>
      <c r="BD68" s="36" t="n"/>
      <c r="BE68" s="36" t="n"/>
      <c r="BF68" s="36" t="n"/>
      <c r="BG68" s="36" t="n"/>
      <c r="BH68" s="36" t="n"/>
      <c r="BI68" s="36" t="n"/>
      <c r="BJ68" s="36" t="n"/>
      <c r="BK68" s="36" t="n"/>
      <c r="BL68" s="36" t="n"/>
      <c r="BM68" s="36" t="n"/>
      <c r="BN68" s="36" t="n"/>
      <c r="BO68" s="36" t="n"/>
      <c r="BP68" s="36" t="n"/>
      <c r="BQ68" s="36" t="n"/>
      <c r="BR68" s="36" t="n"/>
      <c r="BS68" s="36" t="n"/>
      <c r="BT68" s="36" t="n"/>
      <c r="BU68" s="36" t="n"/>
      <c r="BV68" s="36" t="n"/>
      <c r="BW68" s="36" t="n"/>
    </row>
    <row r="69" ht="18" customHeight="1">
      <c r="A69" s="32" t="inlineStr">
        <is>
          <t>TEAMS  —  anything the whole team does goes on its own row</t>
        </is>
      </c>
      <c r="B69" s="33" t="n"/>
      <c r="C69" s="33" t="n"/>
      <c r="D69" s="33" t="n"/>
      <c r="E69" s="33" t="n"/>
      <c r="F69" s="33" t="n"/>
      <c r="G69" s="33" t="n"/>
      <c r="H69" s="33" t="n"/>
      <c r="I69" s="33" t="n"/>
      <c r="J69" s="33" t="n"/>
      <c r="K69" s="33" t="n"/>
      <c r="L69" s="33" t="n"/>
      <c r="M69" s="33" t="n"/>
      <c r="N69" s="33" t="n"/>
      <c r="O69" s="33" t="n"/>
      <c r="P69" s="33" t="n"/>
      <c r="Q69" s="33" t="n"/>
      <c r="R69" s="33" t="n"/>
      <c r="S69" s="33" t="n"/>
      <c r="T69" s="33" t="n"/>
      <c r="U69" s="33" t="n"/>
      <c r="V69" s="33" t="n"/>
      <c r="W69" s="33" t="n"/>
      <c r="X69" s="33" t="n"/>
      <c r="Y69" s="33" t="n"/>
      <c r="Z69" s="33" t="n"/>
      <c r="AA69" s="33" t="n"/>
      <c r="AB69" s="33" t="n"/>
      <c r="AC69" s="33" t="n"/>
      <c r="AD69" s="33" t="n"/>
      <c r="AE69" s="33" t="n"/>
      <c r="AF69" s="33" t="n"/>
      <c r="AG69" s="33" t="n"/>
      <c r="AH69" s="33" t="n"/>
      <c r="AI69" s="33" t="n"/>
      <c r="AJ69" s="33" t="n"/>
      <c r="AK69" s="33" t="n"/>
      <c r="AL69" s="33" t="n"/>
      <c r="AM69" s="33" t="n"/>
      <c r="AN69" s="33" t="n"/>
      <c r="AO69" s="33" t="n"/>
      <c r="AP69" s="33" t="n"/>
      <c r="AQ69" s="33" t="n"/>
      <c r="AR69" s="33" t="n"/>
      <c r="AS69" s="33" t="n"/>
      <c r="AT69" s="33" t="n"/>
      <c r="AU69" s="33" t="n"/>
      <c r="AV69" s="33" t="n"/>
      <c r="AW69" s="33" t="n"/>
      <c r="AX69" s="33" t="n"/>
      <c r="AY69" s="33" t="n"/>
      <c r="AZ69" s="33" t="n"/>
      <c r="BA69" s="33" t="n"/>
      <c r="BB69" s="33" t="n"/>
      <c r="BC69" s="33" t="n"/>
      <c r="BD69" s="33" t="n"/>
      <c r="BE69" s="33" t="n"/>
      <c r="BF69" s="33" t="n"/>
      <c r="BG69" s="33" t="n"/>
      <c r="BH69" s="33" t="n"/>
      <c r="BI69" s="33" t="n"/>
      <c r="BJ69" s="33" t="n"/>
      <c r="BK69" s="33" t="n"/>
      <c r="BL69" s="33" t="n"/>
      <c r="BM69" s="33" t="n"/>
      <c r="BN69" s="33" t="n"/>
      <c r="BO69" s="33" t="n"/>
      <c r="BP69" s="33" t="n"/>
      <c r="BQ69" s="33" t="n"/>
      <c r="BR69" s="33" t="n"/>
      <c r="BS69" s="33" t="n"/>
      <c r="BT69" s="33" t="n"/>
      <c r="BU69" s="33" t="n"/>
      <c r="BV69" s="33" t="n"/>
      <c r="BW69" s="34" t="n"/>
    </row>
    <row r="70" ht="34" customHeight="1">
      <c r="A70" s="16" t="inlineStr">
        <is>
          <t>Team</t>
        </is>
      </c>
      <c r="B70" s="39" t="inlineStr">
        <is>
          <t>UNC Taar Heel Raas</t>
        </is>
      </c>
      <c r="C70" s="26">
        <f>IF(TRIM($B70)="","",IFERROR(INDEX(People!$A$2:$A$199,MATCH(TRIM($B70),People!$B$2:$B$199,0)),IFERROR(INDEX(Teams!$A$2:$A$9,MATCH(TRIM($B70),Teams!$B$2:$B$9,0)),"?? CHECK NAME")))</f>
        <v/>
      </c>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c r="AE70" s="40" t="n"/>
      <c r="AF70" s="40" t="n"/>
      <c r="AG70" s="40" t="n"/>
      <c r="AH70" s="40" t="n"/>
      <c r="AI70" s="40" t="n"/>
      <c r="AJ70" s="40" t="n"/>
      <c r="AK70" s="40" t="n"/>
      <c r="AL70" s="40" t="n"/>
      <c r="AM70" s="40" t="n"/>
      <c r="AN70" s="40" t="n"/>
      <c r="AO70" s="40" t="n"/>
      <c r="AP70" s="40" t="n"/>
      <c r="AQ70" s="40" t="n"/>
      <c r="AR70" s="40" t="n"/>
      <c r="AS70" s="40" t="n"/>
      <c r="AT70" s="40" t="n"/>
      <c r="AU70" s="40" t="n"/>
      <c r="AV70" s="40" t="n"/>
      <c r="AW70" s="40" t="n"/>
      <c r="AX70" s="40" t="n"/>
      <c r="AY70" s="40" t="n"/>
      <c r="AZ70" s="40" t="n"/>
      <c r="BA70" s="40" t="n"/>
      <c r="BB70" s="40" t="n"/>
      <c r="BC70" s="40" t="n"/>
      <c r="BD70" s="40" t="n"/>
      <c r="BE70" s="40" t="n"/>
      <c r="BF70" s="40" t="n"/>
      <c r="BG70" s="40" t="n"/>
      <c r="BH70" s="40" t="n"/>
      <c r="BI70" s="40" t="n"/>
      <c r="BJ70" s="40" t="n"/>
      <c r="BK70" s="40" t="n"/>
      <c r="BL70" s="40" t="n"/>
      <c r="BM70" s="40" t="n"/>
      <c r="BN70" s="40" t="n"/>
      <c r="BO70" s="40" t="n"/>
      <c r="BP70" s="40" t="n"/>
      <c r="BQ70" s="40" t="n"/>
      <c r="BR70" s="40" t="n"/>
      <c r="BS70" s="40" t="n"/>
      <c r="BT70" s="40" t="n"/>
      <c r="BU70" s="40" t="n"/>
      <c r="BV70" s="40" t="n"/>
      <c r="BW70" s="40" t="n"/>
    </row>
    <row r="71" ht="34" customHeight="1">
      <c r="A71" s="16" t="inlineStr">
        <is>
          <t>Team</t>
        </is>
      </c>
      <c r="B71" s="39" t="inlineStr">
        <is>
          <t>Illini Raas</t>
        </is>
      </c>
      <c r="C71" s="26">
        <f>IF(TRIM($B71)="","",IFERROR(INDEX(People!$A$2:$A$199,MATCH(TRIM($B71),People!$B$2:$B$199,0)),IFERROR(INDEX(Teams!$A$2:$A$9,MATCH(TRIM($B71),Teams!$B$2:$B$9,0)),"?? CHECK NAME")))</f>
        <v/>
      </c>
      <c r="D71" s="40" t="n"/>
      <c r="E71" s="40" t="n"/>
      <c r="F71" s="40" t="n"/>
      <c r="G71" s="40" t="n"/>
      <c r="H71" s="40" t="n"/>
      <c r="I71" s="40" t="n"/>
      <c r="J71" s="40" t="n"/>
      <c r="K71" s="40" t="n"/>
      <c r="L71" s="40" t="n"/>
      <c r="M71" s="40" t="n"/>
      <c r="N71" s="40" t="n"/>
      <c r="O71" s="40" t="n"/>
      <c r="P71" s="40" t="n"/>
      <c r="Q71" s="40" t="n"/>
      <c r="R71" s="40" t="n"/>
      <c r="S71" s="40" t="n"/>
      <c r="T71" s="40" t="n"/>
      <c r="U71" s="40" t="n"/>
      <c r="V71" s="40" t="n"/>
      <c r="W71" s="40" t="n"/>
      <c r="X71" s="40" t="n"/>
      <c r="Y71" s="40" t="n"/>
      <c r="Z71" s="40" t="n"/>
      <c r="AA71" s="40" t="n"/>
      <c r="AB71" s="40" t="n"/>
      <c r="AC71" s="40" t="n"/>
      <c r="AD71" s="40" t="n"/>
      <c r="AE71" s="40" t="n"/>
      <c r="AF71" s="40" t="n"/>
      <c r="AG71" s="40" t="n"/>
      <c r="AH71" s="40" t="n"/>
      <c r="AI71" s="40" t="n"/>
      <c r="AJ71" s="40" t="n"/>
      <c r="AK71" s="40" t="n"/>
      <c r="AL71" s="40" t="n"/>
      <c r="AM71" s="40" t="n"/>
      <c r="AN71" s="40" t="n"/>
      <c r="AO71" s="40" t="n"/>
      <c r="AP71" s="40" t="n"/>
      <c r="AQ71" s="40" t="n"/>
      <c r="AR71" s="40" t="n"/>
      <c r="AS71" s="40" t="n"/>
      <c r="AT71" s="40" t="n"/>
      <c r="AU71" s="40" t="n"/>
      <c r="AV71" s="40" t="n"/>
      <c r="AW71" s="40" t="n"/>
      <c r="AX71" s="40" t="n"/>
      <c r="AY71" s="40" t="n"/>
      <c r="AZ71" s="40" t="n"/>
      <c r="BA71" s="40" t="n"/>
      <c r="BB71" s="40" t="n"/>
      <c r="BC71" s="40" t="n"/>
      <c r="BD71" s="40" t="n"/>
      <c r="BE71" s="40" t="n"/>
      <c r="BF71" s="40" t="n"/>
      <c r="BG71" s="40" t="n"/>
      <c r="BH71" s="40" t="n"/>
      <c r="BI71" s="40" t="n"/>
      <c r="BJ71" s="40" t="n"/>
      <c r="BK71" s="40" t="n"/>
      <c r="BL71" s="40" t="n"/>
      <c r="BM71" s="40" t="n"/>
      <c r="BN71" s="40" t="n"/>
      <c r="BO71" s="40" t="n"/>
      <c r="BP71" s="40" t="n"/>
      <c r="BQ71" s="40" t="n"/>
      <c r="BR71" s="40" t="n"/>
      <c r="BS71" s="40" t="n"/>
      <c r="BT71" s="40" t="n"/>
      <c r="BU71" s="40" t="n"/>
      <c r="BV71" s="40" t="n"/>
      <c r="BW71" s="40" t="n"/>
    </row>
    <row r="72" ht="34" customHeight="1">
      <c r="A72" s="16" t="inlineStr">
        <is>
          <t>Team</t>
        </is>
      </c>
      <c r="B72" s="39" t="inlineStr">
        <is>
          <t>UTD Taraas</t>
        </is>
      </c>
      <c r="C72" s="26">
        <f>IF(TRIM($B72)="","",IFERROR(INDEX(People!$A$2:$A$199,MATCH(TRIM($B72),People!$B$2:$B$199,0)),IFERROR(INDEX(Teams!$A$2:$A$9,MATCH(TRIM($B72),Teams!$B$2:$B$9,0)),"?? CHECK NAME")))</f>
        <v/>
      </c>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c r="AE72" s="40" t="n"/>
      <c r="AF72" s="40" t="n"/>
      <c r="AG72" s="40" t="n"/>
      <c r="AH72" s="40" t="n"/>
      <c r="AI72" s="40" t="n"/>
      <c r="AJ72" s="40" t="n"/>
      <c r="AK72" s="40" t="n"/>
      <c r="AL72" s="40" t="n"/>
      <c r="AM72" s="40" t="n"/>
      <c r="AN72" s="40" t="n"/>
      <c r="AO72" s="40" t="n"/>
      <c r="AP72" s="40" t="n"/>
      <c r="AQ72" s="40" t="n"/>
      <c r="AR72" s="40" t="n"/>
      <c r="AS72" s="40" t="n"/>
      <c r="AT72" s="40" t="n"/>
      <c r="AU72" s="40" t="n"/>
      <c r="AV72" s="40" t="n"/>
      <c r="AW72" s="40" t="n"/>
      <c r="AX72" s="40" t="n"/>
      <c r="AY72" s="40" t="n"/>
      <c r="AZ72" s="40" t="n"/>
      <c r="BA72" s="40" t="n"/>
      <c r="BB72" s="40" t="n"/>
      <c r="BC72" s="40" t="n"/>
      <c r="BD72" s="40" t="n"/>
      <c r="BE72" s="40" t="n"/>
      <c r="BF72" s="40" t="n"/>
      <c r="BG72" s="40" t="n"/>
      <c r="BH72" s="40" t="n"/>
      <c r="BI72" s="40" t="n"/>
      <c r="BJ72" s="40" t="n"/>
      <c r="BK72" s="40" t="n"/>
      <c r="BL72" s="40" t="n"/>
      <c r="BM72" s="40" t="n"/>
      <c r="BN72" s="40" t="n"/>
      <c r="BO72" s="40" t="n"/>
      <c r="BP72" s="40" t="n"/>
      <c r="BQ72" s="40" t="n"/>
      <c r="BR72" s="40" t="n"/>
      <c r="BS72" s="40" t="n"/>
      <c r="BT72" s="40" t="n"/>
      <c r="BU72" s="40" t="n"/>
      <c r="BV72" s="40" t="n"/>
      <c r="BW72" s="40" t="n"/>
    </row>
    <row r="73" ht="34" customHeight="1">
      <c r="A73" s="16" t="inlineStr">
        <is>
          <t>Team</t>
        </is>
      </c>
      <c r="B73" s="39" t="inlineStr">
        <is>
          <t>UVA Hooraas</t>
        </is>
      </c>
      <c r="C73" s="26">
        <f>IF(TRIM($B73)="","",IFERROR(INDEX(People!$A$2:$A$199,MATCH(TRIM($B73),People!$B$2:$B$199,0)),IFERROR(INDEX(Teams!$A$2:$A$9,MATCH(TRIM($B73),Teams!$B$2:$B$9,0)),"?? CHECK NAME")))</f>
        <v/>
      </c>
      <c r="D73" s="40" t="n"/>
      <c r="E73" s="40" t="n"/>
      <c r="F73" s="40" t="n"/>
      <c r="G73" s="40" t="n"/>
      <c r="H73" s="40" t="n"/>
      <c r="I73" s="40" t="n"/>
      <c r="J73" s="40" t="n"/>
      <c r="K73" s="40" t="n"/>
      <c r="L73" s="40" t="n"/>
      <c r="M73" s="40" t="n"/>
      <c r="N73" s="40" t="n"/>
      <c r="O73" s="40" t="n"/>
      <c r="P73" s="40" t="n"/>
      <c r="Q73" s="40" t="n"/>
      <c r="R73" s="40" t="n"/>
      <c r="S73" s="40" t="n"/>
      <c r="T73" s="40" t="n"/>
      <c r="U73" s="40" t="n"/>
      <c r="V73" s="40" t="n"/>
      <c r="W73" s="40" t="n"/>
      <c r="X73" s="40" t="n"/>
      <c r="Y73" s="40" t="n"/>
      <c r="Z73" s="40" t="n"/>
      <c r="AA73" s="40" t="n"/>
      <c r="AB73" s="40" t="n"/>
      <c r="AC73" s="40" t="n"/>
      <c r="AD73" s="40" t="n"/>
      <c r="AE73" s="40" t="n"/>
      <c r="AF73" s="40" t="n"/>
      <c r="AG73" s="40" t="n"/>
      <c r="AH73" s="40" t="n"/>
      <c r="AI73" s="40" t="n"/>
      <c r="AJ73" s="40" t="n"/>
      <c r="AK73" s="40" t="n"/>
      <c r="AL73" s="40" t="n"/>
      <c r="AM73" s="40" t="n"/>
      <c r="AN73" s="40" t="n"/>
      <c r="AO73" s="40" t="n"/>
      <c r="AP73" s="40" t="n"/>
      <c r="AQ73" s="40" t="n"/>
      <c r="AR73" s="40" t="n"/>
      <c r="AS73" s="40" t="n"/>
      <c r="AT73" s="40" t="n"/>
      <c r="AU73" s="40" t="n"/>
      <c r="AV73" s="40" t="n"/>
      <c r="AW73" s="40" t="n"/>
      <c r="AX73" s="40" t="n"/>
      <c r="AY73" s="40" t="n"/>
      <c r="AZ73" s="40" t="n"/>
      <c r="BA73" s="40" t="n"/>
      <c r="BB73" s="40" t="n"/>
      <c r="BC73" s="40" t="n"/>
      <c r="BD73" s="40" t="n"/>
      <c r="BE73" s="40" t="n"/>
      <c r="BF73" s="40" t="n"/>
      <c r="BG73" s="40" t="n"/>
      <c r="BH73" s="40" t="n"/>
      <c r="BI73" s="40" t="n"/>
      <c r="BJ73" s="40" t="n"/>
      <c r="BK73" s="40" t="n"/>
      <c r="BL73" s="40" t="n"/>
      <c r="BM73" s="40" t="n"/>
      <c r="BN73" s="40" t="n"/>
      <c r="BO73" s="40" t="n"/>
      <c r="BP73" s="40" t="n"/>
      <c r="BQ73" s="40" t="n"/>
      <c r="BR73" s="40" t="n"/>
      <c r="BS73" s="40" t="n"/>
      <c r="BT73" s="40" t="n"/>
      <c r="BU73" s="40" t="n"/>
      <c r="BV73" s="40" t="n"/>
      <c r="BW73" s="40" t="n"/>
    </row>
    <row r="74" ht="34" customHeight="1">
      <c r="A74" s="16" t="inlineStr">
        <is>
          <t>Team</t>
        </is>
      </c>
      <c r="B74" s="39" t="inlineStr">
        <is>
          <t>UMD Entouraas</t>
        </is>
      </c>
      <c r="C74" s="26">
        <f>IF(TRIM($B74)="","",IFERROR(INDEX(People!$A$2:$A$199,MATCH(TRIM($B74),People!$B$2:$B$199,0)),IFERROR(INDEX(Teams!$A$2:$A$9,MATCH(TRIM($B74),Teams!$B$2:$B$9,0)),"?? CHECK NAME")))</f>
        <v/>
      </c>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c r="AE74" s="40" t="n"/>
      <c r="AF74" s="40" t="n"/>
      <c r="AG74" s="40" t="n"/>
      <c r="AH74" s="40" t="n"/>
      <c r="AI74" s="40" t="n"/>
      <c r="AJ74" s="40" t="n"/>
      <c r="AK74" s="40" t="n"/>
      <c r="AL74" s="40" t="n"/>
      <c r="AM74" s="40" t="n"/>
      <c r="AN74" s="40" t="n"/>
      <c r="AO74" s="40" t="n"/>
      <c r="AP74" s="40" t="n"/>
      <c r="AQ74" s="40" t="n"/>
      <c r="AR74" s="40" t="n"/>
      <c r="AS74" s="40" t="n"/>
      <c r="AT74" s="40" t="n"/>
      <c r="AU74" s="40" t="n"/>
      <c r="AV74" s="40" t="n"/>
      <c r="AW74" s="40" t="n"/>
      <c r="AX74" s="40" t="n"/>
      <c r="AY74" s="40" t="n"/>
      <c r="AZ74" s="40" t="n"/>
      <c r="BA74" s="40" t="n"/>
      <c r="BB74" s="40" t="n"/>
      <c r="BC74" s="40" t="n"/>
      <c r="BD74" s="40" t="n"/>
      <c r="BE74" s="40" t="n"/>
      <c r="BF74" s="40" t="n"/>
      <c r="BG74" s="40" t="n"/>
      <c r="BH74" s="40" t="n"/>
      <c r="BI74" s="40" t="n"/>
      <c r="BJ74" s="40" t="n"/>
      <c r="BK74" s="40" t="n"/>
      <c r="BL74" s="40" t="n"/>
      <c r="BM74" s="40" t="n"/>
      <c r="BN74" s="40" t="n"/>
      <c r="BO74" s="40" t="n"/>
      <c r="BP74" s="40" t="n"/>
      <c r="BQ74" s="40" t="n"/>
      <c r="BR74" s="40" t="n"/>
      <c r="BS74" s="40" t="n"/>
      <c r="BT74" s="40" t="n"/>
      <c r="BU74" s="40" t="n"/>
      <c r="BV74" s="40" t="n"/>
      <c r="BW74" s="40" t="n"/>
    </row>
    <row r="75" ht="34" customHeight="1">
      <c r="A75" s="16" t="inlineStr">
        <is>
          <t>Team</t>
        </is>
      </c>
      <c r="B75" s="39" t="inlineStr">
        <is>
          <t>Michigan Wolveraas</t>
        </is>
      </c>
      <c r="C75" s="26">
        <f>IF(TRIM($B75)="","",IFERROR(INDEX(People!$A$2:$A$199,MATCH(TRIM($B75),People!$B$2:$B$199,0)),IFERROR(INDEX(Teams!$A$2:$A$9,MATCH(TRIM($B75),Teams!$B$2:$B$9,0)),"?? CHECK NAME")))</f>
        <v/>
      </c>
      <c r="D75" s="40" t="n"/>
      <c r="E75" s="40" t="n"/>
      <c r="F75" s="40" t="n"/>
      <c r="G75" s="40" t="n"/>
      <c r="H75" s="40" t="n"/>
      <c r="I75" s="40" t="n"/>
      <c r="J75" s="40" t="n"/>
      <c r="K75" s="40" t="n"/>
      <c r="L75" s="40" t="n"/>
      <c r="M75" s="40" t="n"/>
      <c r="N75" s="40" t="n"/>
      <c r="O75" s="40" t="n"/>
      <c r="P75" s="40" t="n"/>
      <c r="Q75" s="40" t="n"/>
      <c r="R75" s="40" t="n"/>
      <c r="S75" s="40" t="n"/>
      <c r="T75" s="40" t="n"/>
      <c r="U75" s="40" t="n"/>
      <c r="V75" s="40" t="n"/>
      <c r="W75" s="40" t="n"/>
      <c r="X75" s="40" t="n"/>
      <c r="Y75" s="40" t="n"/>
      <c r="Z75" s="40" t="n"/>
      <c r="AA75" s="40" t="n"/>
      <c r="AB75" s="40" t="n"/>
      <c r="AC75" s="40" t="n"/>
      <c r="AD75" s="40" t="n"/>
      <c r="AE75" s="40" t="n"/>
      <c r="AF75" s="40" t="n"/>
      <c r="AG75" s="40" t="n"/>
      <c r="AH75" s="40" t="n"/>
      <c r="AI75" s="40" t="n"/>
      <c r="AJ75" s="40" t="n"/>
      <c r="AK75" s="40" t="n"/>
      <c r="AL75" s="40" t="n"/>
      <c r="AM75" s="40" t="n"/>
      <c r="AN75" s="40" t="n"/>
      <c r="AO75" s="40" t="n"/>
      <c r="AP75" s="40" t="n"/>
      <c r="AQ75" s="40" t="n"/>
      <c r="AR75" s="40" t="n"/>
      <c r="AS75" s="40" t="n"/>
      <c r="AT75" s="40" t="n"/>
      <c r="AU75" s="40" t="n"/>
      <c r="AV75" s="40" t="n"/>
      <c r="AW75" s="40" t="n"/>
      <c r="AX75" s="40" t="n"/>
      <c r="AY75" s="40" t="n"/>
      <c r="AZ75" s="40" t="n"/>
      <c r="BA75" s="40" t="n"/>
      <c r="BB75" s="40" t="n"/>
      <c r="BC75" s="40" t="n"/>
      <c r="BD75" s="40" t="n"/>
      <c r="BE75" s="40" t="n"/>
      <c r="BF75" s="40" t="n"/>
      <c r="BG75" s="40" t="n"/>
      <c r="BH75" s="40" t="n"/>
      <c r="BI75" s="40" t="n"/>
      <c r="BJ75" s="40" t="n"/>
      <c r="BK75" s="40" t="n"/>
      <c r="BL75" s="40" t="n"/>
      <c r="BM75" s="40" t="n"/>
      <c r="BN75" s="40" t="n"/>
      <c r="BO75" s="40" t="n"/>
      <c r="BP75" s="40" t="n"/>
      <c r="BQ75" s="40" t="n"/>
      <c r="BR75" s="40" t="n"/>
      <c r="BS75" s="40" t="n"/>
      <c r="BT75" s="40" t="n"/>
      <c r="BU75" s="40" t="n"/>
      <c r="BV75" s="40" t="n"/>
      <c r="BW75" s="40" t="n"/>
    </row>
    <row r="76" ht="34" customHeight="1">
      <c r="A76" s="16" t="inlineStr">
        <is>
          <t>Team</t>
        </is>
      </c>
      <c r="B76" s="39" t="inlineStr">
        <is>
          <t>MSU Raasparty</t>
        </is>
      </c>
      <c r="C76" s="26">
        <f>IF(TRIM($B76)="","",IFERROR(INDEX(People!$A$2:$A$199,MATCH(TRIM($B76),People!$B$2:$B$199,0)),IFERROR(INDEX(Teams!$A$2:$A$9,MATCH(TRIM($B76),Teams!$B$2:$B$9,0)),"?? CHECK NAME")))</f>
        <v/>
      </c>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c r="AE76" s="40" t="n"/>
      <c r="AF76" s="40" t="n"/>
      <c r="AG76" s="40" t="n"/>
      <c r="AH76" s="40" t="n"/>
      <c r="AI76" s="40" t="n"/>
      <c r="AJ76" s="40" t="n"/>
      <c r="AK76" s="40" t="n"/>
      <c r="AL76" s="40" t="n"/>
      <c r="AM76" s="40" t="n"/>
      <c r="AN76" s="40" t="n"/>
      <c r="AO76" s="40" t="n"/>
      <c r="AP76" s="40" t="n"/>
      <c r="AQ76" s="40" t="n"/>
      <c r="AR76" s="40" t="n"/>
      <c r="AS76" s="40" t="n"/>
      <c r="AT76" s="40" t="n"/>
      <c r="AU76" s="40" t="n"/>
      <c r="AV76" s="40" t="n"/>
      <c r="AW76" s="40" t="n"/>
      <c r="AX76" s="40" t="n"/>
      <c r="AY76" s="40" t="n"/>
      <c r="AZ76" s="40" t="n"/>
      <c r="BA76" s="40" t="n"/>
      <c r="BB76" s="40" t="n"/>
      <c r="BC76" s="40" t="n"/>
      <c r="BD76" s="40" t="n"/>
      <c r="BE76" s="40" t="n"/>
      <c r="BF76" s="40" t="n"/>
      <c r="BG76" s="40" t="n"/>
      <c r="BH76" s="40" t="n"/>
      <c r="BI76" s="40" t="n"/>
      <c r="BJ76" s="40" t="n"/>
      <c r="BK76" s="40" t="n"/>
      <c r="BL76" s="40" t="n"/>
      <c r="BM76" s="40" t="n"/>
      <c r="BN76" s="40" t="n"/>
      <c r="BO76" s="40" t="n"/>
      <c r="BP76" s="40" t="n"/>
      <c r="BQ76" s="40" t="n"/>
      <c r="BR76" s="40" t="n"/>
      <c r="BS76" s="40" t="n"/>
      <c r="BT76" s="40" t="n"/>
      <c r="BU76" s="40" t="n"/>
      <c r="BV76" s="40" t="n"/>
      <c r="BW76" s="40" t="n"/>
    </row>
    <row r="77" ht="34" customHeight="1">
      <c r="A77" s="16" t="inlineStr">
        <is>
          <t>Team</t>
        </is>
      </c>
      <c r="B77" s="39" t="inlineStr">
        <is>
          <t>GT Ramblin Raas</t>
        </is>
      </c>
      <c r="C77" s="26">
        <f>IF(TRIM($B77)="","",IFERROR(INDEX(People!$A$2:$A$199,MATCH(TRIM($B77),People!$B$2:$B$199,0)),IFERROR(INDEX(Teams!$A$2:$A$9,MATCH(TRIM($B77),Teams!$B$2:$B$9,0)),"?? CHECK NAME")))</f>
        <v/>
      </c>
      <c r="D77" s="40" t="n"/>
      <c r="E77" s="40" t="n"/>
      <c r="F77" s="40" t="n"/>
      <c r="G77" s="40" t="n"/>
      <c r="H77" s="40" t="n"/>
      <c r="I77" s="40" t="n"/>
      <c r="J77" s="40" t="n"/>
      <c r="K77" s="40" t="n"/>
      <c r="L77" s="40" t="n"/>
      <c r="M77" s="40" t="n"/>
      <c r="N77" s="40" t="n"/>
      <c r="O77" s="40" t="n"/>
      <c r="P77" s="40" t="n"/>
      <c r="Q77" s="40" t="n"/>
      <c r="R77" s="40" t="n"/>
      <c r="S77" s="40" t="n"/>
      <c r="T77" s="40" t="n"/>
      <c r="U77" s="40" t="n"/>
      <c r="V77" s="40" t="n"/>
      <c r="W77" s="40" t="n"/>
      <c r="X77" s="40" t="n"/>
      <c r="Y77" s="40" t="n"/>
      <c r="Z77" s="40" t="n"/>
      <c r="AA77" s="40" t="n"/>
      <c r="AB77" s="40" t="n"/>
      <c r="AC77" s="40" t="n"/>
      <c r="AD77" s="40" t="n"/>
      <c r="AE77" s="40" t="n"/>
      <c r="AF77" s="40" t="n"/>
      <c r="AG77" s="40" t="n"/>
      <c r="AH77" s="40" t="n"/>
      <c r="AI77" s="40" t="n"/>
      <c r="AJ77" s="40" t="n"/>
      <c r="AK77" s="40" t="n"/>
      <c r="AL77" s="40" t="n"/>
      <c r="AM77" s="40" t="n"/>
      <c r="AN77" s="40" t="n"/>
      <c r="AO77" s="40" t="n"/>
      <c r="AP77" s="40" t="n"/>
      <c r="AQ77" s="40" t="n"/>
      <c r="AR77" s="40" t="n"/>
      <c r="AS77" s="40" t="n"/>
      <c r="AT77" s="40" t="n"/>
      <c r="AU77" s="40" t="n"/>
      <c r="AV77" s="40" t="n"/>
      <c r="AW77" s="40" t="n"/>
      <c r="AX77" s="40" t="n"/>
      <c r="AY77" s="40" t="n"/>
      <c r="AZ77" s="40" t="n"/>
      <c r="BA77" s="40" t="n"/>
      <c r="BB77" s="40" t="n"/>
      <c r="BC77" s="40" t="n"/>
      <c r="BD77" s="40" t="n"/>
      <c r="BE77" s="40" t="n"/>
      <c r="BF77" s="40" t="n"/>
      <c r="BG77" s="40" t="n"/>
      <c r="BH77" s="40" t="n"/>
      <c r="BI77" s="40" t="n"/>
      <c r="BJ77" s="40" t="n"/>
      <c r="BK77" s="40" t="n"/>
      <c r="BL77" s="40" t="n"/>
      <c r="BM77" s="40" t="n"/>
      <c r="BN77" s="40" t="n"/>
      <c r="BO77" s="40" t="n"/>
      <c r="BP77" s="40" t="n"/>
      <c r="BQ77" s="40" t="n"/>
      <c r="BR77" s="40" t="n"/>
      <c r="BS77" s="40" t="n"/>
      <c r="BT77" s="40" t="n"/>
      <c r="BU77" s="40" t="n"/>
      <c r="BV77" s="40" t="n"/>
      <c r="BW77" s="40" t="n"/>
    </row>
    <row r="78" ht="18" customHeight="1">
      <c r="A78" s="32" t="inlineStr">
        <is>
          <t>JUDGES, VIDEOGRAPHERS &amp; RAS REPS</t>
        </is>
      </c>
      <c r="B78" s="33" t="n"/>
      <c r="C78" s="33" t="n"/>
      <c r="D78" s="33" t="n"/>
      <c r="E78" s="33" t="n"/>
      <c r="F78" s="33" t="n"/>
      <c r="G78" s="33" t="n"/>
      <c r="H78" s="33" t="n"/>
      <c r="I78" s="33" t="n"/>
      <c r="J78" s="33" t="n"/>
      <c r="K78" s="33" t="n"/>
      <c r="L78" s="33" t="n"/>
      <c r="M78" s="33" t="n"/>
      <c r="N78" s="33" t="n"/>
      <c r="O78" s="33" t="n"/>
      <c r="P78" s="33" t="n"/>
      <c r="Q78" s="33" t="n"/>
      <c r="R78" s="33" t="n"/>
      <c r="S78" s="33" t="n"/>
      <c r="T78" s="33" t="n"/>
      <c r="U78" s="33" t="n"/>
      <c r="V78" s="33" t="n"/>
      <c r="W78" s="33" t="n"/>
      <c r="X78" s="33" t="n"/>
      <c r="Y78" s="33" t="n"/>
      <c r="Z78" s="33" t="n"/>
      <c r="AA78" s="33" t="n"/>
      <c r="AB78" s="33" t="n"/>
      <c r="AC78" s="33" t="n"/>
      <c r="AD78" s="33" t="n"/>
      <c r="AE78" s="33" t="n"/>
      <c r="AF78" s="33" t="n"/>
      <c r="AG78" s="33" t="n"/>
      <c r="AH78" s="33" t="n"/>
      <c r="AI78" s="33" t="n"/>
      <c r="AJ78" s="33" t="n"/>
      <c r="AK78" s="33" t="n"/>
      <c r="AL78" s="33" t="n"/>
      <c r="AM78" s="33" t="n"/>
      <c r="AN78" s="33" t="n"/>
      <c r="AO78" s="33" t="n"/>
      <c r="AP78" s="33" t="n"/>
      <c r="AQ78" s="33" t="n"/>
      <c r="AR78" s="33" t="n"/>
      <c r="AS78" s="33" t="n"/>
      <c r="AT78" s="33" t="n"/>
      <c r="AU78" s="33" t="n"/>
      <c r="AV78" s="33" t="n"/>
      <c r="AW78" s="33" t="n"/>
      <c r="AX78" s="33" t="n"/>
      <c r="AY78" s="33" t="n"/>
      <c r="AZ78" s="33" t="n"/>
      <c r="BA78" s="33" t="n"/>
      <c r="BB78" s="33" t="n"/>
      <c r="BC78" s="33" t="n"/>
      <c r="BD78" s="33" t="n"/>
      <c r="BE78" s="33" t="n"/>
      <c r="BF78" s="33" t="n"/>
      <c r="BG78" s="33" t="n"/>
      <c r="BH78" s="33" t="n"/>
      <c r="BI78" s="33" t="n"/>
      <c r="BJ78" s="33" t="n"/>
      <c r="BK78" s="33" t="n"/>
      <c r="BL78" s="33" t="n"/>
      <c r="BM78" s="33" t="n"/>
      <c r="BN78" s="33" t="n"/>
      <c r="BO78" s="33" t="n"/>
      <c r="BP78" s="33" t="n"/>
      <c r="BQ78" s="33" t="n"/>
      <c r="BR78" s="33" t="n"/>
      <c r="BS78" s="33" t="n"/>
      <c r="BT78" s="33" t="n"/>
      <c r="BU78" s="33" t="n"/>
      <c r="BV78" s="33" t="n"/>
      <c r="BW78" s="34" t="n"/>
    </row>
    <row r="79" ht="34" customHeight="1">
      <c r="A79" s="16" t="inlineStr">
        <is>
          <t>Judges</t>
        </is>
      </c>
      <c r="B79" s="17" t="inlineStr">
        <is>
          <t>All Judges</t>
        </is>
      </c>
      <c r="C79" s="26" t="inlineStr">
        <is>
          <t>ROLE-JUDGES</t>
        </is>
      </c>
      <c r="D79" s="40" t="n"/>
      <c r="E79" s="40" t="n"/>
      <c r="F79" s="40" t="n"/>
      <c r="G79" s="40" t="n"/>
      <c r="H79" s="40" t="n"/>
      <c r="I79" s="40" t="n"/>
      <c r="J79" s="40" t="n"/>
      <c r="K79" s="40" t="n"/>
      <c r="L79" s="40" t="n"/>
      <c r="M79" s="40" t="n"/>
      <c r="N79" s="40" t="n"/>
      <c r="O79" s="40" t="n"/>
      <c r="P79" s="40" t="n"/>
      <c r="Q79" s="40" t="n"/>
      <c r="R79" s="40" t="n"/>
      <c r="S79" s="40" t="n"/>
      <c r="T79" s="40" t="n"/>
      <c r="U79" s="40" t="n"/>
      <c r="V79" s="40" t="n"/>
      <c r="W79" s="40" t="n"/>
      <c r="X79" s="40" t="n"/>
      <c r="Y79" s="40" t="n"/>
      <c r="Z79" s="40" t="n"/>
      <c r="AA79" s="40" t="n"/>
      <c r="AB79" s="40" t="n"/>
      <c r="AC79" s="40" t="n"/>
      <c r="AD79" s="40" t="n"/>
      <c r="AE79" s="40" t="n"/>
      <c r="AF79" s="40" t="n"/>
      <c r="AG79" s="40" t="n"/>
      <c r="AH79" s="40" t="n"/>
      <c r="AI79" s="40" t="n"/>
      <c r="AJ79" s="40" t="n"/>
      <c r="AK79" s="40" t="n"/>
      <c r="AL79" s="40" t="n"/>
      <c r="AM79" s="40" t="n"/>
      <c r="AN79" s="40" t="n"/>
      <c r="AO79" s="40" t="n"/>
      <c r="AP79" s="40" t="n"/>
      <c r="AQ79" s="40" t="n"/>
      <c r="AR79" s="40" t="n"/>
      <c r="AS79" s="40" t="n"/>
      <c r="AT79" s="40" t="n"/>
      <c r="AU79" s="40" t="n"/>
      <c r="AV79" s="40" t="n"/>
      <c r="AW79" s="40" t="n"/>
      <c r="AX79" s="40" t="n"/>
      <c r="AY79" s="40" t="n"/>
      <c r="AZ79" s="40" t="n"/>
      <c r="BA79" s="40" t="n"/>
      <c r="BB79" s="40" t="n"/>
      <c r="BC79" s="40" t="n"/>
      <c r="BD79" s="40" t="n"/>
      <c r="BE79" s="40" t="n"/>
      <c r="BF79" s="40" t="n"/>
      <c r="BG79" s="40" t="n"/>
      <c r="BH79" s="40" t="n"/>
      <c r="BI79" s="40" t="n"/>
      <c r="BJ79" s="40" t="n"/>
      <c r="BK79" s="40" t="n"/>
      <c r="BL79" s="40" t="n"/>
      <c r="BM79" s="40" t="n"/>
      <c r="BN79" s="40" t="n"/>
      <c r="BO79" s="40" t="n"/>
      <c r="BP79" s="40" t="n"/>
      <c r="BQ79" s="40" t="n"/>
      <c r="BR79" s="40" t="n"/>
      <c r="BS79" s="40" t="n"/>
      <c r="BT79" s="40" t="n"/>
      <c r="BU79" s="40" t="n"/>
      <c r="BV79" s="40" t="n"/>
      <c r="BW79" s="40" t="n"/>
    </row>
    <row r="80" ht="34" customHeight="1">
      <c r="A80" s="16" t="inlineStr">
        <is>
          <t>Videographers</t>
        </is>
      </c>
      <c r="B80" s="17" t="inlineStr">
        <is>
          <t>All Videographers</t>
        </is>
      </c>
      <c r="C80" s="26" t="inlineStr">
        <is>
          <t>ROLE-VIDEO</t>
        </is>
      </c>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c r="AE80" s="40" t="n"/>
      <c r="AF80" s="40" t="n"/>
      <c r="AG80" s="40" t="n"/>
      <c r="AH80" s="40" t="n"/>
      <c r="AI80" s="40" t="n"/>
      <c r="AJ80" s="40" t="n"/>
      <c r="AK80" s="40" t="n"/>
      <c r="AL80" s="40" t="n"/>
      <c r="AM80" s="40" t="n"/>
      <c r="AN80" s="40" t="n"/>
      <c r="AO80" s="40" t="n"/>
      <c r="AP80" s="40" t="n"/>
      <c r="AQ80" s="40" t="n"/>
      <c r="AR80" s="40" t="n"/>
      <c r="AS80" s="40" t="n"/>
      <c r="AT80" s="40" t="n"/>
      <c r="AU80" s="40" t="n"/>
      <c r="AV80" s="40" t="n"/>
      <c r="AW80" s="40" t="n"/>
      <c r="AX80" s="40" t="n"/>
      <c r="AY80" s="40" t="n"/>
      <c r="AZ80" s="40" t="n"/>
      <c r="BA80" s="40" t="n"/>
      <c r="BB80" s="40" t="n"/>
      <c r="BC80" s="40" t="n"/>
      <c r="BD80" s="40" t="n"/>
      <c r="BE80" s="40" t="n"/>
      <c r="BF80" s="40" t="n"/>
      <c r="BG80" s="40" t="n"/>
      <c r="BH80" s="40" t="n"/>
      <c r="BI80" s="40" t="n"/>
      <c r="BJ80" s="40" t="n"/>
      <c r="BK80" s="40" t="n"/>
      <c r="BL80" s="40" t="n"/>
      <c r="BM80" s="40" t="n"/>
      <c r="BN80" s="40" t="n"/>
      <c r="BO80" s="40" t="n"/>
      <c r="BP80" s="40" t="n"/>
      <c r="BQ80" s="40" t="n"/>
      <c r="BR80" s="40" t="n"/>
      <c r="BS80" s="40" t="n"/>
      <c r="BT80" s="40" t="n"/>
      <c r="BU80" s="40" t="n"/>
      <c r="BV80" s="40" t="n"/>
      <c r="BW80" s="40" t="n"/>
    </row>
    <row r="81" ht="34" customHeight="1">
      <c r="A81" s="16" t="inlineStr">
        <is>
          <t>RAS Reps</t>
        </is>
      </c>
      <c r="B81" s="35" t="inlineStr"/>
      <c r="C81" s="26">
        <f>IF(TRIM($B81)="","",IFERROR(INDEX(People!$A$2:$A$199,MATCH(TRIM($B81),People!$B$2:$B$199,0)),IFERROR(INDEX(Teams!$A$2:$A$9,MATCH(TRIM($B81),Teams!$B$2:$B$9,0)),"?? CHECK NAME")))</f>
        <v/>
      </c>
      <c r="D81" s="36" t="n"/>
      <c r="E81" s="36" t="n"/>
      <c r="F81" s="36" t="n"/>
      <c r="G81" s="36" t="n"/>
      <c r="H81" s="36" t="n"/>
      <c r="I81" s="36" t="n"/>
      <c r="J81" s="36" t="n"/>
      <c r="K81" s="36" t="n"/>
      <c r="L81" s="36" t="n"/>
      <c r="M81" s="36" t="n"/>
      <c r="N81" s="36" t="n"/>
      <c r="O81" s="36" t="n"/>
      <c r="P81" s="36" t="n"/>
      <c r="Q81" s="36" t="n"/>
      <c r="R81" s="36" t="n"/>
      <c r="S81" s="36" t="n"/>
      <c r="T81" s="36" t="n"/>
      <c r="U81" s="36" t="n"/>
      <c r="V81" s="36" t="n"/>
      <c r="W81" s="36" t="n"/>
      <c r="X81" s="36" t="n"/>
      <c r="Y81" s="36" t="n"/>
      <c r="Z81" s="36" t="n"/>
      <c r="AA81" s="36" t="n"/>
      <c r="AB81" s="36" t="n"/>
      <c r="AC81" s="36" t="n"/>
      <c r="AD81" s="36" t="n"/>
      <c r="AE81" s="36" t="n"/>
      <c r="AF81" s="36" t="n"/>
      <c r="AG81" s="36" t="n"/>
      <c r="AH81" s="36" t="n"/>
      <c r="AI81" s="36" t="n"/>
      <c r="AJ81" s="36" t="n"/>
      <c r="AK81" s="36" t="n"/>
      <c r="AL81" s="36" t="n"/>
      <c r="AM81" s="36" t="n"/>
      <c r="AN81" s="36" t="n"/>
      <c r="AO81" s="36" t="n"/>
      <c r="AP81" s="36" t="n"/>
      <c r="AQ81" s="36" t="n"/>
      <c r="AR81" s="36" t="n"/>
      <c r="AS81" s="36" t="n"/>
      <c r="AT81" s="36" t="n"/>
      <c r="AU81" s="36" t="n"/>
      <c r="AV81" s="36" t="n"/>
      <c r="AW81" s="36" t="n"/>
      <c r="AX81" s="36" t="n"/>
      <c r="AY81" s="36" t="n"/>
      <c r="AZ81" s="36" t="n"/>
      <c r="BA81" s="36" t="n"/>
      <c r="BB81" s="36" t="n"/>
      <c r="BC81" s="36" t="n"/>
      <c r="BD81" s="36" t="n"/>
      <c r="BE81" s="36" t="n"/>
      <c r="BF81" s="36" t="n"/>
      <c r="BG81" s="36" t="n"/>
      <c r="BH81" s="36" t="n"/>
      <c r="BI81" s="36" t="n"/>
      <c r="BJ81" s="36" t="n"/>
      <c r="BK81" s="36" t="n"/>
      <c r="BL81" s="36" t="n"/>
      <c r="BM81" s="36" t="n"/>
      <c r="BN81" s="36" t="n"/>
      <c r="BO81" s="36" t="n"/>
      <c r="BP81" s="36" t="n"/>
      <c r="BQ81" s="36" t="n"/>
      <c r="BR81" s="36" t="n"/>
      <c r="BS81" s="36" t="n"/>
      <c r="BT81" s="36" t="n"/>
      <c r="BU81" s="36" t="n"/>
      <c r="BV81" s="36" t="n"/>
      <c r="BW81" s="36" t="n"/>
    </row>
    <row r="82" ht="34" customHeight="1">
      <c r="A82" s="37" t="n"/>
      <c r="B82" s="35" t="inlineStr"/>
      <c r="C82" s="26">
        <f>IF(TRIM($B82)="","",IFERROR(INDEX(People!$A$2:$A$199,MATCH(TRIM($B82),People!$B$2:$B$199,0)),IFERROR(INDEX(Teams!$A$2:$A$9,MATCH(TRIM($B82),Teams!$B$2:$B$9,0)),"?? CHECK NAME")))</f>
        <v/>
      </c>
      <c r="D82" s="36" t="n"/>
      <c r="E82" s="36" t="n"/>
      <c r="F82" s="36" t="n"/>
      <c r="G82" s="36" t="n"/>
      <c r="H82" s="36" t="n"/>
      <c r="I82" s="36" t="n"/>
      <c r="J82" s="36" t="n"/>
      <c r="K82" s="36" t="n"/>
      <c r="L82" s="36" t="n"/>
      <c r="M82" s="36" t="n"/>
      <c r="N82" s="36" t="n"/>
      <c r="O82" s="36" t="n"/>
      <c r="P82" s="36" t="n"/>
      <c r="Q82" s="36" t="n"/>
      <c r="R82" s="36" t="n"/>
      <c r="S82" s="36" t="n"/>
      <c r="T82" s="36" t="n"/>
      <c r="U82" s="36" t="n"/>
      <c r="V82" s="36" t="n"/>
      <c r="W82" s="36" t="n"/>
      <c r="X82" s="36" t="n"/>
      <c r="Y82" s="36" t="n"/>
      <c r="Z82" s="36" t="n"/>
      <c r="AA82" s="36" t="n"/>
      <c r="AB82" s="36" t="n"/>
      <c r="AC82" s="36" t="n"/>
      <c r="AD82" s="36" t="n"/>
      <c r="AE82" s="36" t="n"/>
      <c r="AF82" s="36" t="n"/>
      <c r="AG82" s="36" t="n"/>
      <c r="AH82" s="36" t="n"/>
      <c r="AI82" s="36" t="n"/>
      <c r="AJ82" s="36" t="n"/>
      <c r="AK82" s="36" t="n"/>
      <c r="AL82" s="36" t="n"/>
      <c r="AM82" s="36" t="n"/>
      <c r="AN82" s="36" t="n"/>
      <c r="AO82" s="36" t="n"/>
      <c r="AP82" s="36" t="n"/>
      <c r="AQ82" s="36" t="n"/>
      <c r="AR82" s="36" t="n"/>
      <c r="AS82" s="36" t="n"/>
      <c r="AT82" s="36" t="n"/>
      <c r="AU82" s="36" t="n"/>
      <c r="AV82" s="36" t="n"/>
      <c r="AW82" s="36" t="n"/>
      <c r="AX82" s="36" t="n"/>
      <c r="AY82" s="36" t="n"/>
      <c r="AZ82" s="36" t="n"/>
      <c r="BA82" s="36" t="n"/>
      <c r="BB82" s="36" t="n"/>
      <c r="BC82" s="36" t="n"/>
      <c r="BD82" s="36" t="n"/>
      <c r="BE82" s="36" t="n"/>
      <c r="BF82" s="36" t="n"/>
      <c r="BG82" s="36" t="n"/>
      <c r="BH82" s="36" t="n"/>
      <c r="BI82" s="36" t="n"/>
      <c r="BJ82" s="36" t="n"/>
      <c r="BK82" s="36" t="n"/>
      <c r="BL82" s="36" t="n"/>
      <c r="BM82" s="36" t="n"/>
      <c r="BN82" s="36" t="n"/>
      <c r="BO82" s="36" t="n"/>
      <c r="BP82" s="36" t="n"/>
      <c r="BQ82" s="36" t="n"/>
      <c r="BR82" s="36" t="n"/>
      <c r="BS82" s="36" t="n"/>
      <c r="BT82" s="36" t="n"/>
      <c r="BU82" s="36" t="n"/>
      <c r="BV82" s="36" t="n"/>
      <c r="BW82" s="36" t="n"/>
    </row>
    <row r="83" ht="34" customHeight="1">
      <c r="A83" s="37" t="n"/>
      <c r="B83" s="35" t="inlineStr"/>
      <c r="C83" s="26">
        <f>IF(TRIM($B83)="","",IFERROR(INDEX(People!$A$2:$A$199,MATCH(TRIM($B83),People!$B$2:$B$199,0)),IFERROR(INDEX(Teams!$A$2:$A$9,MATCH(TRIM($B83),Teams!$B$2:$B$9,0)),"?? CHECK NAME")))</f>
        <v/>
      </c>
      <c r="D83" s="36" t="n"/>
      <c r="E83" s="36" t="n"/>
      <c r="F83" s="36" t="n"/>
      <c r="G83" s="36" t="n"/>
      <c r="H83" s="36" t="n"/>
      <c r="I83" s="36" t="n"/>
      <c r="J83" s="36" t="n"/>
      <c r="K83" s="36" t="n"/>
      <c r="L83" s="36" t="n"/>
      <c r="M83" s="36" t="n"/>
      <c r="N83" s="36" t="n"/>
      <c r="O83" s="36" t="n"/>
      <c r="P83" s="36" t="n"/>
      <c r="Q83" s="36" t="n"/>
      <c r="R83" s="36" t="n"/>
      <c r="S83" s="36" t="n"/>
      <c r="T83" s="36" t="n"/>
      <c r="U83" s="36" t="n"/>
      <c r="V83" s="36" t="n"/>
      <c r="W83" s="36" t="n"/>
      <c r="X83" s="36" t="n"/>
      <c r="Y83" s="36" t="n"/>
      <c r="Z83" s="36" t="n"/>
      <c r="AA83" s="36" t="n"/>
      <c r="AB83" s="36" t="n"/>
      <c r="AC83" s="36" t="n"/>
      <c r="AD83" s="36" t="n"/>
      <c r="AE83" s="36" t="n"/>
      <c r="AF83" s="36" t="n"/>
      <c r="AG83" s="36" t="n"/>
      <c r="AH83" s="36" t="n"/>
      <c r="AI83" s="36" t="n"/>
      <c r="AJ83" s="36" t="n"/>
      <c r="AK83" s="36" t="n"/>
      <c r="AL83" s="36" t="n"/>
      <c r="AM83" s="36" t="n"/>
      <c r="AN83" s="36" t="n"/>
      <c r="AO83" s="36" t="n"/>
      <c r="AP83" s="36" t="n"/>
      <c r="AQ83" s="36" t="n"/>
      <c r="AR83" s="36" t="n"/>
      <c r="AS83" s="36" t="n"/>
      <c r="AT83" s="36" t="n"/>
      <c r="AU83" s="36" t="n"/>
      <c r="AV83" s="36" t="n"/>
      <c r="AW83" s="36" t="n"/>
      <c r="AX83" s="36" t="n"/>
      <c r="AY83" s="36" t="n"/>
      <c r="AZ83" s="36" t="n"/>
      <c r="BA83" s="36" t="n"/>
      <c r="BB83" s="36" t="n"/>
      <c r="BC83" s="36" t="n"/>
      <c r="BD83" s="36" t="n"/>
      <c r="BE83" s="36" t="n"/>
      <c r="BF83" s="36" t="n"/>
      <c r="BG83" s="36" t="n"/>
      <c r="BH83" s="36" t="n"/>
      <c r="BI83" s="36" t="n"/>
      <c r="BJ83" s="36" t="n"/>
      <c r="BK83" s="36" t="n"/>
      <c r="BL83" s="36" t="n"/>
      <c r="BM83" s="36" t="n"/>
      <c r="BN83" s="36" t="n"/>
      <c r="BO83" s="36" t="n"/>
      <c r="BP83" s="36" t="n"/>
      <c r="BQ83" s="36" t="n"/>
      <c r="BR83" s="36" t="n"/>
      <c r="BS83" s="36" t="n"/>
      <c r="BT83" s="36" t="n"/>
      <c r="BU83" s="36" t="n"/>
      <c r="BV83" s="36" t="n"/>
      <c r="BW83" s="36" t="n"/>
    </row>
    <row r="84" ht="34" customHeight="1">
      <c r="A84" s="37" t="n"/>
      <c r="B84" s="35" t="inlineStr"/>
      <c r="C84" s="26">
        <f>IF(TRIM($B84)="","",IFERROR(INDEX(People!$A$2:$A$199,MATCH(TRIM($B84),People!$B$2:$B$199,0)),IFERROR(INDEX(Teams!$A$2:$A$9,MATCH(TRIM($B84),Teams!$B$2:$B$9,0)),"?? CHECK NAME")))</f>
        <v/>
      </c>
      <c r="D84" s="36" t="n"/>
      <c r="E84" s="36" t="n"/>
      <c r="F84" s="36" t="n"/>
      <c r="G84" s="36" t="n"/>
      <c r="H84" s="36" t="n"/>
      <c r="I84" s="36" t="n"/>
      <c r="J84" s="36" t="n"/>
      <c r="K84" s="36" t="n"/>
      <c r="L84" s="36" t="n"/>
      <c r="M84" s="36" t="n"/>
      <c r="N84" s="36" t="n"/>
      <c r="O84" s="36" t="n"/>
      <c r="P84" s="36" t="n"/>
      <c r="Q84" s="36" t="n"/>
      <c r="R84" s="36" t="n"/>
      <c r="S84" s="36" t="n"/>
      <c r="T84" s="36" t="n"/>
      <c r="U84" s="36" t="n"/>
      <c r="V84" s="36" t="n"/>
      <c r="W84" s="36" t="n"/>
      <c r="X84" s="36" t="n"/>
      <c r="Y84" s="36" t="n"/>
      <c r="Z84" s="36" t="n"/>
      <c r="AA84" s="36" t="n"/>
      <c r="AB84" s="36" t="n"/>
      <c r="AC84" s="36" t="n"/>
      <c r="AD84" s="36" t="n"/>
      <c r="AE84" s="36" t="n"/>
      <c r="AF84" s="36" t="n"/>
      <c r="AG84" s="36" t="n"/>
      <c r="AH84" s="36" t="n"/>
      <c r="AI84" s="36" t="n"/>
      <c r="AJ84" s="36" t="n"/>
      <c r="AK84" s="36" t="n"/>
      <c r="AL84" s="36" t="n"/>
      <c r="AM84" s="36" t="n"/>
      <c r="AN84" s="36" t="n"/>
      <c r="AO84" s="36" t="n"/>
      <c r="AP84" s="36" t="n"/>
      <c r="AQ84" s="36" t="n"/>
      <c r="AR84" s="36" t="n"/>
      <c r="AS84" s="36" t="n"/>
      <c r="AT84" s="36" t="n"/>
      <c r="AU84" s="36" t="n"/>
      <c r="AV84" s="36" t="n"/>
      <c r="AW84" s="36" t="n"/>
      <c r="AX84" s="36" t="n"/>
      <c r="AY84" s="36" t="n"/>
      <c r="AZ84" s="36" t="n"/>
      <c r="BA84" s="36" t="n"/>
      <c r="BB84" s="36" t="n"/>
      <c r="BC84" s="36" t="n"/>
      <c r="BD84" s="36" t="n"/>
      <c r="BE84" s="36" t="n"/>
      <c r="BF84" s="36" t="n"/>
      <c r="BG84" s="36" t="n"/>
      <c r="BH84" s="36" t="n"/>
      <c r="BI84" s="36" t="n"/>
      <c r="BJ84" s="36" t="n"/>
      <c r="BK84" s="36" t="n"/>
      <c r="BL84" s="36" t="n"/>
      <c r="BM84" s="36" t="n"/>
      <c r="BN84" s="36" t="n"/>
      <c r="BO84" s="36" t="n"/>
      <c r="BP84" s="36" t="n"/>
      <c r="BQ84" s="36" t="n"/>
      <c r="BR84" s="36" t="n"/>
      <c r="BS84" s="36" t="n"/>
      <c r="BT84" s="36" t="n"/>
      <c r="BU84" s="36" t="n"/>
      <c r="BV84" s="36" t="n"/>
      <c r="BW84" s="36" t="n"/>
    </row>
    <row r="85" ht="34" customHeight="1">
      <c r="A85" s="38" t="n"/>
      <c r="B85" s="35" t="inlineStr"/>
      <c r="C85" s="26">
        <f>IF(TRIM($B85)="","",IFERROR(INDEX(People!$A$2:$A$199,MATCH(TRIM($B85),People!$B$2:$B$199,0)),IFERROR(INDEX(Teams!$A$2:$A$9,MATCH(TRIM($B85),Teams!$B$2:$B$9,0)),"?? CHECK NAME")))</f>
        <v/>
      </c>
      <c r="D85" s="36" t="n"/>
      <c r="E85" s="36" t="n"/>
      <c r="F85" s="36" t="n"/>
      <c r="G85" s="36" t="n"/>
      <c r="H85" s="36" t="n"/>
      <c r="I85" s="36" t="n"/>
      <c r="J85" s="36" t="n"/>
      <c r="K85" s="36" t="n"/>
      <c r="L85" s="36" t="n"/>
      <c r="M85" s="36" t="n"/>
      <c r="N85" s="36" t="n"/>
      <c r="O85" s="36" t="n"/>
      <c r="P85" s="36" t="n"/>
      <c r="Q85" s="36" t="n"/>
      <c r="R85" s="36" t="n"/>
      <c r="S85" s="36" t="n"/>
      <c r="T85" s="36" t="n"/>
      <c r="U85" s="36" t="n"/>
      <c r="V85" s="36" t="n"/>
      <c r="W85" s="36" t="n"/>
      <c r="X85" s="36" t="n"/>
      <c r="Y85" s="36" t="n"/>
      <c r="Z85" s="36" t="n"/>
      <c r="AA85" s="36" t="n"/>
      <c r="AB85" s="36" t="n"/>
      <c r="AC85" s="36" t="n"/>
      <c r="AD85" s="36" t="n"/>
      <c r="AE85" s="36" t="n"/>
      <c r="AF85" s="36" t="n"/>
      <c r="AG85" s="36" t="n"/>
      <c r="AH85" s="36" t="n"/>
      <c r="AI85" s="36" t="n"/>
      <c r="AJ85" s="36" t="n"/>
      <c r="AK85" s="36" t="n"/>
      <c r="AL85" s="36" t="n"/>
      <c r="AM85" s="36" t="n"/>
      <c r="AN85" s="36" t="n"/>
      <c r="AO85" s="36" t="n"/>
      <c r="AP85" s="36" t="n"/>
      <c r="AQ85" s="36" t="n"/>
      <c r="AR85" s="36" t="n"/>
      <c r="AS85" s="36" t="n"/>
      <c r="AT85" s="36" t="n"/>
      <c r="AU85" s="36" t="n"/>
      <c r="AV85" s="36" t="n"/>
      <c r="AW85" s="36" t="n"/>
      <c r="AX85" s="36" t="n"/>
      <c r="AY85" s="36" t="n"/>
      <c r="AZ85" s="36" t="n"/>
      <c r="BA85" s="36" t="n"/>
      <c r="BB85" s="36" t="n"/>
      <c r="BC85" s="36" t="n"/>
      <c r="BD85" s="36" t="n"/>
      <c r="BE85" s="36" t="n"/>
      <c r="BF85" s="36" t="n"/>
      <c r="BG85" s="36" t="n"/>
      <c r="BH85" s="36" t="n"/>
      <c r="BI85" s="36" t="n"/>
      <c r="BJ85" s="36" t="n"/>
      <c r="BK85" s="36" t="n"/>
      <c r="BL85" s="36" t="n"/>
      <c r="BM85" s="36" t="n"/>
      <c r="BN85" s="36" t="n"/>
      <c r="BO85" s="36" t="n"/>
      <c r="BP85" s="36" t="n"/>
      <c r="BQ85" s="36" t="n"/>
      <c r="BR85" s="36" t="n"/>
      <c r="BS85" s="36" t="n"/>
      <c r="BT85" s="36" t="n"/>
      <c r="BU85" s="36" t="n"/>
      <c r="BV85" s="36" t="n"/>
      <c r="BW85" s="36" t="n"/>
    </row>
    <row r="86" ht="18" customHeight="1">
      <c r="A86" s="32" t="inlineStr">
        <is>
          <t>LIAISONS  —  names come from the People tab, not typed here</t>
        </is>
      </c>
      <c r="B86" s="33" t="n"/>
      <c r="C86" s="33" t="n"/>
      <c r="D86" s="33" t="n"/>
      <c r="E86" s="33" t="n"/>
      <c r="F86" s="33" t="n"/>
      <c r="G86" s="33" t="n"/>
      <c r="H86" s="33" t="n"/>
      <c r="I86" s="33" t="n"/>
      <c r="J86" s="33" t="n"/>
      <c r="K86" s="33" t="n"/>
      <c r="L86" s="33" t="n"/>
      <c r="M86" s="33" t="n"/>
      <c r="N86" s="33" t="n"/>
      <c r="O86" s="33" t="n"/>
      <c r="P86" s="33" t="n"/>
      <c r="Q86" s="33" t="n"/>
      <c r="R86" s="33" t="n"/>
      <c r="S86" s="33" t="n"/>
      <c r="T86" s="33" t="n"/>
      <c r="U86" s="33" t="n"/>
      <c r="V86" s="33" t="n"/>
      <c r="W86" s="33" t="n"/>
      <c r="X86" s="33" t="n"/>
      <c r="Y86" s="33" t="n"/>
      <c r="Z86" s="33" t="n"/>
      <c r="AA86" s="33" t="n"/>
      <c r="AB86" s="33" t="n"/>
      <c r="AC86" s="33" t="n"/>
      <c r="AD86" s="33" t="n"/>
      <c r="AE86" s="33" t="n"/>
      <c r="AF86" s="33" t="n"/>
      <c r="AG86" s="33" t="n"/>
      <c r="AH86" s="33" t="n"/>
      <c r="AI86" s="33" t="n"/>
      <c r="AJ86" s="33" t="n"/>
      <c r="AK86" s="33" t="n"/>
      <c r="AL86" s="33" t="n"/>
      <c r="AM86" s="33" t="n"/>
      <c r="AN86" s="33" t="n"/>
      <c r="AO86" s="33" t="n"/>
      <c r="AP86" s="33" t="n"/>
      <c r="AQ86" s="33" t="n"/>
      <c r="AR86" s="33" t="n"/>
      <c r="AS86" s="33" t="n"/>
      <c r="AT86" s="33" t="n"/>
      <c r="AU86" s="33" t="n"/>
      <c r="AV86" s="33" t="n"/>
      <c r="AW86" s="33" t="n"/>
      <c r="AX86" s="33" t="n"/>
      <c r="AY86" s="33" t="n"/>
      <c r="AZ86" s="33" t="n"/>
      <c r="BA86" s="33" t="n"/>
      <c r="BB86" s="33" t="n"/>
      <c r="BC86" s="33" t="n"/>
      <c r="BD86" s="33" t="n"/>
      <c r="BE86" s="33" t="n"/>
      <c r="BF86" s="33" t="n"/>
      <c r="BG86" s="33" t="n"/>
      <c r="BH86" s="33" t="n"/>
      <c r="BI86" s="33" t="n"/>
      <c r="BJ86" s="33" t="n"/>
      <c r="BK86" s="33" t="n"/>
      <c r="BL86" s="33" t="n"/>
      <c r="BM86" s="33" t="n"/>
      <c r="BN86" s="33" t="n"/>
      <c r="BO86" s="33" t="n"/>
      <c r="BP86" s="33" t="n"/>
      <c r="BQ86" s="33" t="n"/>
      <c r="BR86" s="33" t="n"/>
      <c r="BS86" s="33" t="n"/>
      <c r="BT86" s="33" t="n"/>
      <c r="BU86" s="33" t="n"/>
      <c r="BV86" s="33" t="n"/>
      <c r="BW86" s="34" t="n"/>
    </row>
    <row r="87" ht="34" customHeight="1">
      <c r="A87" s="41" t="inlineStr">
        <is>
          <t>UNC Taar Heel Raas</t>
        </is>
      </c>
      <c r="B87" s="42">
        <f>IFERROR(INDEX(People!$B$2:$B$199,MATCH($A$87&amp;"#"&amp;1,People!$H$2:$H$199,0)),"")</f>
        <v/>
      </c>
      <c r="C87" s="26">
        <f>IF(TRIM($B87)="","",IFERROR(INDEX(People!$A$2:$A$199,MATCH(TRIM($B87),People!$B$2:$B$199,0)),"?? CHECK NAME"))</f>
        <v/>
      </c>
      <c r="D87" s="36" t="n"/>
      <c r="E87" s="36" t="n"/>
      <c r="F87" s="36" t="n"/>
      <c r="G87" s="36" t="n"/>
      <c r="H87" s="36" t="n"/>
      <c r="I87" s="36" t="n"/>
      <c r="J87" s="36" t="n"/>
      <c r="K87" s="36" t="n"/>
      <c r="L87" s="36" t="n"/>
      <c r="M87" s="36" t="n"/>
      <c r="N87" s="36" t="n"/>
      <c r="O87" s="36" t="n"/>
      <c r="P87" s="36" t="n"/>
      <c r="Q87" s="36" t="n"/>
      <c r="R87" s="36" t="n"/>
      <c r="S87" s="36" t="n"/>
      <c r="T87" s="36" t="n"/>
      <c r="U87" s="36" t="n"/>
      <c r="V87" s="36" t="n"/>
      <c r="W87" s="36" t="n"/>
      <c r="X87" s="36" t="n"/>
      <c r="Y87" s="36" t="n"/>
      <c r="Z87" s="36" t="n"/>
      <c r="AA87" s="36" t="n"/>
      <c r="AB87" s="36" t="n"/>
      <c r="AC87" s="36" t="n"/>
      <c r="AD87" s="36" t="n"/>
      <c r="AE87" s="36" t="n"/>
      <c r="AF87" s="36" t="n"/>
      <c r="AG87" s="36" t="n"/>
      <c r="AH87" s="36" t="n"/>
      <c r="AI87" s="36" t="n"/>
      <c r="AJ87" s="36" t="n"/>
      <c r="AK87" s="36" t="n"/>
      <c r="AL87" s="36" t="n"/>
      <c r="AM87" s="36" t="n"/>
      <c r="AN87" s="36" t="n"/>
      <c r="AO87" s="36" t="n"/>
      <c r="AP87" s="36" t="n"/>
      <c r="AQ87" s="36" t="n"/>
      <c r="AR87" s="36" t="n"/>
      <c r="AS87" s="36" t="n"/>
      <c r="AT87" s="36" t="n"/>
      <c r="AU87" s="36" t="n"/>
      <c r="AV87" s="36" t="n"/>
      <c r="AW87" s="36" t="n"/>
      <c r="AX87" s="36" t="n"/>
      <c r="AY87" s="36" t="n"/>
      <c r="AZ87" s="36" t="n"/>
      <c r="BA87" s="36" t="n"/>
      <c r="BB87" s="36" t="n"/>
      <c r="BC87" s="36" t="n"/>
      <c r="BD87" s="36" t="n"/>
      <c r="BE87" s="36" t="n"/>
      <c r="BF87" s="36" t="n"/>
      <c r="BG87" s="36" t="n"/>
      <c r="BH87" s="36" t="n"/>
      <c r="BI87" s="36" t="n"/>
      <c r="BJ87" s="36" t="n"/>
      <c r="BK87" s="36" t="n"/>
      <c r="BL87" s="36" t="n"/>
      <c r="BM87" s="36" t="n"/>
      <c r="BN87" s="36" t="n"/>
      <c r="BO87" s="36" t="n"/>
      <c r="BP87" s="36" t="n"/>
      <c r="BQ87" s="36" t="n"/>
      <c r="BR87" s="36" t="n"/>
      <c r="BS87" s="36" t="n"/>
      <c r="BT87" s="36" t="n"/>
      <c r="BU87" s="36" t="n"/>
      <c r="BV87" s="36" t="n"/>
      <c r="BW87" s="36" t="n"/>
    </row>
    <row r="88" ht="34" customHeight="1">
      <c r="A88" s="37" t="n"/>
      <c r="B88" s="42">
        <f>IFERROR(INDEX(People!$B$2:$B$199,MATCH($A$87&amp;"#"&amp;2,People!$H$2:$H$199,0)),"")</f>
        <v/>
      </c>
      <c r="C88" s="26">
        <f>IF(TRIM($B88)="","",IFERROR(INDEX(People!$A$2:$A$199,MATCH(TRIM($B88),People!$B$2:$B$199,0)),"?? CHECK NAME"))</f>
        <v/>
      </c>
      <c r="D88" s="36" t="n"/>
      <c r="E88" s="36" t="n"/>
      <c r="F88" s="36" t="n"/>
      <c r="G88" s="36" t="n"/>
      <c r="H88" s="36" t="n"/>
      <c r="I88" s="36" t="n"/>
      <c r="J88" s="36" t="n"/>
      <c r="K88" s="36" t="n"/>
      <c r="L88" s="36" t="n"/>
      <c r="M88" s="36" t="n"/>
      <c r="N88" s="36" t="n"/>
      <c r="O88" s="36" t="n"/>
      <c r="P88" s="36" t="n"/>
      <c r="Q88" s="36" t="n"/>
      <c r="R88" s="36" t="n"/>
      <c r="S88" s="36" t="n"/>
      <c r="T88" s="36" t="n"/>
      <c r="U88" s="36" t="n"/>
      <c r="V88" s="36" t="n"/>
      <c r="W88" s="36" t="n"/>
      <c r="X88" s="36" t="n"/>
      <c r="Y88" s="36" t="n"/>
      <c r="Z88" s="36" t="n"/>
      <c r="AA88" s="36" t="n"/>
      <c r="AB88" s="36" t="n"/>
      <c r="AC88" s="36" t="n"/>
      <c r="AD88" s="36" t="n"/>
      <c r="AE88" s="36" t="n"/>
      <c r="AF88" s="36" t="n"/>
      <c r="AG88" s="36" t="n"/>
      <c r="AH88" s="36" t="n"/>
      <c r="AI88" s="36" t="n"/>
      <c r="AJ88" s="36" t="n"/>
      <c r="AK88" s="36" t="n"/>
      <c r="AL88" s="36" t="n"/>
      <c r="AM88" s="36" t="n"/>
      <c r="AN88" s="36" t="n"/>
      <c r="AO88" s="36" t="n"/>
      <c r="AP88" s="36" t="n"/>
      <c r="AQ88" s="36" t="n"/>
      <c r="AR88" s="36" t="n"/>
      <c r="AS88" s="36" t="n"/>
      <c r="AT88" s="36" t="n"/>
      <c r="AU88" s="36" t="n"/>
      <c r="AV88" s="36" t="n"/>
      <c r="AW88" s="36" t="n"/>
      <c r="AX88" s="36" t="n"/>
      <c r="AY88" s="36" t="n"/>
      <c r="AZ88" s="36" t="n"/>
      <c r="BA88" s="36" t="n"/>
      <c r="BB88" s="36" t="n"/>
      <c r="BC88" s="36" t="n"/>
      <c r="BD88" s="36" t="n"/>
      <c r="BE88" s="36" t="n"/>
      <c r="BF88" s="36" t="n"/>
      <c r="BG88" s="36" t="n"/>
      <c r="BH88" s="36" t="n"/>
      <c r="BI88" s="36" t="n"/>
      <c r="BJ88" s="36" t="n"/>
      <c r="BK88" s="36" t="n"/>
      <c r="BL88" s="36" t="n"/>
      <c r="BM88" s="36" t="n"/>
      <c r="BN88" s="36" t="n"/>
      <c r="BO88" s="36" t="n"/>
      <c r="BP88" s="36" t="n"/>
      <c r="BQ88" s="36" t="n"/>
      <c r="BR88" s="36" t="n"/>
      <c r="BS88" s="36" t="n"/>
      <c r="BT88" s="36" t="n"/>
      <c r="BU88" s="36" t="n"/>
      <c r="BV88" s="36" t="n"/>
      <c r="BW88" s="36" t="n"/>
    </row>
    <row r="89" ht="34" customHeight="1">
      <c r="A89" s="37" t="n"/>
      <c r="B89" s="42">
        <f>IFERROR(INDEX(People!$B$2:$B$199,MATCH($A$87&amp;"#"&amp;3,People!$H$2:$H$199,0)),"")</f>
        <v/>
      </c>
      <c r="C89" s="26">
        <f>IF(TRIM($B89)="","",IFERROR(INDEX(People!$A$2:$A$199,MATCH(TRIM($B89),People!$B$2:$B$199,0)),"?? CHECK NAME"))</f>
        <v/>
      </c>
      <c r="D89" s="36" t="n"/>
      <c r="E89" s="36" t="n"/>
      <c r="F89" s="36" t="n"/>
      <c r="G89" s="36" t="n"/>
      <c r="H89" s="36" t="n"/>
      <c r="I89" s="36" t="n"/>
      <c r="J89" s="36" t="n"/>
      <c r="K89" s="36" t="n"/>
      <c r="L89" s="36" t="n"/>
      <c r="M89" s="36" t="n"/>
      <c r="N89" s="36" t="n"/>
      <c r="O89" s="36" t="n"/>
      <c r="P89" s="36" t="n"/>
      <c r="Q89" s="36" t="n"/>
      <c r="R89" s="36" t="n"/>
      <c r="S89" s="36" t="n"/>
      <c r="T89" s="36" t="n"/>
      <c r="U89" s="36" t="n"/>
      <c r="V89" s="36" t="n"/>
      <c r="W89" s="36" t="n"/>
      <c r="X89" s="36" t="n"/>
      <c r="Y89" s="36" t="n"/>
      <c r="Z89" s="36" t="n"/>
      <c r="AA89" s="36" t="n"/>
      <c r="AB89" s="36" t="n"/>
      <c r="AC89" s="36" t="n"/>
      <c r="AD89" s="36" t="n"/>
      <c r="AE89" s="36" t="n"/>
      <c r="AF89" s="36" t="n"/>
      <c r="AG89" s="36" t="n"/>
      <c r="AH89" s="36" t="n"/>
      <c r="AI89" s="36" t="n"/>
      <c r="AJ89" s="36" t="n"/>
      <c r="AK89" s="36" t="n"/>
      <c r="AL89" s="36" t="n"/>
      <c r="AM89" s="36" t="n"/>
      <c r="AN89" s="36" t="n"/>
      <c r="AO89" s="36" t="n"/>
      <c r="AP89" s="36" t="n"/>
      <c r="AQ89" s="36" t="n"/>
      <c r="AR89" s="36" t="n"/>
      <c r="AS89" s="36" t="n"/>
      <c r="AT89" s="36" t="n"/>
      <c r="AU89" s="36" t="n"/>
      <c r="AV89" s="36" t="n"/>
      <c r="AW89" s="36" t="n"/>
      <c r="AX89" s="36" t="n"/>
      <c r="AY89" s="36" t="n"/>
      <c r="AZ89" s="36" t="n"/>
      <c r="BA89" s="36" t="n"/>
      <c r="BB89" s="36" t="n"/>
      <c r="BC89" s="36" t="n"/>
      <c r="BD89" s="36" t="n"/>
      <c r="BE89" s="36" t="n"/>
      <c r="BF89" s="36" t="n"/>
      <c r="BG89" s="36" t="n"/>
      <c r="BH89" s="36" t="n"/>
      <c r="BI89" s="36" t="n"/>
      <c r="BJ89" s="36" t="n"/>
      <c r="BK89" s="36" t="n"/>
      <c r="BL89" s="36" t="n"/>
      <c r="BM89" s="36" t="n"/>
      <c r="BN89" s="36" t="n"/>
      <c r="BO89" s="36" t="n"/>
      <c r="BP89" s="36" t="n"/>
      <c r="BQ89" s="36" t="n"/>
      <c r="BR89" s="36" t="n"/>
      <c r="BS89" s="36" t="n"/>
      <c r="BT89" s="36" t="n"/>
      <c r="BU89" s="36" t="n"/>
      <c r="BV89" s="36" t="n"/>
      <c r="BW89" s="36" t="n"/>
    </row>
    <row r="90" ht="34" customHeight="1">
      <c r="A90" s="37" t="n"/>
      <c r="B90" s="42">
        <f>IFERROR(INDEX(People!$B$2:$B$199,MATCH($A$87&amp;"#"&amp;4,People!$H$2:$H$199,0)),"")</f>
        <v/>
      </c>
      <c r="C90" s="26">
        <f>IF(TRIM($B90)="","",IFERROR(INDEX(People!$A$2:$A$199,MATCH(TRIM($B90),People!$B$2:$B$199,0)),"?? CHECK NAME"))</f>
        <v/>
      </c>
      <c r="D90" s="36" t="n"/>
      <c r="E90" s="36" t="n"/>
      <c r="F90" s="36" t="n"/>
      <c r="G90" s="36" t="n"/>
      <c r="H90" s="36" t="n"/>
      <c r="I90" s="36" t="n"/>
      <c r="J90" s="36" t="n"/>
      <c r="K90" s="36" t="n"/>
      <c r="L90" s="36" t="n"/>
      <c r="M90" s="36" t="n"/>
      <c r="N90" s="36" t="n"/>
      <c r="O90" s="36" t="n"/>
      <c r="P90" s="36" t="n"/>
      <c r="Q90" s="36" t="n"/>
      <c r="R90" s="36" t="n"/>
      <c r="S90" s="36" t="n"/>
      <c r="T90" s="36" t="n"/>
      <c r="U90" s="36" t="n"/>
      <c r="V90" s="36" t="n"/>
      <c r="W90" s="36" t="n"/>
      <c r="X90" s="36" t="n"/>
      <c r="Y90" s="36" t="n"/>
      <c r="Z90" s="36" t="n"/>
      <c r="AA90" s="36" t="n"/>
      <c r="AB90" s="36" t="n"/>
      <c r="AC90" s="36" t="n"/>
      <c r="AD90" s="36" t="n"/>
      <c r="AE90" s="36" t="n"/>
      <c r="AF90" s="36" t="n"/>
      <c r="AG90" s="36" t="n"/>
      <c r="AH90" s="36" t="n"/>
      <c r="AI90" s="36" t="n"/>
      <c r="AJ90" s="36" t="n"/>
      <c r="AK90" s="36" t="n"/>
      <c r="AL90" s="36" t="n"/>
      <c r="AM90" s="36" t="n"/>
      <c r="AN90" s="36" t="n"/>
      <c r="AO90" s="36" t="n"/>
      <c r="AP90" s="36" t="n"/>
      <c r="AQ90" s="36" t="n"/>
      <c r="AR90" s="36" t="n"/>
      <c r="AS90" s="36" t="n"/>
      <c r="AT90" s="36" t="n"/>
      <c r="AU90" s="36" t="n"/>
      <c r="AV90" s="36" t="n"/>
      <c r="AW90" s="36" t="n"/>
      <c r="AX90" s="36" t="n"/>
      <c r="AY90" s="36" t="n"/>
      <c r="AZ90" s="36" t="n"/>
      <c r="BA90" s="36" t="n"/>
      <c r="BB90" s="36" t="n"/>
      <c r="BC90" s="36" t="n"/>
      <c r="BD90" s="36" t="n"/>
      <c r="BE90" s="36" t="n"/>
      <c r="BF90" s="36" t="n"/>
      <c r="BG90" s="36" t="n"/>
      <c r="BH90" s="36" t="n"/>
      <c r="BI90" s="36" t="n"/>
      <c r="BJ90" s="36" t="n"/>
      <c r="BK90" s="36" t="n"/>
      <c r="BL90" s="36" t="n"/>
      <c r="BM90" s="36" t="n"/>
      <c r="BN90" s="36" t="n"/>
      <c r="BO90" s="36" t="n"/>
      <c r="BP90" s="36" t="n"/>
      <c r="BQ90" s="36" t="n"/>
      <c r="BR90" s="36" t="n"/>
      <c r="BS90" s="36" t="n"/>
      <c r="BT90" s="36" t="n"/>
      <c r="BU90" s="36" t="n"/>
      <c r="BV90" s="36" t="n"/>
      <c r="BW90" s="36" t="n"/>
    </row>
    <row r="91" ht="34" customHeight="1">
      <c r="A91" s="38" t="n"/>
      <c r="B91" s="42">
        <f>IFERROR(INDEX(People!$B$2:$B$199,MATCH($A$87&amp;"#"&amp;5,People!$H$2:$H$199,0)),"")</f>
        <v/>
      </c>
      <c r="C91" s="26">
        <f>IF(TRIM($B91)="","",IFERROR(INDEX(People!$A$2:$A$199,MATCH(TRIM($B91),People!$B$2:$B$199,0)),"?? CHECK NAME"))</f>
        <v/>
      </c>
      <c r="D91" s="36" t="n"/>
      <c r="E91" s="36" t="n"/>
      <c r="F91" s="36" t="n"/>
      <c r="G91" s="36" t="n"/>
      <c r="H91" s="36" t="n"/>
      <c r="I91" s="36" t="n"/>
      <c r="J91" s="36" t="n"/>
      <c r="K91" s="36" t="n"/>
      <c r="L91" s="36" t="n"/>
      <c r="M91" s="36" t="n"/>
      <c r="N91" s="36" t="n"/>
      <c r="O91" s="36" t="n"/>
      <c r="P91" s="36" t="n"/>
      <c r="Q91" s="36" t="n"/>
      <c r="R91" s="36" t="n"/>
      <c r="S91" s="36" t="n"/>
      <c r="T91" s="36" t="n"/>
      <c r="U91" s="36" t="n"/>
      <c r="V91" s="36" t="n"/>
      <c r="W91" s="36" t="n"/>
      <c r="X91" s="36" t="n"/>
      <c r="Y91" s="36" t="n"/>
      <c r="Z91" s="36" t="n"/>
      <c r="AA91" s="36" t="n"/>
      <c r="AB91" s="36" t="n"/>
      <c r="AC91" s="36" t="n"/>
      <c r="AD91" s="36" t="n"/>
      <c r="AE91" s="36" t="n"/>
      <c r="AF91" s="36" t="n"/>
      <c r="AG91" s="36" t="n"/>
      <c r="AH91" s="36" t="n"/>
      <c r="AI91" s="36" t="n"/>
      <c r="AJ91" s="36" t="n"/>
      <c r="AK91" s="36" t="n"/>
      <c r="AL91" s="36" t="n"/>
      <c r="AM91" s="36" t="n"/>
      <c r="AN91" s="36" t="n"/>
      <c r="AO91" s="36" t="n"/>
      <c r="AP91" s="36" t="n"/>
      <c r="AQ91" s="36" t="n"/>
      <c r="AR91" s="36" t="n"/>
      <c r="AS91" s="36" t="n"/>
      <c r="AT91" s="36" t="n"/>
      <c r="AU91" s="36" t="n"/>
      <c r="AV91" s="36" t="n"/>
      <c r="AW91" s="36" t="n"/>
      <c r="AX91" s="36" t="n"/>
      <c r="AY91" s="36" t="n"/>
      <c r="AZ91" s="36" t="n"/>
      <c r="BA91" s="36" t="n"/>
      <c r="BB91" s="36" t="n"/>
      <c r="BC91" s="36" t="n"/>
      <c r="BD91" s="36" t="n"/>
      <c r="BE91" s="36" t="n"/>
      <c r="BF91" s="36" t="n"/>
      <c r="BG91" s="36" t="n"/>
      <c r="BH91" s="36" t="n"/>
      <c r="BI91" s="36" t="n"/>
      <c r="BJ91" s="36" t="n"/>
      <c r="BK91" s="36" t="n"/>
      <c r="BL91" s="36" t="n"/>
      <c r="BM91" s="36" t="n"/>
      <c r="BN91" s="36" t="n"/>
      <c r="BO91" s="36" t="n"/>
      <c r="BP91" s="36" t="n"/>
      <c r="BQ91" s="36" t="n"/>
      <c r="BR91" s="36" t="n"/>
      <c r="BS91" s="36" t="n"/>
      <c r="BT91" s="36" t="n"/>
      <c r="BU91" s="36" t="n"/>
      <c r="BV91" s="36" t="n"/>
      <c r="BW91" s="36" t="n"/>
    </row>
    <row r="92" ht="34" customHeight="1">
      <c r="A92" s="41" t="inlineStr">
        <is>
          <t>Illini Raas</t>
        </is>
      </c>
      <c r="B92" s="42">
        <f>IFERROR(INDEX(People!$B$2:$B$199,MATCH($A$92&amp;"#"&amp;1,People!$H$2:$H$199,0)),"")</f>
        <v/>
      </c>
      <c r="C92" s="26">
        <f>IF(TRIM($B92)="","",IFERROR(INDEX(People!$A$2:$A$199,MATCH(TRIM($B92),People!$B$2:$B$199,0)),"?? CHECK NAME"))</f>
        <v/>
      </c>
      <c r="D92" s="36" t="n"/>
      <c r="E92" s="36" t="n"/>
      <c r="F92" s="36" t="n"/>
      <c r="G92" s="36" t="n"/>
      <c r="H92" s="36" t="n"/>
      <c r="I92" s="36" t="n"/>
      <c r="J92" s="36" t="n"/>
      <c r="K92" s="36" t="n"/>
      <c r="L92" s="36" t="n"/>
      <c r="M92" s="36" t="n"/>
      <c r="N92" s="36" t="n"/>
      <c r="O92" s="36" t="n"/>
      <c r="P92" s="36" t="n"/>
      <c r="Q92" s="36" t="n"/>
      <c r="R92" s="36" t="n"/>
      <c r="S92" s="36" t="n"/>
      <c r="T92" s="36" t="n"/>
      <c r="U92" s="36" t="n"/>
      <c r="V92" s="36" t="n"/>
      <c r="W92" s="36" t="n"/>
      <c r="X92" s="36" t="n"/>
      <c r="Y92" s="36" t="n"/>
      <c r="Z92" s="36" t="n"/>
      <c r="AA92" s="36" t="n"/>
      <c r="AB92" s="36" t="n"/>
      <c r="AC92" s="36" t="n"/>
      <c r="AD92" s="36" t="n"/>
      <c r="AE92" s="36" t="n"/>
      <c r="AF92" s="36" t="n"/>
      <c r="AG92" s="36" t="n"/>
      <c r="AH92" s="36" t="n"/>
      <c r="AI92" s="36" t="n"/>
      <c r="AJ92" s="36" t="n"/>
      <c r="AK92" s="36" t="n"/>
      <c r="AL92" s="36" t="n"/>
      <c r="AM92" s="36" t="n"/>
      <c r="AN92" s="36" t="n"/>
      <c r="AO92" s="36" t="n"/>
      <c r="AP92" s="36" t="n"/>
      <c r="AQ92" s="36" t="n"/>
      <c r="AR92" s="36" t="n"/>
      <c r="AS92" s="36" t="n"/>
      <c r="AT92" s="36" t="n"/>
      <c r="AU92" s="36" t="n"/>
      <c r="AV92" s="36" t="n"/>
      <c r="AW92" s="36" t="n"/>
      <c r="AX92" s="36" t="n"/>
      <c r="AY92" s="36" t="n"/>
      <c r="AZ92" s="36" t="n"/>
      <c r="BA92" s="36" t="n"/>
      <c r="BB92" s="36" t="n"/>
      <c r="BC92" s="36" t="n"/>
      <c r="BD92" s="36" t="n"/>
      <c r="BE92" s="36" t="n"/>
      <c r="BF92" s="36" t="n"/>
      <c r="BG92" s="36" t="n"/>
      <c r="BH92" s="36" t="n"/>
      <c r="BI92" s="36" t="n"/>
      <c r="BJ92" s="36" t="n"/>
      <c r="BK92" s="36" t="n"/>
      <c r="BL92" s="36" t="n"/>
      <c r="BM92" s="36" t="n"/>
      <c r="BN92" s="36" t="n"/>
      <c r="BO92" s="36" t="n"/>
      <c r="BP92" s="36" t="n"/>
      <c r="BQ92" s="36" t="n"/>
      <c r="BR92" s="36" t="n"/>
      <c r="BS92" s="36" t="n"/>
      <c r="BT92" s="36" t="n"/>
      <c r="BU92" s="36" t="n"/>
      <c r="BV92" s="36" t="n"/>
      <c r="BW92" s="36" t="n"/>
    </row>
    <row r="93" ht="34" customHeight="1">
      <c r="A93" s="37" t="n"/>
      <c r="B93" s="42">
        <f>IFERROR(INDEX(People!$B$2:$B$199,MATCH($A$92&amp;"#"&amp;2,People!$H$2:$H$199,0)),"")</f>
        <v/>
      </c>
      <c r="C93" s="26">
        <f>IF(TRIM($B93)="","",IFERROR(INDEX(People!$A$2:$A$199,MATCH(TRIM($B93),People!$B$2:$B$199,0)),"?? CHECK NAME"))</f>
        <v/>
      </c>
      <c r="D93" s="36" t="n"/>
      <c r="E93" s="36" t="n"/>
      <c r="F93" s="36" t="n"/>
      <c r="G93" s="36" t="n"/>
      <c r="H93" s="36" t="n"/>
      <c r="I93" s="36" t="n"/>
      <c r="J93" s="36" t="n"/>
      <c r="K93" s="36" t="n"/>
      <c r="L93" s="36" t="n"/>
      <c r="M93" s="36" t="n"/>
      <c r="N93" s="36" t="n"/>
      <c r="O93" s="36" t="n"/>
      <c r="P93" s="36" t="n"/>
      <c r="Q93" s="36" t="n"/>
      <c r="R93" s="36" t="n"/>
      <c r="S93" s="36" t="n"/>
      <c r="T93" s="36" t="n"/>
      <c r="U93" s="36" t="n"/>
      <c r="V93" s="36" t="n"/>
      <c r="W93" s="36" t="n"/>
      <c r="X93" s="36" t="n"/>
      <c r="Y93" s="36" t="n"/>
      <c r="Z93" s="36" t="n"/>
      <c r="AA93" s="36" t="n"/>
      <c r="AB93" s="36" t="n"/>
      <c r="AC93" s="36" t="n"/>
      <c r="AD93" s="36" t="n"/>
      <c r="AE93" s="36" t="n"/>
      <c r="AF93" s="36" t="n"/>
      <c r="AG93" s="36" t="n"/>
      <c r="AH93" s="36" t="n"/>
      <c r="AI93" s="36" t="n"/>
      <c r="AJ93" s="36" t="n"/>
      <c r="AK93" s="36" t="n"/>
      <c r="AL93" s="36" t="n"/>
      <c r="AM93" s="36" t="n"/>
      <c r="AN93" s="36" t="n"/>
      <c r="AO93" s="36" t="n"/>
      <c r="AP93" s="36" t="n"/>
      <c r="AQ93" s="36" t="n"/>
      <c r="AR93" s="36" t="n"/>
      <c r="AS93" s="36" t="n"/>
      <c r="AT93" s="36" t="n"/>
      <c r="AU93" s="36" t="n"/>
      <c r="AV93" s="36" t="n"/>
      <c r="AW93" s="36" t="n"/>
      <c r="AX93" s="36" t="n"/>
      <c r="AY93" s="36" t="n"/>
      <c r="AZ93" s="36" t="n"/>
      <c r="BA93" s="36" t="n"/>
      <c r="BB93" s="36" t="n"/>
      <c r="BC93" s="36" t="n"/>
      <c r="BD93" s="36" t="n"/>
      <c r="BE93" s="36" t="n"/>
      <c r="BF93" s="36" t="n"/>
      <c r="BG93" s="36" t="n"/>
      <c r="BH93" s="36" t="n"/>
      <c r="BI93" s="36" t="n"/>
      <c r="BJ93" s="36" t="n"/>
      <c r="BK93" s="36" t="n"/>
      <c r="BL93" s="36" t="n"/>
      <c r="BM93" s="36" t="n"/>
      <c r="BN93" s="36" t="n"/>
      <c r="BO93" s="36" t="n"/>
      <c r="BP93" s="36" t="n"/>
      <c r="BQ93" s="36" t="n"/>
      <c r="BR93" s="36" t="n"/>
      <c r="BS93" s="36" t="n"/>
      <c r="BT93" s="36" t="n"/>
      <c r="BU93" s="36" t="n"/>
      <c r="BV93" s="36" t="n"/>
      <c r="BW93" s="36" t="n"/>
    </row>
    <row r="94" ht="34" customHeight="1">
      <c r="A94" s="37" t="n"/>
      <c r="B94" s="42">
        <f>IFERROR(INDEX(People!$B$2:$B$199,MATCH($A$92&amp;"#"&amp;3,People!$H$2:$H$199,0)),"")</f>
        <v/>
      </c>
      <c r="C94" s="26">
        <f>IF(TRIM($B94)="","",IFERROR(INDEX(People!$A$2:$A$199,MATCH(TRIM($B94),People!$B$2:$B$199,0)),"?? CHECK NAME"))</f>
        <v/>
      </c>
      <c r="D94" s="36" t="n"/>
      <c r="E94" s="36" t="n"/>
      <c r="F94" s="36" t="n"/>
      <c r="G94" s="36" t="n"/>
      <c r="H94" s="36" t="n"/>
      <c r="I94" s="36" t="n"/>
      <c r="J94" s="36" t="n"/>
      <c r="K94" s="36" t="n"/>
      <c r="L94" s="36" t="n"/>
      <c r="M94" s="36" t="n"/>
      <c r="N94" s="36" t="n"/>
      <c r="O94" s="36" t="n"/>
      <c r="P94" s="36" t="n"/>
      <c r="Q94" s="36" t="n"/>
      <c r="R94" s="36" t="n"/>
      <c r="S94" s="36" t="n"/>
      <c r="T94" s="36" t="n"/>
      <c r="U94" s="36" t="n"/>
      <c r="V94" s="36" t="n"/>
      <c r="W94" s="36" t="n"/>
      <c r="X94" s="36" t="n"/>
      <c r="Y94" s="36" t="n"/>
      <c r="Z94" s="36" t="n"/>
      <c r="AA94" s="36" t="n"/>
      <c r="AB94" s="36" t="n"/>
      <c r="AC94" s="36" t="n"/>
      <c r="AD94" s="36" t="n"/>
      <c r="AE94" s="36" t="n"/>
      <c r="AF94" s="36" t="n"/>
      <c r="AG94" s="36" t="n"/>
      <c r="AH94" s="36" t="n"/>
      <c r="AI94" s="36" t="n"/>
      <c r="AJ94" s="36" t="n"/>
      <c r="AK94" s="36" t="n"/>
      <c r="AL94" s="36" t="n"/>
      <c r="AM94" s="36" t="n"/>
      <c r="AN94" s="36" t="n"/>
      <c r="AO94" s="36" t="n"/>
      <c r="AP94" s="36" t="n"/>
      <c r="AQ94" s="36" t="n"/>
      <c r="AR94" s="36" t="n"/>
      <c r="AS94" s="36" t="n"/>
      <c r="AT94" s="36" t="n"/>
      <c r="AU94" s="36" t="n"/>
      <c r="AV94" s="36" t="n"/>
      <c r="AW94" s="36" t="n"/>
      <c r="AX94" s="36" t="n"/>
      <c r="AY94" s="36" t="n"/>
      <c r="AZ94" s="36" t="n"/>
      <c r="BA94" s="36" t="n"/>
      <c r="BB94" s="36" t="n"/>
      <c r="BC94" s="36" t="n"/>
      <c r="BD94" s="36" t="n"/>
      <c r="BE94" s="36" t="n"/>
      <c r="BF94" s="36" t="n"/>
      <c r="BG94" s="36" t="n"/>
      <c r="BH94" s="36" t="n"/>
      <c r="BI94" s="36" t="n"/>
      <c r="BJ94" s="36" t="n"/>
      <c r="BK94" s="36" t="n"/>
      <c r="BL94" s="36" t="n"/>
      <c r="BM94" s="36" t="n"/>
      <c r="BN94" s="36" t="n"/>
      <c r="BO94" s="36" t="n"/>
      <c r="BP94" s="36" t="n"/>
      <c r="BQ94" s="36" t="n"/>
      <c r="BR94" s="36" t="n"/>
      <c r="BS94" s="36" t="n"/>
      <c r="BT94" s="36" t="n"/>
      <c r="BU94" s="36" t="n"/>
      <c r="BV94" s="36" t="n"/>
      <c r="BW94" s="36" t="n"/>
    </row>
    <row r="95" ht="34" customHeight="1">
      <c r="A95" s="37" t="n"/>
      <c r="B95" s="42">
        <f>IFERROR(INDEX(People!$B$2:$B$199,MATCH($A$92&amp;"#"&amp;4,People!$H$2:$H$199,0)),"")</f>
        <v/>
      </c>
      <c r="C95" s="26">
        <f>IF(TRIM($B95)="","",IFERROR(INDEX(People!$A$2:$A$199,MATCH(TRIM($B95),People!$B$2:$B$199,0)),"?? CHECK NAME"))</f>
        <v/>
      </c>
      <c r="D95" s="36" t="n"/>
      <c r="E95" s="36" t="n"/>
      <c r="F95" s="36" t="n"/>
      <c r="G95" s="36" t="n"/>
      <c r="H95" s="36" t="n"/>
      <c r="I95" s="36" t="n"/>
      <c r="J95" s="36" t="n"/>
      <c r="K95" s="36" t="n"/>
      <c r="L95" s="36" t="n"/>
      <c r="M95" s="36" t="n"/>
      <c r="N95" s="36" t="n"/>
      <c r="O95" s="36" t="n"/>
      <c r="P95" s="36" t="n"/>
      <c r="Q95" s="36" t="n"/>
      <c r="R95" s="36" t="n"/>
      <c r="S95" s="36" t="n"/>
      <c r="T95" s="36" t="n"/>
      <c r="U95" s="36" t="n"/>
      <c r="V95" s="36" t="n"/>
      <c r="W95" s="36" t="n"/>
      <c r="X95" s="36" t="n"/>
      <c r="Y95" s="36" t="n"/>
      <c r="Z95" s="36" t="n"/>
      <c r="AA95" s="36" t="n"/>
      <c r="AB95" s="36" t="n"/>
      <c r="AC95" s="36" t="n"/>
      <c r="AD95" s="36" t="n"/>
      <c r="AE95" s="36" t="n"/>
      <c r="AF95" s="36" t="n"/>
      <c r="AG95" s="36" t="n"/>
      <c r="AH95" s="36" t="n"/>
      <c r="AI95" s="36" t="n"/>
      <c r="AJ95" s="36" t="n"/>
      <c r="AK95" s="36" t="n"/>
      <c r="AL95" s="36" t="n"/>
      <c r="AM95" s="36" t="n"/>
      <c r="AN95" s="36" t="n"/>
      <c r="AO95" s="36" t="n"/>
      <c r="AP95" s="36" t="n"/>
      <c r="AQ95" s="36" t="n"/>
      <c r="AR95" s="36" t="n"/>
      <c r="AS95" s="36" t="n"/>
      <c r="AT95" s="36" t="n"/>
      <c r="AU95" s="36" t="n"/>
      <c r="AV95" s="36" t="n"/>
      <c r="AW95" s="36" t="n"/>
      <c r="AX95" s="36" t="n"/>
      <c r="AY95" s="36" t="n"/>
      <c r="AZ95" s="36" t="n"/>
      <c r="BA95" s="36" t="n"/>
      <c r="BB95" s="36" t="n"/>
      <c r="BC95" s="36" t="n"/>
      <c r="BD95" s="36" t="n"/>
      <c r="BE95" s="36" t="n"/>
      <c r="BF95" s="36" t="n"/>
      <c r="BG95" s="36" t="n"/>
      <c r="BH95" s="36" t="n"/>
      <c r="BI95" s="36" t="n"/>
      <c r="BJ95" s="36" t="n"/>
      <c r="BK95" s="36" t="n"/>
      <c r="BL95" s="36" t="n"/>
      <c r="BM95" s="36" t="n"/>
      <c r="BN95" s="36" t="n"/>
      <c r="BO95" s="36" t="n"/>
      <c r="BP95" s="36" t="n"/>
      <c r="BQ95" s="36" t="n"/>
      <c r="BR95" s="36" t="n"/>
      <c r="BS95" s="36" t="n"/>
      <c r="BT95" s="36" t="n"/>
      <c r="BU95" s="36" t="n"/>
      <c r="BV95" s="36" t="n"/>
      <c r="BW95" s="36" t="n"/>
    </row>
    <row r="96" ht="34" customHeight="1">
      <c r="A96" s="38" t="n"/>
      <c r="B96" s="42">
        <f>IFERROR(INDEX(People!$B$2:$B$199,MATCH($A$92&amp;"#"&amp;5,People!$H$2:$H$199,0)),"")</f>
        <v/>
      </c>
      <c r="C96" s="26">
        <f>IF(TRIM($B96)="","",IFERROR(INDEX(People!$A$2:$A$199,MATCH(TRIM($B96),People!$B$2:$B$199,0)),"?? CHECK NAME"))</f>
        <v/>
      </c>
      <c r="D96" s="36" t="n"/>
      <c r="E96" s="36" t="n"/>
      <c r="F96" s="36" t="n"/>
      <c r="G96" s="36" t="n"/>
      <c r="H96" s="36" t="n"/>
      <c r="I96" s="36" t="n"/>
      <c r="J96" s="36" t="n"/>
      <c r="K96" s="36" t="n"/>
      <c r="L96" s="36" t="n"/>
      <c r="M96" s="36" t="n"/>
      <c r="N96" s="36" t="n"/>
      <c r="O96" s="36" t="n"/>
      <c r="P96" s="36" t="n"/>
      <c r="Q96" s="36" t="n"/>
      <c r="R96" s="36" t="n"/>
      <c r="S96" s="36" t="n"/>
      <c r="T96" s="36" t="n"/>
      <c r="U96" s="36" t="n"/>
      <c r="V96" s="36" t="n"/>
      <c r="W96" s="36" t="n"/>
      <c r="X96" s="36" t="n"/>
      <c r="Y96" s="36" t="n"/>
      <c r="Z96" s="36" t="n"/>
      <c r="AA96" s="36" t="n"/>
      <c r="AB96" s="36" t="n"/>
      <c r="AC96" s="36" t="n"/>
      <c r="AD96" s="36" t="n"/>
      <c r="AE96" s="36" t="n"/>
      <c r="AF96" s="36" t="n"/>
      <c r="AG96" s="36" t="n"/>
      <c r="AH96" s="36" t="n"/>
      <c r="AI96" s="36" t="n"/>
      <c r="AJ96" s="36" t="n"/>
      <c r="AK96" s="36" t="n"/>
      <c r="AL96" s="36" t="n"/>
      <c r="AM96" s="36" t="n"/>
      <c r="AN96" s="36" t="n"/>
      <c r="AO96" s="36" t="n"/>
      <c r="AP96" s="36" t="n"/>
      <c r="AQ96" s="36" t="n"/>
      <c r="AR96" s="36" t="n"/>
      <c r="AS96" s="36" t="n"/>
      <c r="AT96" s="36" t="n"/>
      <c r="AU96" s="36" t="n"/>
      <c r="AV96" s="36" t="n"/>
      <c r="AW96" s="36" t="n"/>
      <c r="AX96" s="36" t="n"/>
      <c r="AY96" s="36" t="n"/>
      <c r="AZ96" s="36" t="n"/>
      <c r="BA96" s="36" t="n"/>
      <c r="BB96" s="36" t="n"/>
      <c r="BC96" s="36" t="n"/>
      <c r="BD96" s="36" t="n"/>
      <c r="BE96" s="36" t="n"/>
      <c r="BF96" s="36" t="n"/>
      <c r="BG96" s="36" t="n"/>
      <c r="BH96" s="36" t="n"/>
      <c r="BI96" s="36" t="n"/>
      <c r="BJ96" s="36" t="n"/>
      <c r="BK96" s="36" t="n"/>
      <c r="BL96" s="36" t="n"/>
      <c r="BM96" s="36" t="n"/>
      <c r="BN96" s="36" t="n"/>
      <c r="BO96" s="36" t="n"/>
      <c r="BP96" s="36" t="n"/>
      <c r="BQ96" s="36" t="n"/>
      <c r="BR96" s="36" t="n"/>
      <c r="BS96" s="36" t="n"/>
      <c r="BT96" s="36" t="n"/>
      <c r="BU96" s="36" t="n"/>
      <c r="BV96" s="36" t="n"/>
      <c r="BW96" s="36" t="n"/>
    </row>
    <row r="97" ht="34" customHeight="1">
      <c r="A97" s="41" t="inlineStr">
        <is>
          <t>UTD Taraas</t>
        </is>
      </c>
      <c r="B97" s="42">
        <f>IFERROR(INDEX(People!$B$2:$B$199,MATCH($A$97&amp;"#"&amp;1,People!$H$2:$H$199,0)),"")</f>
        <v/>
      </c>
      <c r="C97" s="26">
        <f>IF(TRIM($B97)="","",IFERROR(INDEX(People!$A$2:$A$199,MATCH(TRIM($B97),People!$B$2:$B$199,0)),"?? CHECK NAME"))</f>
        <v/>
      </c>
      <c r="D97" s="36" t="n"/>
      <c r="E97" s="36" t="n"/>
      <c r="F97" s="36" t="n"/>
      <c r="G97" s="36" t="n"/>
      <c r="H97" s="36" t="n"/>
      <c r="I97" s="36" t="n"/>
      <c r="J97" s="36" t="n"/>
      <c r="K97" s="36" t="n"/>
      <c r="L97" s="36" t="n"/>
      <c r="M97" s="36" t="n"/>
      <c r="N97" s="36" t="n"/>
      <c r="O97" s="36" t="n"/>
      <c r="P97" s="36" t="n"/>
      <c r="Q97" s="36" t="n"/>
      <c r="R97" s="36" t="n"/>
      <c r="S97" s="36" t="n"/>
      <c r="T97" s="36" t="n"/>
      <c r="U97" s="36" t="n"/>
      <c r="V97" s="36" t="n"/>
      <c r="W97" s="36" t="n"/>
      <c r="X97" s="36" t="n"/>
      <c r="Y97" s="36" t="n"/>
      <c r="Z97" s="36" t="n"/>
      <c r="AA97" s="36" t="n"/>
      <c r="AB97" s="36" t="n"/>
      <c r="AC97" s="36" t="n"/>
      <c r="AD97" s="36" t="n"/>
      <c r="AE97" s="36" t="n"/>
      <c r="AF97" s="36" t="n"/>
      <c r="AG97" s="36" t="n"/>
      <c r="AH97" s="36" t="n"/>
      <c r="AI97" s="36" t="n"/>
      <c r="AJ97" s="36" t="n"/>
      <c r="AK97" s="36" t="n"/>
      <c r="AL97" s="36" t="n"/>
      <c r="AM97" s="36" t="n"/>
      <c r="AN97" s="36" t="n"/>
      <c r="AO97" s="36" t="n"/>
      <c r="AP97" s="36" t="n"/>
      <c r="AQ97" s="36" t="n"/>
      <c r="AR97" s="36" t="n"/>
      <c r="AS97" s="36" t="n"/>
      <c r="AT97" s="36" t="n"/>
      <c r="AU97" s="36" t="n"/>
      <c r="AV97" s="36" t="n"/>
      <c r="AW97" s="36" t="n"/>
      <c r="AX97" s="36" t="n"/>
      <c r="AY97" s="36" t="n"/>
      <c r="AZ97" s="36" t="n"/>
      <c r="BA97" s="36" t="n"/>
      <c r="BB97" s="36" t="n"/>
      <c r="BC97" s="36" t="n"/>
      <c r="BD97" s="36" t="n"/>
      <c r="BE97" s="36" t="n"/>
      <c r="BF97" s="36" t="n"/>
      <c r="BG97" s="36" t="n"/>
      <c r="BH97" s="36" t="n"/>
      <c r="BI97" s="36" t="n"/>
      <c r="BJ97" s="36" t="n"/>
      <c r="BK97" s="36" t="n"/>
      <c r="BL97" s="36" t="n"/>
      <c r="BM97" s="36" t="n"/>
      <c r="BN97" s="36" t="n"/>
      <c r="BO97" s="36" t="n"/>
      <c r="BP97" s="36" t="n"/>
      <c r="BQ97" s="36" t="n"/>
      <c r="BR97" s="36" t="n"/>
      <c r="BS97" s="36" t="n"/>
      <c r="BT97" s="36" t="n"/>
      <c r="BU97" s="36" t="n"/>
      <c r="BV97" s="36" t="n"/>
      <c r="BW97" s="36" t="n"/>
    </row>
    <row r="98" ht="34" customHeight="1">
      <c r="A98" s="37" t="n"/>
      <c r="B98" s="42">
        <f>IFERROR(INDEX(People!$B$2:$B$199,MATCH($A$97&amp;"#"&amp;2,People!$H$2:$H$199,0)),"")</f>
        <v/>
      </c>
      <c r="C98" s="26">
        <f>IF(TRIM($B98)="","",IFERROR(INDEX(People!$A$2:$A$199,MATCH(TRIM($B98),People!$B$2:$B$199,0)),"?? CHECK NAME"))</f>
        <v/>
      </c>
      <c r="D98" s="36" t="n"/>
      <c r="E98" s="36" t="n"/>
      <c r="F98" s="36" t="n"/>
      <c r="G98" s="36" t="n"/>
      <c r="H98" s="36" t="n"/>
      <c r="I98" s="36" t="n"/>
      <c r="J98" s="36" t="n"/>
      <c r="K98" s="36" t="n"/>
      <c r="L98" s="36" t="n"/>
      <c r="M98" s="36" t="n"/>
      <c r="N98" s="36" t="n"/>
      <c r="O98" s="36" t="n"/>
      <c r="P98" s="36" t="n"/>
      <c r="Q98" s="36" t="n"/>
      <c r="R98" s="36" t="n"/>
      <c r="S98" s="36" t="n"/>
      <c r="T98" s="36" t="n"/>
      <c r="U98" s="36" t="n"/>
      <c r="V98" s="36" t="n"/>
      <c r="W98" s="36" t="n"/>
      <c r="X98" s="36" t="n"/>
      <c r="Y98" s="36" t="n"/>
      <c r="Z98" s="36" t="n"/>
      <c r="AA98" s="36" t="n"/>
      <c r="AB98" s="36" t="n"/>
      <c r="AC98" s="36" t="n"/>
      <c r="AD98" s="36" t="n"/>
      <c r="AE98" s="36" t="n"/>
      <c r="AF98" s="36" t="n"/>
      <c r="AG98" s="36" t="n"/>
      <c r="AH98" s="36" t="n"/>
      <c r="AI98" s="36" t="n"/>
      <c r="AJ98" s="36" t="n"/>
      <c r="AK98" s="36" t="n"/>
      <c r="AL98" s="36" t="n"/>
      <c r="AM98" s="36" t="n"/>
      <c r="AN98" s="36" t="n"/>
      <c r="AO98" s="36" t="n"/>
      <c r="AP98" s="36" t="n"/>
      <c r="AQ98" s="36" t="n"/>
      <c r="AR98" s="36" t="n"/>
      <c r="AS98" s="36" t="n"/>
      <c r="AT98" s="36" t="n"/>
      <c r="AU98" s="36" t="n"/>
      <c r="AV98" s="36" t="n"/>
      <c r="AW98" s="36" t="n"/>
      <c r="AX98" s="36" t="n"/>
      <c r="AY98" s="36" t="n"/>
      <c r="AZ98" s="36" t="n"/>
      <c r="BA98" s="36" t="n"/>
      <c r="BB98" s="36" t="n"/>
      <c r="BC98" s="36" t="n"/>
      <c r="BD98" s="36" t="n"/>
      <c r="BE98" s="36" t="n"/>
      <c r="BF98" s="36" t="n"/>
      <c r="BG98" s="36" t="n"/>
      <c r="BH98" s="36" t="n"/>
      <c r="BI98" s="36" t="n"/>
      <c r="BJ98" s="36" t="n"/>
      <c r="BK98" s="36" t="n"/>
      <c r="BL98" s="36" t="n"/>
      <c r="BM98" s="36" t="n"/>
      <c r="BN98" s="36" t="n"/>
      <c r="BO98" s="36" t="n"/>
      <c r="BP98" s="36" t="n"/>
      <c r="BQ98" s="36" t="n"/>
      <c r="BR98" s="36" t="n"/>
      <c r="BS98" s="36" t="n"/>
      <c r="BT98" s="36" t="n"/>
      <c r="BU98" s="36" t="n"/>
      <c r="BV98" s="36" t="n"/>
      <c r="BW98" s="36" t="n"/>
    </row>
    <row r="99" ht="34" customHeight="1">
      <c r="A99" s="37" t="n"/>
      <c r="B99" s="42">
        <f>IFERROR(INDEX(People!$B$2:$B$199,MATCH($A$97&amp;"#"&amp;3,People!$H$2:$H$199,0)),"")</f>
        <v/>
      </c>
      <c r="C99" s="26">
        <f>IF(TRIM($B99)="","",IFERROR(INDEX(People!$A$2:$A$199,MATCH(TRIM($B99),People!$B$2:$B$199,0)),"?? CHECK NAME"))</f>
        <v/>
      </c>
      <c r="D99" s="36" t="n"/>
      <c r="E99" s="36" t="n"/>
      <c r="F99" s="36" t="n"/>
      <c r="G99" s="36" t="n"/>
      <c r="H99" s="36" t="n"/>
      <c r="I99" s="36" t="n"/>
      <c r="J99" s="36" t="n"/>
      <c r="K99" s="36" t="n"/>
      <c r="L99" s="36" t="n"/>
      <c r="M99" s="36" t="n"/>
      <c r="N99" s="36" t="n"/>
      <c r="O99" s="36" t="n"/>
      <c r="P99" s="36" t="n"/>
      <c r="Q99" s="36" t="n"/>
      <c r="R99" s="36" t="n"/>
      <c r="S99" s="36" t="n"/>
      <c r="T99" s="36" t="n"/>
      <c r="U99" s="36" t="n"/>
      <c r="V99" s="36" t="n"/>
      <c r="W99" s="36" t="n"/>
      <c r="X99" s="36" t="n"/>
      <c r="Y99" s="36" t="n"/>
      <c r="Z99" s="36" t="n"/>
      <c r="AA99" s="36" t="n"/>
      <c r="AB99" s="36" t="n"/>
      <c r="AC99" s="36" t="n"/>
      <c r="AD99" s="36" t="n"/>
      <c r="AE99" s="36" t="n"/>
      <c r="AF99" s="36" t="n"/>
      <c r="AG99" s="36" t="n"/>
      <c r="AH99" s="36" t="n"/>
      <c r="AI99" s="36" t="n"/>
      <c r="AJ99" s="36" t="n"/>
      <c r="AK99" s="36" t="n"/>
      <c r="AL99" s="36" t="n"/>
      <c r="AM99" s="36" t="n"/>
      <c r="AN99" s="36" t="n"/>
      <c r="AO99" s="36" t="n"/>
      <c r="AP99" s="36" t="n"/>
      <c r="AQ99" s="36" t="n"/>
      <c r="AR99" s="36" t="n"/>
      <c r="AS99" s="36" t="n"/>
      <c r="AT99" s="36" t="n"/>
      <c r="AU99" s="36" t="n"/>
      <c r="AV99" s="36" t="n"/>
      <c r="AW99" s="36" t="n"/>
      <c r="AX99" s="36" t="n"/>
      <c r="AY99" s="36" t="n"/>
      <c r="AZ99" s="36" t="n"/>
      <c r="BA99" s="36" t="n"/>
      <c r="BB99" s="36" t="n"/>
      <c r="BC99" s="36" t="n"/>
      <c r="BD99" s="36" t="n"/>
      <c r="BE99" s="36" t="n"/>
      <c r="BF99" s="36" t="n"/>
      <c r="BG99" s="36" t="n"/>
      <c r="BH99" s="36" t="n"/>
      <c r="BI99" s="36" t="n"/>
      <c r="BJ99" s="36" t="n"/>
      <c r="BK99" s="36" t="n"/>
      <c r="BL99" s="36" t="n"/>
      <c r="BM99" s="36" t="n"/>
      <c r="BN99" s="36" t="n"/>
      <c r="BO99" s="36" t="n"/>
      <c r="BP99" s="36" t="n"/>
      <c r="BQ99" s="36" t="n"/>
      <c r="BR99" s="36" t="n"/>
      <c r="BS99" s="36" t="n"/>
      <c r="BT99" s="36" t="n"/>
      <c r="BU99" s="36" t="n"/>
      <c r="BV99" s="36" t="n"/>
      <c r="BW99" s="36" t="n"/>
    </row>
    <row r="100" ht="34" customHeight="1">
      <c r="A100" s="37" t="n"/>
      <c r="B100" s="42">
        <f>IFERROR(INDEX(People!$B$2:$B$199,MATCH($A$97&amp;"#"&amp;4,People!$H$2:$H$199,0)),"")</f>
        <v/>
      </c>
      <c r="C100" s="26">
        <f>IF(TRIM($B100)="","",IFERROR(INDEX(People!$A$2:$A$199,MATCH(TRIM($B100),People!$B$2:$B$199,0)),"?? CHECK NAME"))</f>
        <v/>
      </c>
      <c r="D100" s="36" t="n"/>
      <c r="E100" s="36" t="n"/>
      <c r="F100" s="36" t="n"/>
      <c r="G100" s="36" t="n"/>
      <c r="H100" s="36" t="n"/>
      <c r="I100" s="36" t="n"/>
      <c r="J100" s="36" t="n"/>
      <c r="K100" s="36" t="n"/>
      <c r="L100" s="36" t="n"/>
      <c r="M100" s="36" t="n"/>
      <c r="N100" s="36" t="n"/>
      <c r="O100" s="36" t="n"/>
      <c r="P100" s="36" t="n"/>
      <c r="Q100" s="36" t="n"/>
      <c r="R100" s="36" t="n"/>
      <c r="S100" s="36" t="n"/>
      <c r="T100" s="36" t="n"/>
      <c r="U100" s="36" t="n"/>
      <c r="V100" s="36" t="n"/>
      <c r="W100" s="36" t="n"/>
      <c r="X100" s="36" t="n"/>
      <c r="Y100" s="36" t="n"/>
      <c r="Z100" s="36" t="n"/>
      <c r="AA100" s="36" t="n"/>
      <c r="AB100" s="36" t="n"/>
      <c r="AC100" s="36" t="n"/>
      <c r="AD100" s="36" t="n"/>
      <c r="AE100" s="36" t="n"/>
      <c r="AF100" s="36" t="n"/>
      <c r="AG100" s="36" t="n"/>
      <c r="AH100" s="36" t="n"/>
      <c r="AI100" s="36" t="n"/>
      <c r="AJ100" s="36" t="n"/>
      <c r="AK100" s="36" t="n"/>
      <c r="AL100" s="36" t="n"/>
      <c r="AM100" s="36" t="n"/>
      <c r="AN100" s="36" t="n"/>
      <c r="AO100" s="36" t="n"/>
      <c r="AP100" s="36" t="n"/>
      <c r="AQ100" s="36" t="n"/>
      <c r="AR100" s="36" t="n"/>
      <c r="AS100" s="36" t="n"/>
      <c r="AT100" s="36" t="n"/>
      <c r="AU100" s="36" t="n"/>
      <c r="AV100" s="36" t="n"/>
      <c r="AW100" s="36" t="n"/>
      <c r="AX100" s="36" t="n"/>
      <c r="AY100" s="36" t="n"/>
      <c r="AZ100" s="36" t="n"/>
      <c r="BA100" s="36" t="n"/>
      <c r="BB100" s="36" t="n"/>
      <c r="BC100" s="36" t="n"/>
      <c r="BD100" s="36" t="n"/>
      <c r="BE100" s="36" t="n"/>
      <c r="BF100" s="36" t="n"/>
      <c r="BG100" s="36" t="n"/>
      <c r="BH100" s="36" t="n"/>
      <c r="BI100" s="36" t="n"/>
      <c r="BJ100" s="36" t="n"/>
      <c r="BK100" s="36" t="n"/>
      <c r="BL100" s="36" t="n"/>
      <c r="BM100" s="36" t="n"/>
      <c r="BN100" s="36" t="n"/>
      <c r="BO100" s="36" t="n"/>
      <c r="BP100" s="36" t="n"/>
      <c r="BQ100" s="36" t="n"/>
      <c r="BR100" s="36" t="n"/>
      <c r="BS100" s="36" t="n"/>
      <c r="BT100" s="36" t="n"/>
      <c r="BU100" s="36" t="n"/>
      <c r="BV100" s="36" t="n"/>
      <c r="BW100" s="36" t="n"/>
    </row>
    <row r="101" ht="34" customHeight="1">
      <c r="A101" s="38" t="n"/>
      <c r="B101" s="42">
        <f>IFERROR(INDEX(People!$B$2:$B$199,MATCH($A$97&amp;"#"&amp;5,People!$H$2:$H$199,0)),"")</f>
        <v/>
      </c>
      <c r="C101" s="26">
        <f>IF(TRIM($B101)="","",IFERROR(INDEX(People!$A$2:$A$199,MATCH(TRIM($B101),People!$B$2:$B$199,0)),"?? CHECK NAME"))</f>
        <v/>
      </c>
      <c r="D101" s="36" t="n"/>
      <c r="E101" s="36" t="n"/>
      <c r="F101" s="36" t="n"/>
      <c r="G101" s="36" t="n"/>
      <c r="H101" s="36" t="n"/>
      <c r="I101" s="36" t="n"/>
      <c r="J101" s="36" t="n"/>
      <c r="K101" s="36" t="n"/>
      <c r="L101" s="36" t="n"/>
      <c r="M101" s="36" t="n"/>
      <c r="N101" s="36" t="n"/>
      <c r="O101" s="36" t="n"/>
      <c r="P101" s="36" t="n"/>
      <c r="Q101" s="36" t="n"/>
      <c r="R101" s="36" t="n"/>
      <c r="S101" s="36" t="n"/>
      <c r="T101" s="36" t="n"/>
      <c r="U101" s="36" t="n"/>
      <c r="V101" s="36" t="n"/>
      <c r="W101" s="36" t="n"/>
      <c r="X101" s="36" t="n"/>
      <c r="Y101" s="36" t="n"/>
      <c r="Z101" s="36" t="n"/>
      <c r="AA101" s="36" t="n"/>
      <c r="AB101" s="36" t="n"/>
      <c r="AC101" s="36" t="n"/>
      <c r="AD101" s="36" t="n"/>
      <c r="AE101" s="36" t="n"/>
      <c r="AF101" s="36" t="n"/>
      <c r="AG101" s="36" t="n"/>
      <c r="AH101" s="36" t="n"/>
      <c r="AI101" s="36" t="n"/>
      <c r="AJ101" s="36" t="n"/>
      <c r="AK101" s="36" t="n"/>
      <c r="AL101" s="36" t="n"/>
      <c r="AM101" s="36" t="n"/>
      <c r="AN101" s="36" t="n"/>
      <c r="AO101" s="36" t="n"/>
      <c r="AP101" s="36" t="n"/>
      <c r="AQ101" s="36" t="n"/>
      <c r="AR101" s="36" t="n"/>
      <c r="AS101" s="36" t="n"/>
      <c r="AT101" s="36" t="n"/>
      <c r="AU101" s="36" t="n"/>
      <c r="AV101" s="36" t="n"/>
      <c r="AW101" s="36" t="n"/>
      <c r="AX101" s="36" t="n"/>
      <c r="AY101" s="36" t="n"/>
      <c r="AZ101" s="36" t="n"/>
      <c r="BA101" s="36" t="n"/>
      <c r="BB101" s="36" t="n"/>
      <c r="BC101" s="36" t="n"/>
      <c r="BD101" s="36" t="n"/>
      <c r="BE101" s="36" t="n"/>
      <c r="BF101" s="36" t="n"/>
      <c r="BG101" s="36" t="n"/>
      <c r="BH101" s="36" t="n"/>
      <c r="BI101" s="36" t="n"/>
      <c r="BJ101" s="36" t="n"/>
      <c r="BK101" s="36" t="n"/>
      <c r="BL101" s="36" t="n"/>
      <c r="BM101" s="36" t="n"/>
      <c r="BN101" s="36" t="n"/>
      <c r="BO101" s="36" t="n"/>
      <c r="BP101" s="36" t="n"/>
      <c r="BQ101" s="36" t="n"/>
      <c r="BR101" s="36" t="n"/>
      <c r="BS101" s="36" t="n"/>
      <c r="BT101" s="36" t="n"/>
      <c r="BU101" s="36" t="n"/>
      <c r="BV101" s="36" t="n"/>
      <c r="BW101" s="36" t="n"/>
    </row>
    <row r="102" ht="34" customHeight="1">
      <c r="A102" s="41" t="inlineStr">
        <is>
          <t>UVA Hooraas</t>
        </is>
      </c>
      <c r="B102" s="42">
        <f>IFERROR(INDEX(People!$B$2:$B$199,MATCH($A$102&amp;"#"&amp;1,People!$H$2:$H$199,0)),"")</f>
        <v/>
      </c>
      <c r="C102" s="26">
        <f>IF(TRIM($B102)="","",IFERROR(INDEX(People!$A$2:$A$199,MATCH(TRIM($B102),People!$B$2:$B$199,0)),"?? CHECK NAME"))</f>
        <v/>
      </c>
      <c r="D102" s="36" t="n"/>
      <c r="E102" s="36" t="n"/>
      <c r="F102" s="36" t="n"/>
      <c r="G102" s="36" t="n"/>
      <c r="H102" s="36" t="n"/>
      <c r="I102" s="36" t="n"/>
      <c r="J102" s="36" t="n"/>
      <c r="K102" s="36" t="n"/>
      <c r="L102" s="36" t="n"/>
      <c r="M102" s="36" t="n"/>
      <c r="N102" s="36" t="n"/>
      <c r="O102" s="36" t="n"/>
      <c r="P102" s="36" t="n"/>
      <c r="Q102" s="36" t="n"/>
      <c r="R102" s="36" t="n"/>
      <c r="S102" s="36" t="n"/>
      <c r="T102" s="36" t="n"/>
      <c r="U102" s="36" t="n"/>
      <c r="V102" s="36" t="n"/>
      <c r="W102" s="36" t="n"/>
      <c r="X102" s="36" t="n"/>
      <c r="Y102" s="36" t="n"/>
      <c r="Z102" s="36" t="n"/>
      <c r="AA102" s="36" t="n"/>
      <c r="AB102" s="36" t="n"/>
      <c r="AC102" s="36" t="n"/>
      <c r="AD102" s="36" t="n"/>
      <c r="AE102" s="36" t="n"/>
      <c r="AF102" s="36" t="n"/>
      <c r="AG102" s="36" t="n"/>
      <c r="AH102" s="36" t="n"/>
      <c r="AI102" s="36" t="n"/>
      <c r="AJ102" s="36" t="n"/>
      <c r="AK102" s="36" t="n"/>
      <c r="AL102" s="36" t="n"/>
      <c r="AM102" s="36" t="n"/>
      <c r="AN102" s="36" t="n"/>
      <c r="AO102" s="36" t="n"/>
      <c r="AP102" s="36" t="n"/>
      <c r="AQ102" s="36" t="n"/>
      <c r="AR102" s="36" t="n"/>
      <c r="AS102" s="36" t="n"/>
      <c r="AT102" s="36" t="n"/>
      <c r="AU102" s="36" t="n"/>
      <c r="AV102" s="36" t="n"/>
      <c r="AW102" s="36" t="n"/>
      <c r="AX102" s="36" t="n"/>
      <c r="AY102" s="36" t="n"/>
      <c r="AZ102" s="36" t="n"/>
      <c r="BA102" s="36" t="n"/>
      <c r="BB102" s="36" t="n"/>
      <c r="BC102" s="36" t="n"/>
      <c r="BD102" s="36" t="n"/>
      <c r="BE102" s="36" t="n"/>
      <c r="BF102" s="36" t="n"/>
      <c r="BG102" s="36" t="n"/>
      <c r="BH102" s="36" t="n"/>
      <c r="BI102" s="36" t="n"/>
      <c r="BJ102" s="36" t="n"/>
      <c r="BK102" s="36" t="n"/>
      <c r="BL102" s="36" t="n"/>
      <c r="BM102" s="36" t="n"/>
      <c r="BN102" s="36" t="n"/>
      <c r="BO102" s="36" t="n"/>
      <c r="BP102" s="36" t="n"/>
      <c r="BQ102" s="36" t="n"/>
      <c r="BR102" s="36" t="n"/>
      <c r="BS102" s="36" t="n"/>
      <c r="BT102" s="36" t="n"/>
      <c r="BU102" s="36" t="n"/>
      <c r="BV102" s="36" t="n"/>
      <c r="BW102" s="36" t="n"/>
    </row>
    <row r="103" ht="34" customHeight="1">
      <c r="A103" s="37" t="n"/>
      <c r="B103" s="42">
        <f>IFERROR(INDEX(People!$B$2:$B$199,MATCH($A$102&amp;"#"&amp;2,People!$H$2:$H$199,0)),"")</f>
        <v/>
      </c>
      <c r="C103" s="26">
        <f>IF(TRIM($B103)="","",IFERROR(INDEX(People!$A$2:$A$199,MATCH(TRIM($B103),People!$B$2:$B$199,0)),"?? CHECK NAME"))</f>
        <v/>
      </c>
      <c r="D103" s="36" t="n"/>
      <c r="E103" s="36" t="n"/>
      <c r="F103" s="36" t="n"/>
      <c r="G103" s="36" t="n"/>
      <c r="H103" s="36" t="n"/>
      <c r="I103" s="36" t="n"/>
      <c r="J103" s="36" t="n"/>
      <c r="K103" s="36" t="n"/>
      <c r="L103" s="36" t="n"/>
      <c r="M103" s="36" t="n"/>
      <c r="N103" s="36" t="n"/>
      <c r="O103" s="36" t="n"/>
      <c r="P103" s="36" t="n"/>
      <c r="Q103" s="36" t="n"/>
      <c r="R103" s="36" t="n"/>
      <c r="S103" s="36" t="n"/>
      <c r="T103" s="36" t="n"/>
      <c r="U103" s="36" t="n"/>
      <c r="V103" s="36" t="n"/>
      <c r="W103" s="36" t="n"/>
      <c r="X103" s="36" t="n"/>
      <c r="Y103" s="36" t="n"/>
      <c r="Z103" s="36" t="n"/>
      <c r="AA103" s="36" t="n"/>
      <c r="AB103" s="36" t="n"/>
      <c r="AC103" s="36" t="n"/>
      <c r="AD103" s="36" t="n"/>
      <c r="AE103" s="36" t="n"/>
      <c r="AF103" s="36" t="n"/>
      <c r="AG103" s="36" t="n"/>
      <c r="AH103" s="36" t="n"/>
      <c r="AI103" s="36" t="n"/>
      <c r="AJ103" s="36" t="n"/>
      <c r="AK103" s="36" t="n"/>
      <c r="AL103" s="36" t="n"/>
      <c r="AM103" s="36" t="n"/>
      <c r="AN103" s="36" t="n"/>
      <c r="AO103" s="36" t="n"/>
      <c r="AP103" s="36" t="n"/>
      <c r="AQ103" s="36" t="n"/>
      <c r="AR103" s="36" t="n"/>
      <c r="AS103" s="36" t="n"/>
      <c r="AT103" s="36" t="n"/>
      <c r="AU103" s="36" t="n"/>
      <c r="AV103" s="36" t="n"/>
      <c r="AW103" s="36" t="n"/>
      <c r="AX103" s="36" t="n"/>
      <c r="AY103" s="36" t="n"/>
      <c r="AZ103" s="36" t="n"/>
      <c r="BA103" s="36" t="n"/>
      <c r="BB103" s="36" t="n"/>
      <c r="BC103" s="36" t="n"/>
      <c r="BD103" s="36" t="n"/>
      <c r="BE103" s="36" t="n"/>
      <c r="BF103" s="36" t="n"/>
      <c r="BG103" s="36" t="n"/>
      <c r="BH103" s="36" t="n"/>
      <c r="BI103" s="36" t="n"/>
      <c r="BJ103" s="36" t="n"/>
      <c r="BK103" s="36" t="n"/>
      <c r="BL103" s="36" t="n"/>
      <c r="BM103" s="36" t="n"/>
      <c r="BN103" s="36" t="n"/>
      <c r="BO103" s="36" t="n"/>
      <c r="BP103" s="36" t="n"/>
      <c r="BQ103" s="36" t="n"/>
      <c r="BR103" s="36" t="n"/>
      <c r="BS103" s="36" t="n"/>
      <c r="BT103" s="36" t="n"/>
      <c r="BU103" s="36" t="n"/>
      <c r="BV103" s="36" t="n"/>
      <c r="BW103" s="36" t="n"/>
    </row>
    <row r="104" ht="34" customHeight="1">
      <c r="A104" s="37" t="n"/>
      <c r="B104" s="42">
        <f>IFERROR(INDEX(People!$B$2:$B$199,MATCH($A$102&amp;"#"&amp;3,People!$H$2:$H$199,0)),"")</f>
        <v/>
      </c>
      <c r="C104" s="26">
        <f>IF(TRIM($B104)="","",IFERROR(INDEX(People!$A$2:$A$199,MATCH(TRIM($B104),People!$B$2:$B$199,0)),"?? CHECK NAME"))</f>
        <v/>
      </c>
      <c r="D104" s="36" t="n"/>
      <c r="E104" s="36" t="n"/>
      <c r="F104" s="36" t="n"/>
      <c r="G104" s="36" t="n"/>
      <c r="H104" s="36" t="n"/>
      <c r="I104" s="36" t="n"/>
      <c r="J104" s="36" t="n"/>
      <c r="K104" s="36" t="n"/>
      <c r="L104" s="36" t="n"/>
      <c r="M104" s="36" t="n"/>
      <c r="N104" s="36" t="n"/>
      <c r="O104" s="36" t="n"/>
      <c r="P104" s="36" t="n"/>
      <c r="Q104" s="36" t="n"/>
      <c r="R104" s="36" t="n"/>
      <c r="S104" s="36" t="n"/>
      <c r="T104" s="36" t="n"/>
      <c r="U104" s="36" t="n"/>
      <c r="V104" s="36" t="n"/>
      <c r="W104" s="36" t="n"/>
      <c r="X104" s="36" t="n"/>
      <c r="Y104" s="36" t="n"/>
      <c r="Z104" s="36" t="n"/>
      <c r="AA104" s="36" t="n"/>
      <c r="AB104" s="36" t="n"/>
      <c r="AC104" s="36" t="n"/>
      <c r="AD104" s="36" t="n"/>
      <c r="AE104" s="36" t="n"/>
      <c r="AF104" s="36" t="n"/>
      <c r="AG104" s="36" t="n"/>
      <c r="AH104" s="36" t="n"/>
      <c r="AI104" s="36" t="n"/>
      <c r="AJ104" s="36" t="n"/>
      <c r="AK104" s="36" t="n"/>
      <c r="AL104" s="36" t="n"/>
      <c r="AM104" s="36" t="n"/>
      <c r="AN104" s="36" t="n"/>
      <c r="AO104" s="36" t="n"/>
      <c r="AP104" s="36" t="n"/>
      <c r="AQ104" s="36" t="n"/>
      <c r="AR104" s="36" t="n"/>
      <c r="AS104" s="36" t="n"/>
      <c r="AT104" s="36" t="n"/>
      <c r="AU104" s="36" t="n"/>
      <c r="AV104" s="36" t="n"/>
      <c r="AW104" s="36" t="n"/>
      <c r="AX104" s="36" t="n"/>
      <c r="AY104" s="36" t="n"/>
      <c r="AZ104" s="36" t="n"/>
      <c r="BA104" s="36" t="n"/>
      <c r="BB104" s="36" t="n"/>
      <c r="BC104" s="36" t="n"/>
      <c r="BD104" s="36" t="n"/>
      <c r="BE104" s="36" t="n"/>
      <c r="BF104" s="36" t="n"/>
      <c r="BG104" s="36" t="n"/>
      <c r="BH104" s="36" t="n"/>
      <c r="BI104" s="36" t="n"/>
      <c r="BJ104" s="36" t="n"/>
      <c r="BK104" s="36" t="n"/>
      <c r="BL104" s="36" t="n"/>
      <c r="BM104" s="36" t="n"/>
      <c r="BN104" s="36" t="n"/>
      <c r="BO104" s="36" t="n"/>
      <c r="BP104" s="36" t="n"/>
      <c r="BQ104" s="36" t="n"/>
      <c r="BR104" s="36" t="n"/>
      <c r="BS104" s="36" t="n"/>
      <c r="BT104" s="36" t="n"/>
      <c r="BU104" s="36" t="n"/>
      <c r="BV104" s="36" t="n"/>
      <c r="BW104" s="36" t="n"/>
    </row>
    <row r="105" ht="34" customHeight="1">
      <c r="A105" s="37" t="n"/>
      <c r="B105" s="42">
        <f>IFERROR(INDEX(People!$B$2:$B$199,MATCH($A$102&amp;"#"&amp;4,People!$H$2:$H$199,0)),"")</f>
        <v/>
      </c>
      <c r="C105" s="26">
        <f>IF(TRIM($B105)="","",IFERROR(INDEX(People!$A$2:$A$199,MATCH(TRIM($B105),People!$B$2:$B$199,0)),"?? CHECK NAME"))</f>
        <v/>
      </c>
      <c r="D105" s="36" t="n"/>
      <c r="E105" s="36" t="n"/>
      <c r="F105" s="36" t="n"/>
      <c r="G105" s="36" t="n"/>
      <c r="H105" s="36" t="n"/>
      <c r="I105" s="36" t="n"/>
      <c r="J105" s="36" t="n"/>
      <c r="K105" s="36" t="n"/>
      <c r="L105" s="36" t="n"/>
      <c r="M105" s="36" t="n"/>
      <c r="N105" s="36" t="n"/>
      <c r="O105" s="36" t="n"/>
      <c r="P105" s="36" t="n"/>
      <c r="Q105" s="36" t="n"/>
      <c r="R105" s="36" t="n"/>
      <c r="S105" s="36" t="n"/>
      <c r="T105" s="36" t="n"/>
      <c r="U105" s="36" t="n"/>
      <c r="V105" s="36" t="n"/>
      <c r="W105" s="36" t="n"/>
      <c r="X105" s="36" t="n"/>
      <c r="Y105" s="36" t="n"/>
      <c r="Z105" s="36" t="n"/>
      <c r="AA105" s="36" t="n"/>
      <c r="AB105" s="36" t="n"/>
      <c r="AC105" s="36" t="n"/>
      <c r="AD105" s="36" t="n"/>
      <c r="AE105" s="36" t="n"/>
      <c r="AF105" s="36" t="n"/>
      <c r="AG105" s="36" t="n"/>
      <c r="AH105" s="36" t="n"/>
      <c r="AI105" s="36" t="n"/>
      <c r="AJ105" s="36" t="n"/>
      <c r="AK105" s="36" t="n"/>
      <c r="AL105" s="36" t="n"/>
      <c r="AM105" s="36" t="n"/>
      <c r="AN105" s="36" t="n"/>
      <c r="AO105" s="36" t="n"/>
      <c r="AP105" s="36" t="n"/>
      <c r="AQ105" s="36" t="n"/>
      <c r="AR105" s="36" t="n"/>
      <c r="AS105" s="36" t="n"/>
      <c r="AT105" s="36" t="n"/>
      <c r="AU105" s="36" t="n"/>
      <c r="AV105" s="36" t="n"/>
      <c r="AW105" s="36" t="n"/>
      <c r="AX105" s="36" t="n"/>
      <c r="AY105" s="36" t="n"/>
      <c r="AZ105" s="36" t="n"/>
      <c r="BA105" s="36" t="n"/>
      <c r="BB105" s="36" t="n"/>
      <c r="BC105" s="36" t="n"/>
      <c r="BD105" s="36" t="n"/>
      <c r="BE105" s="36" t="n"/>
      <c r="BF105" s="36" t="n"/>
      <c r="BG105" s="36" t="n"/>
      <c r="BH105" s="36" t="n"/>
      <c r="BI105" s="36" t="n"/>
      <c r="BJ105" s="36" t="n"/>
      <c r="BK105" s="36" t="n"/>
      <c r="BL105" s="36" t="n"/>
      <c r="BM105" s="36" t="n"/>
      <c r="BN105" s="36" t="n"/>
      <c r="BO105" s="36" t="n"/>
      <c r="BP105" s="36" t="n"/>
      <c r="BQ105" s="36" t="n"/>
      <c r="BR105" s="36" t="n"/>
      <c r="BS105" s="36" t="n"/>
      <c r="BT105" s="36" t="n"/>
      <c r="BU105" s="36" t="n"/>
      <c r="BV105" s="36" t="n"/>
      <c r="BW105" s="36" t="n"/>
    </row>
    <row r="106" ht="34" customHeight="1">
      <c r="A106" s="38" t="n"/>
      <c r="B106" s="42">
        <f>IFERROR(INDEX(People!$B$2:$B$199,MATCH($A$102&amp;"#"&amp;5,People!$H$2:$H$199,0)),"")</f>
        <v/>
      </c>
      <c r="C106" s="26">
        <f>IF(TRIM($B106)="","",IFERROR(INDEX(People!$A$2:$A$199,MATCH(TRIM($B106),People!$B$2:$B$199,0)),"?? CHECK NAME"))</f>
        <v/>
      </c>
      <c r="D106" s="36" t="n"/>
      <c r="E106" s="36" t="n"/>
      <c r="F106" s="36" t="n"/>
      <c r="G106" s="36" t="n"/>
      <c r="H106" s="36" t="n"/>
      <c r="I106" s="36" t="n"/>
      <c r="J106" s="36" t="n"/>
      <c r="K106" s="36" t="n"/>
      <c r="L106" s="36" t="n"/>
      <c r="M106" s="36" t="n"/>
      <c r="N106" s="36" t="n"/>
      <c r="O106" s="36" t="n"/>
      <c r="P106" s="36" t="n"/>
      <c r="Q106" s="36" t="n"/>
      <c r="R106" s="36" t="n"/>
      <c r="S106" s="36" t="n"/>
      <c r="T106" s="36" t="n"/>
      <c r="U106" s="36" t="n"/>
      <c r="V106" s="36" t="n"/>
      <c r="W106" s="36" t="n"/>
      <c r="X106" s="36" t="n"/>
      <c r="Y106" s="36" t="n"/>
      <c r="Z106" s="36" t="n"/>
      <c r="AA106" s="36" t="n"/>
      <c r="AB106" s="36" t="n"/>
      <c r="AC106" s="36" t="n"/>
      <c r="AD106" s="36" t="n"/>
      <c r="AE106" s="36" t="n"/>
      <c r="AF106" s="36" t="n"/>
      <c r="AG106" s="36" t="n"/>
      <c r="AH106" s="36" t="n"/>
      <c r="AI106" s="36" t="n"/>
      <c r="AJ106" s="36" t="n"/>
      <c r="AK106" s="36" t="n"/>
      <c r="AL106" s="36" t="n"/>
      <c r="AM106" s="36" t="n"/>
      <c r="AN106" s="36" t="n"/>
      <c r="AO106" s="36" t="n"/>
      <c r="AP106" s="36" t="n"/>
      <c r="AQ106" s="36" t="n"/>
      <c r="AR106" s="36" t="n"/>
      <c r="AS106" s="36" t="n"/>
      <c r="AT106" s="36" t="n"/>
      <c r="AU106" s="36" t="n"/>
      <c r="AV106" s="36" t="n"/>
      <c r="AW106" s="36" t="n"/>
      <c r="AX106" s="36" t="n"/>
      <c r="AY106" s="36" t="n"/>
      <c r="AZ106" s="36" t="n"/>
      <c r="BA106" s="36" t="n"/>
      <c r="BB106" s="36" t="n"/>
      <c r="BC106" s="36" t="n"/>
      <c r="BD106" s="36" t="n"/>
      <c r="BE106" s="36" t="n"/>
      <c r="BF106" s="36" t="n"/>
      <c r="BG106" s="36" t="n"/>
      <c r="BH106" s="36" t="n"/>
      <c r="BI106" s="36" t="n"/>
      <c r="BJ106" s="36" t="n"/>
      <c r="BK106" s="36" t="n"/>
      <c r="BL106" s="36" t="n"/>
      <c r="BM106" s="36" t="n"/>
      <c r="BN106" s="36" t="n"/>
      <c r="BO106" s="36" t="n"/>
      <c r="BP106" s="36" t="n"/>
      <c r="BQ106" s="36" t="n"/>
      <c r="BR106" s="36" t="n"/>
      <c r="BS106" s="36" t="n"/>
      <c r="BT106" s="36" t="n"/>
      <c r="BU106" s="36" t="n"/>
      <c r="BV106" s="36" t="n"/>
      <c r="BW106" s="36" t="n"/>
    </row>
    <row r="107" ht="34" customHeight="1">
      <c r="A107" s="41" t="inlineStr">
        <is>
          <t>UMD Entouraas</t>
        </is>
      </c>
      <c r="B107" s="42">
        <f>IFERROR(INDEX(People!$B$2:$B$199,MATCH($A$107&amp;"#"&amp;1,People!$H$2:$H$199,0)),"")</f>
        <v/>
      </c>
      <c r="C107" s="26">
        <f>IF(TRIM($B107)="","",IFERROR(INDEX(People!$A$2:$A$199,MATCH(TRIM($B107),People!$B$2:$B$199,0)),"?? CHECK NAME"))</f>
        <v/>
      </c>
      <c r="D107" s="36" t="n"/>
      <c r="E107" s="36" t="n"/>
      <c r="F107" s="36" t="n"/>
      <c r="G107" s="36" t="n"/>
      <c r="H107" s="36" t="n"/>
      <c r="I107" s="36" t="n"/>
      <c r="J107" s="36" t="n"/>
      <c r="K107" s="36" t="n"/>
      <c r="L107" s="36" t="n"/>
      <c r="M107" s="36" t="n"/>
      <c r="N107" s="36" t="n"/>
      <c r="O107" s="36" t="n"/>
      <c r="P107" s="36" t="n"/>
      <c r="Q107" s="36" t="n"/>
      <c r="R107" s="36" t="n"/>
      <c r="S107" s="36" t="n"/>
      <c r="T107" s="36" t="n"/>
      <c r="U107" s="36" t="n"/>
      <c r="V107" s="36" t="n"/>
      <c r="W107" s="36" t="n"/>
      <c r="X107" s="36" t="n"/>
      <c r="Y107" s="36" t="n"/>
      <c r="Z107" s="36" t="n"/>
      <c r="AA107" s="36" t="n"/>
      <c r="AB107" s="36" t="n"/>
      <c r="AC107" s="36" t="n"/>
      <c r="AD107" s="36" t="n"/>
      <c r="AE107" s="36" t="n"/>
      <c r="AF107" s="36" t="n"/>
      <c r="AG107" s="36" t="n"/>
      <c r="AH107" s="36" t="n"/>
      <c r="AI107" s="36" t="n"/>
      <c r="AJ107" s="36" t="n"/>
      <c r="AK107" s="36" t="n"/>
      <c r="AL107" s="36" t="n"/>
      <c r="AM107" s="36" t="n"/>
      <c r="AN107" s="36" t="n"/>
      <c r="AO107" s="36" t="n"/>
      <c r="AP107" s="36" t="n"/>
      <c r="AQ107" s="36" t="n"/>
      <c r="AR107" s="36" t="n"/>
      <c r="AS107" s="36" t="n"/>
      <c r="AT107" s="36" t="n"/>
      <c r="AU107" s="36" t="n"/>
      <c r="AV107" s="36" t="n"/>
      <c r="AW107" s="36" t="n"/>
      <c r="AX107" s="36" t="n"/>
      <c r="AY107" s="36" t="n"/>
      <c r="AZ107" s="36" t="n"/>
      <c r="BA107" s="36" t="n"/>
      <c r="BB107" s="36" t="n"/>
      <c r="BC107" s="36" t="n"/>
      <c r="BD107" s="36" t="n"/>
      <c r="BE107" s="36" t="n"/>
      <c r="BF107" s="36" t="n"/>
      <c r="BG107" s="36" t="n"/>
      <c r="BH107" s="36" t="n"/>
      <c r="BI107" s="36" t="n"/>
      <c r="BJ107" s="36" t="n"/>
      <c r="BK107" s="36" t="n"/>
      <c r="BL107" s="36" t="n"/>
      <c r="BM107" s="36" t="n"/>
      <c r="BN107" s="36" t="n"/>
      <c r="BO107" s="36" t="n"/>
      <c r="BP107" s="36" t="n"/>
      <c r="BQ107" s="36" t="n"/>
      <c r="BR107" s="36" t="n"/>
      <c r="BS107" s="36" t="n"/>
      <c r="BT107" s="36" t="n"/>
      <c r="BU107" s="36" t="n"/>
      <c r="BV107" s="36" t="n"/>
      <c r="BW107" s="36" t="n"/>
    </row>
    <row r="108" ht="34" customHeight="1">
      <c r="A108" s="37" t="n"/>
      <c r="B108" s="42">
        <f>IFERROR(INDEX(People!$B$2:$B$199,MATCH($A$107&amp;"#"&amp;2,People!$H$2:$H$199,0)),"")</f>
        <v/>
      </c>
      <c r="C108" s="26">
        <f>IF(TRIM($B108)="","",IFERROR(INDEX(People!$A$2:$A$199,MATCH(TRIM($B108),People!$B$2:$B$199,0)),"?? CHECK NAME"))</f>
        <v/>
      </c>
      <c r="D108" s="36" t="n"/>
      <c r="E108" s="36" t="n"/>
      <c r="F108" s="36" t="n"/>
      <c r="G108" s="36" t="n"/>
      <c r="H108" s="36" t="n"/>
      <c r="I108" s="36" t="n"/>
      <c r="J108" s="36" t="n"/>
      <c r="K108" s="36" t="n"/>
      <c r="L108" s="36" t="n"/>
      <c r="M108" s="36" t="n"/>
      <c r="N108" s="36" t="n"/>
      <c r="O108" s="36" t="n"/>
      <c r="P108" s="36" t="n"/>
      <c r="Q108" s="36" t="n"/>
      <c r="R108" s="36" t="n"/>
      <c r="S108" s="36" t="n"/>
      <c r="T108" s="36" t="n"/>
      <c r="U108" s="36" t="n"/>
      <c r="V108" s="36" t="n"/>
      <c r="W108" s="36" t="n"/>
      <c r="X108" s="36" t="n"/>
      <c r="Y108" s="36" t="n"/>
      <c r="Z108" s="36" t="n"/>
      <c r="AA108" s="36" t="n"/>
      <c r="AB108" s="36" t="n"/>
      <c r="AC108" s="36" t="n"/>
      <c r="AD108" s="36" t="n"/>
      <c r="AE108" s="36" t="n"/>
      <c r="AF108" s="36" t="n"/>
      <c r="AG108" s="36" t="n"/>
      <c r="AH108" s="36" t="n"/>
      <c r="AI108" s="36" t="n"/>
      <c r="AJ108" s="36" t="n"/>
      <c r="AK108" s="36" t="n"/>
      <c r="AL108" s="36" t="n"/>
      <c r="AM108" s="36" t="n"/>
      <c r="AN108" s="36" t="n"/>
      <c r="AO108" s="36" t="n"/>
      <c r="AP108" s="36" t="n"/>
      <c r="AQ108" s="36" t="n"/>
      <c r="AR108" s="36" t="n"/>
      <c r="AS108" s="36" t="n"/>
      <c r="AT108" s="36" t="n"/>
      <c r="AU108" s="36" t="n"/>
      <c r="AV108" s="36" t="n"/>
      <c r="AW108" s="36" t="n"/>
      <c r="AX108" s="36" t="n"/>
      <c r="AY108" s="36" t="n"/>
      <c r="AZ108" s="36" t="n"/>
      <c r="BA108" s="36" t="n"/>
      <c r="BB108" s="36" t="n"/>
      <c r="BC108" s="36" t="n"/>
      <c r="BD108" s="36" t="n"/>
      <c r="BE108" s="36" t="n"/>
      <c r="BF108" s="36" t="n"/>
      <c r="BG108" s="36" t="n"/>
      <c r="BH108" s="36" t="n"/>
      <c r="BI108" s="36" t="n"/>
      <c r="BJ108" s="36" t="n"/>
      <c r="BK108" s="36" t="n"/>
      <c r="BL108" s="36" t="n"/>
      <c r="BM108" s="36" t="n"/>
      <c r="BN108" s="36" t="n"/>
      <c r="BO108" s="36" t="n"/>
      <c r="BP108" s="36" t="n"/>
      <c r="BQ108" s="36" t="n"/>
      <c r="BR108" s="36" t="n"/>
      <c r="BS108" s="36" t="n"/>
      <c r="BT108" s="36" t="n"/>
      <c r="BU108" s="36" t="n"/>
      <c r="BV108" s="36" t="n"/>
      <c r="BW108" s="36" t="n"/>
    </row>
    <row r="109" ht="34" customHeight="1">
      <c r="A109" s="37" t="n"/>
      <c r="B109" s="42">
        <f>IFERROR(INDEX(People!$B$2:$B$199,MATCH($A$107&amp;"#"&amp;3,People!$H$2:$H$199,0)),"")</f>
        <v/>
      </c>
      <c r="C109" s="26">
        <f>IF(TRIM($B109)="","",IFERROR(INDEX(People!$A$2:$A$199,MATCH(TRIM($B109),People!$B$2:$B$199,0)),"?? CHECK NAME"))</f>
        <v/>
      </c>
      <c r="D109" s="36" t="n"/>
      <c r="E109" s="36" t="n"/>
      <c r="F109" s="36" t="n"/>
      <c r="G109" s="36" t="n"/>
      <c r="H109" s="36" t="n"/>
      <c r="I109" s="36" t="n"/>
      <c r="J109" s="36" t="n"/>
      <c r="K109" s="36" t="n"/>
      <c r="L109" s="36" t="n"/>
      <c r="M109" s="36" t="n"/>
      <c r="N109" s="36" t="n"/>
      <c r="O109" s="36" t="n"/>
      <c r="P109" s="36" t="n"/>
      <c r="Q109" s="36" t="n"/>
      <c r="R109" s="36" t="n"/>
      <c r="S109" s="36" t="n"/>
      <c r="T109" s="36" t="n"/>
      <c r="U109" s="36" t="n"/>
      <c r="V109" s="36" t="n"/>
      <c r="W109" s="36" t="n"/>
      <c r="X109" s="36" t="n"/>
      <c r="Y109" s="36" t="n"/>
      <c r="Z109" s="36" t="n"/>
      <c r="AA109" s="36" t="n"/>
      <c r="AB109" s="36" t="n"/>
      <c r="AC109" s="36" t="n"/>
      <c r="AD109" s="36" t="n"/>
      <c r="AE109" s="36" t="n"/>
      <c r="AF109" s="36" t="n"/>
      <c r="AG109" s="36" t="n"/>
      <c r="AH109" s="36" t="n"/>
      <c r="AI109" s="36" t="n"/>
      <c r="AJ109" s="36" t="n"/>
      <c r="AK109" s="36" t="n"/>
      <c r="AL109" s="36" t="n"/>
      <c r="AM109" s="36" t="n"/>
      <c r="AN109" s="36" t="n"/>
      <c r="AO109" s="36" t="n"/>
      <c r="AP109" s="36" t="n"/>
      <c r="AQ109" s="36" t="n"/>
      <c r="AR109" s="36" t="n"/>
      <c r="AS109" s="36" t="n"/>
      <c r="AT109" s="36" t="n"/>
      <c r="AU109" s="36" t="n"/>
      <c r="AV109" s="36" t="n"/>
      <c r="AW109" s="36" t="n"/>
      <c r="AX109" s="36" t="n"/>
      <c r="AY109" s="36" t="n"/>
      <c r="AZ109" s="36" t="n"/>
      <c r="BA109" s="36" t="n"/>
      <c r="BB109" s="36" t="n"/>
      <c r="BC109" s="36" t="n"/>
      <c r="BD109" s="36" t="n"/>
      <c r="BE109" s="36" t="n"/>
      <c r="BF109" s="36" t="n"/>
      <c r="BG109" s="36" t="n"/>
      <c r="BH109" s="36" t="n"/>
      <c r="BI109" s="36" t="n"/>
      <c r="BJ109" s="36" t="n"/>
      <c r="BK109" s="36" t="n"/>
      <c r="BL109" s="36" t="n"/>
      <c r="BM109" s="36" t="n"/>
      <c r="BN109" s="36" t="n"/>
      <c r="BO109" s="36" t="n"/>
      <c r="BP109" s="36" t="n"/>
      <c r="BQ109" s="36" t="n"/>
      <c r="BR109" s="36" t="n"/>
      <c r="BS109" s="36" t="n"/>
      <c r="BT109" s="36" t="n"/>
      <c r="BU109" s="36" t="n"/>
      <c r="BV109" s="36" t="n"/>
      <c r="BW109" s="36" t="n"/>
    </row>
    <row r="110" ht="34" customHeight="1">
      <c r="A110" s="37" t="n"/>
      <c r="B110" s="42">
        <f>IFERROR(INDEX(People!$B$2:$B$199,MATCH($A$107&amp;"#"&amp;4,People!$H$2:$H$199,0)),"")</f>
        <v/>
      </c>
      <c r="C110" s="26">
        <f>IF(TRIM($B110)="","",IFERROR(INDEX(People!$A$2:$A$199,MATCH(TRIM($B110),People!$B$2:$B$199,0)),"?? CHECK NAME"))</f>
        <v/>
      </c>
      <c r="D110" s="36" t="n"/>
      <c r="E110" s="36" t="n"/>
      <c r="F110" s="36" t="n"/>
      <c r="G110" s="36" t="n"/>
      <c r="H110" s="36" t="n"/>
      <c r="I110" s="36" t="n"/>
      <c r="J110" s="36" t="n"/>
      <c r="K110" s="36" t="n"/>
      <c r="L110" s="36" t="n"/>
      <c r="M110" s="36" t="n"/>
      <c r="N110" s="36" t="n"/>
      <c r="O110" s="36" t="n"/>
      <c r="P110" s="36" t="n"/>
      <c r="Q110" s="36" t="n"/>
      <c r="R110" s="36" t="n"/>
      <c r="S110" s="36" t="n"/>
      <c r="T110" s="36" t="n"/>
      <c r="U110" s="36" t="n"/>
      <c r="V110" s="36" t="n"/>
      <c r="W110" s="36" t="n"/>
      <c r="X110" s="36" t="n"/>
      <c r="Y110" s="36" t="n"/>
      <c r="Z110" s="36" t="n"/>
      <c r="AA110" s="36" t="n"/>
      <c r="AB110" s="36" t="n"/>
      <c r="AC110" s="36" t="n"/>
      <c r="AD110" s="36" t="n"/>
      <c r="AE110" s="36" t="n"/>
      <c r="AF110" s="36" t="n"/>
      <c r="AG110" s="36" t="n"/>
      <c r="AH110" s="36" t="n"/>
      <c r="AI110" s="36" t="n"/>
      <c r="AJ110" s="36" t="n"/>
      <c r="AK110" s="36" t="n"/>
      <c r="AL110" s="36" t="n"/>
      <c r="AM110" s="36" t="n"/>
      <c r="AN110" s="36" t="n"/>
      <c r="AO110" s="36" t="n"/>
      <c r="AP110" s="36" t="n"/>
      <c r="AQ110" s="36" t="n"/>
      <c r="AR110" s="36" t="n"/>
      <c r="AS110" s="36" t="n"/>
      <c r="AT110" s="36" t="n"/>
      <c r="AU110" s="36" t="n"/>
      <c r="AV110" s="36" t="n"/>
      <c r="AW110" s="36" t="n"/>
      <c r="AX110" s="36" t="n"/>
      <c r="AY110" s="36" t="n"/>
      <c r="AZ110" s="36" t="n"/>
      <c r="BA110" s="36" t="n"/>
      <c r="BB110" s="36" t="n"/>
      <c r="BC110" s="36" t="n"/>
      <c r="BD110" s="36" t="n"/>
      <c r="BE110" s="36" t="n"/>
      <c r="BF110" s="36" t="n"/>
      <c r="BG110" s="36" t="n"/>
      <c r="BH110" s="36" t="n"/>
      <c r="BI110" s="36" t="n"/>
      <c r="BJ110" s="36" t="n"/>
      <c r="BK110" s="36" t="n"/>
      <c r="BL110" s="36" t="n"/>
      <c r="BM110" s="36" t="n"/>
      <c r="BN110" s="36" t="n"/>
      <c r="BO110" s="36" t="n"/>
      <c r="BP110" s="36" t="n"/>
      <c r="BQ110" s="36" t="n"/>
      <c r="BR110" s="36" t="n"/>
      <c r="BS110" s="36" t="n"/>
      <c r="BT110" s="36" t="n"/>
      <c r="BU110" s="36" t="n"/>
      <c r="BV110" s="36" t="n"/>
      <c r="BW110" s="36" t="n"/>
    </row>
    <row r="111" ht="34" customHeight="1">
      <c r="A111" s="38" t="n"/>
      <c r="B111" s="42">
        <f>IFERROR(INDEX(People!$B$2:$B$199,MATCH($A$107&amp;"#"&amp;5,People!$H$2:$H$199,0)),"")</f>
        <v/>
      </c>
      <c r="C111" s="26">
        <f>IF(TRIM($B111)="","",IFERROR(INDEX(People!$A$2:$A$199,MATCH(TRIM($B111),People!$B$2:$B$199,0)),"?? CHECK NAME"))</f>
        <v/>
      </c>
      <c r="D111" s="36" t="n"/>
      <c r="E111" s="36" t="n"/>
      <c r="F111" s="36" t="n"/>
      <c r="G111" s="36" t="n"/>
      <c r="H111" s="36" t="n"/>
      <c r="I111" s="36" t="n"/>
      <c r="J111" s="36" t="n"/>
      <c r="K111" s="36" t="n"/>
      <c r="L111" s="36" t="n"/>
      <c r="M111" s="36" t="n"/>
      <c r="N111" s="36" t="n"/>
      <c r="O111" s="36" t="n"/>
      <c r="P111" s="36" t="n"/>
      <c r="Q111" s="36" t="n"/>
      <c r="R111" s="36" t="n"/>
      <c r="S111" s="36" t="n"/>
      <c r="T111" s="36" t="n"/>
      <c r="U111" s="36" t="n"/>
      <c r="V111" s="36" t="n"/>
      <c r="W111" s="36" t="n"/>
      <c r="X111" s="36" t="n"/>
      <c r="Y111" s="36" t="n"/>
      <c r="Z111" s="36" t="n"/>
      <c r="AA111" s="36" t="n"/>
      <c r="AB111" s="36" t="n"/>
      <c r="AC111" s="36" t="n"/>
      <c r="AD111" s="36" t="n"/>
      <c r="AE111" s="36" t="n"/>
      <c r="AF111" s="36" t="n"/>
      <c r="AG111" s="36" t="n"/>
      <c r="AH111" s="36" t="n"/>
      <c r="AI111" s="36" t="n"/>
      <c r="AJ111" s="36" t="n"/>
      <c r="AK111" s="36" t="n"/>
      <c r="AL111" s="36" t="n"/>
      <c r="AM111" s="36" t="n"/>
      <c r="AN111" s="36" t="n"/>
      <c r="AO111" s="36" t="n"/>
      <c r="AP111" s="36" t="n"/>
      <c r="AQ111" s="36" t="n"/>
      <c r="AR111" s="36" t="n"/>
      <c r="AS111" s="36" t="n"/>
      <c r="AT111" s="36" t="n"/>
      <c r="AU111" s="36" t="n"/>
      <c r="AV111" s="36" t="n"/>
      <c r="AW111" s="36" t="n"/>
      <c r="AX111" s="36" t="n"/>
      <c r="AY111" s="36" t="n"/>
      <c r="AZ111" s="36" t="n"/>
      <c r="BA111" s="36" t="n"/>
      <c r="BB111" s="36" t="n"/>
      <c r="BC111" s="36" t="n"/>
      <c r="BD111" s="36" t="n"/>
      <c r="BE111" s="36" t="n"/>
      <c r="BF111" s="36" t="n"/>
      <c r="BG111" s="36" t="n"/>
      <c r="BH111" s="36" t="n"/>
      <c r="BI111" s="36" t="n"/>
      <c r="BJ111" s="36" t="n"/>
      <c r="BK111" s="36" t="n"/>
      <c r="BL111" s="36" t="n"/>
      <c r="BM111" s="36" t="n"/>
      <c r="BN111" s="36" t="n"/>
      <c r="BO111" s="36" t="n"/>
      <c r="BP111" s="36" t="n"/>
      <c r="BQ111" s="36" t="n"/>
      <c r="BR111" s="36" t="n"/>
      <c r="BS111" s="36" t="n"/>
      <c r="BT111" s="36" t="n"/>
      <c r="BU111" s="36" t="n"/>
      <c r="BV111" s="36" t="n"/>
      <c r="BW111" s="36" t="n"/>
    </row>
    <row r="112" ht="34" customHeight="1">
      <c r="A112" s="41" t="inlineStr">
        <is>
          <t>Michigan Wolveraas</t>
        </is>
      </c>
      <c r="B112" s="42">
        <f>IFERROR(INDEX(People!$B$2:$B$199,MATCH($A$112&amp;"#"&amp;1,People!$H$2:$H$199,0)),"")</f>
        <v/>
      </c>
      <c r="C112" s="26">
        <f>IF(TRIM($B112)="","",IFERROR(INDEX(People!$A$2:$A$199,MATCH(TRIM($B112),People!$B$2:$B$199,0)),"?? CHECK NAME"))</f>
        <v/>
      </c>
      <c r="D112" s="36" t="n"/>
      <c r="E112" s="36" t="n"/>
      <c r="F112" s="36" t="n"/>
      <c r="G112" s="36" t="n"/>
      <c r="H112" s="36" t="n"/>
      <c r="I112" s="36" t="n"/>
      <c r="J112" s="36" t="n"/>
      <c r="K112" s="36" t="n"/>
      <c r="L112" s="36" t="n"/>
      <c r="M112" s="36" t="n"/>
      <c r="N112" s="36" t="n"/>
      <c r="O112" s="36" t="n"/>
      <c r="P112" s="36" t="n"/>
      <c r="Q112" s="36" t="n"/>
      <c r="R112" s="36" t="n"/>
      <c r="S112" s="36" t="n"/>
      <c r="T112" s="36" t="n"/>
      <c r="U112" s="36" t="n"/>
      <c r="V112" s="36" t="n"/>
      <c r="W112" s="36" t="n"/>
      <c r="X112" s="36" t="n"/>
      <c r="Y112" s="36" t="n"/>
      <c r="Z112" s="36" t="n"/>
      <c r="AA112" s="36" t="n"/>
      <c r="AB112" s="36" t="n"/>
      <c r="AC112" s="36" t="n"/>
      <c r="AD112" s="36" t="n"/>
      <c r="AE112" s="36" t="n"/>
      <c r="AF112" s="36" t="n"/>
      <c r="AG112" s="36" t="n"/>
      <c r="AH112" s="36" t="n"/>
      <c r="AI112" s="36" t="n"/>
      <c r="AJ112" s="36" t="n"/>
      <c r="AK112" s="36" t="n"/>
      <c r="AL112" s="36" t="n"/>
      <c r="AM112" s="36" t="n"/>
      <c r="AN112" s="36" t="n"/>
      <c r="AO112" s="36" t="n"/>
      <c r="AP112" s="36" t="n"/>
      <c r="AQ112" s="36" t="n"/>
      <c r="AR112" s="36" t="n"/>
      <c r="AS112" s="36" t="n"/>
      <c r="AT112" s="36" t="n"/>
      <c r="AU112" s="36" t="n"/>
      <c r="AV112" s="36" t="n"/>
      <c r="AW112" s="36" t="n"/>
      <c r="AX112" s="36" t="n"/>
      <c r="AY112" s="36" t="n"/>
      <c r="AZ112" s="36" t="n"/>
      <c r="BA112" s="36" t="n"/>
      <c r="BB112" s="36" t="n"/>
      <c r="BC112" s="36" t="n"/>
      <c r="BD112" s="36" t="n"/>
      <c r="BE112" s="36" t="n"/>
      <c r="BF112" s="36" t="n"/>
      <c r="BG112" s="36" t="n"/>
      <c r="BH112" s="36" t="n"/>
      <c r="BI112" s="36" t="n"/>
      <c r="BJ112" s="36" t="n"/>
      <c r="BK112" s="36" t="n"/>
      <c r="BL112" s="36" t="n"/>
      <c r="BM112" s="36" t="n"/>
      <c r="BN112" s="36" t="n"/>
      <c r="BO112" s="36" t="n"/>
      <c r="BP112" s="36" t="n"/>
      <c r="BQ112" s="36" t="n"/>
      <c r="BR112" s="36" t="n"/>
      <c r="BS112" s="36" t="n"/>
      <c r="BT112" s="36" t="n"/>
      <c r="BU112" s="36" t="n"/>
      <c r="BV112" s="36" t="n"/>
      <c r="BW112" s="36" t="n"/>
    </row>
    <row r="113" ht="34" customHeight="1">
      <c r="A113" s="37" t="n"/>
      <c r="B113" s="42">
        <f>IFERROR(INDEX(People!$B$2:$B$199,MATCH($A$112&amp;"#"&amp;2,People!$H$2:$H$199,0)),"")</f>
        <v/>
      </c>
      <c r="C113" s="26">
        <f>IF(TRIM($B113)="","",IFERROR(INDEX(People!$A$2:$A$199,MATCH(TRIM($B113),People!$B$2:$B$199,0)),"?? CHECK NAME"))</f>
        <v/>
      </c>
      <c r="D113" s="36" t="n"/>
      <c r="E113" s="36" t="n"/>
      <c r="F113" s="36" t="n"/>
      <c r="G113" s="36" t="n"/>
      <c r="H113" s="36" t="n"/>
      <c r="I113" s="36" t="n"/>
      <c r="J113" s="36" t="n"/>
      <c r="K113" s="36" t="n"/>
      <c r="L113" s="36" t="n"/>
      <c r="M113" s="36" t="n"/>
      <c r="N113" s="36" t="n"/>
      <c r="O113" s="36" t="n"/>
      <c r="P113" s="36" t="n"/>
      <c r="Q113" s="36" t="n"/>
      <c r="R113" s="36" t="n"/>
      <c r="S113" s="36" t="n"/>
      <c r="T113" s="36" t="n"/>
      <c r="U113" s="36" t="n"/>
      <c r="V113" s="36" t="n"/>
      <c r="W113" s="36" t="n"/>
      <c r="X113" s="36" t="n"/>
      <c r="Y113" s="36" t="n"/>
      <c r="Z113" s="36" t="n"/>
      <c r="AA113" s="36" t="n"/>
      <c r="AB113" s="36" t="n"/>
      <c r="AC113" s="36" t="n"/>
      <c r="AD113" s="36" t="n"/>
      <c r="AE113" s="36" t="n"/>
      <c r="AF113" s="36" t="n"/>
      <c r="AG113" s="36" t="n"/>
      <c r="AH113" s="36" t="n"/>
      <c r="AI113" s="36" t="n"/>
      <c r="AJ113" s="36" t="n"/>
      <c r="AK113" s="36" t="n"/>
      <c r="AL113" s="36" t="n"/>
      <c r="AM113" s="36" t="n"/>
      <c r="AN113" s="36" t="n"/>
      <c r="AO113" s="36" t="n"/>
      <c r="AP113" s="36" t="n"/>
      <c r="AQ113" s="36" t="n"/>
      <c r="AR113" s="36" t="n"/>
      <c r="AS113" s="36" t="n"/>
      <c r="AT113" s="36" t="n"/>
      <c r="AU113" s="36" t="n"/>
      <c r="AV113" s="36" t="n"/>
      <c r="AW113" s="36" t="n"/>
      <c r="AX113" s="36" t="n"/>
      <c r="AY113" s="36" t="n"/>
      <c r="AZ113" s="36" t="n"/>
      <c r="BA113" s="36" t="n"/>
      <c r="BB113" s="36" t="n"/>
      <c r="BC113" s="36" t="n"/>
      <c r="BD113" s="36" t="n"/>
      <c r="BE113" s="36" t="n"/>
      <c r="BF113" s="36" t="n"/>
      <c r="BG113" s="36" t="n"/>
      <c r="BH113" s="36" t="n"/>
      <c r="BI113" s="36" t="n"/>
      <c r="BJ113" s="36" t="n"/>
      <c r="BK113" s="36" t="n"/>
      <c r="BL113" s="36" t="n"/>
      <c r="BM113" s="36" t="n"/>
      <c r="BN113" s="36" t="n"/>
      <c r="BO113" s="36" t="n"/>
      <c r="BP113" s="36" t="n"/>
      <c r="BQ113" s="36" t="n"/>
      <c r="BR113" s="36" t="n"/>
      <c r="BS113" s="36" t="n"/>
      <c r="BT113" s="36" t="n"/>
      <c r="BU113" s="36" t="n"/>
      <c r="BV113" s="36" t="n"/>
      <c r="BW113" s="36" t="n"/>
    </row>
    <row r="114" ht="34" customHeight="1">
      <c r="A114" s="37" t="n"/>
      <c r="B114" s="42">
        <f>IFERROR(INDEX(People!$B$2:$B$199,MATCH($A$112&amp;"#"&amp;3,People!$H$2:$H$199,0)),"")</f>
        <v/>
      </c>
      <c r="C114" s="26">
        <f>IF(TRIM($B114)="","",IFERROR(INDEX(People!$A$2:$A$199,MATCH(TRIM($B114),People!$B$2:$B$199,0)),"?? CHECK NAME"))</f>
        <v/>
      </c>
      <c r="D114" s="36" t="n"/>
      <c r="E114" s="36" t="n"/>
      <c r="F114" s="36" t="n"/>
      <c r="G114" s="36" t="n"/>
      <c r="H114" s="36" t="n"/>
      <c r="I114" s="36" t="n"/>
      <c r="J114" s="36" t="n"/>
      <c r="K114" s="36" t="n"/>
      <c r="L114" s="36" t="n"/>
      <c r="M114" s="36" t="n"/>
      <c r="N114" s="36" t="n"/>
      <c r="O114" s="36" t="n"/>
      <c r="P114" s="36" t="n"/>
      <c r="Q114" s="36" t="n"/>
      <c r="R114" s="36" t="n"/>
      <c r="S114" s="36" t="n"/>
      <c r="T114" s="36" t="n"/>
      <c r="U114" s="36" t="n"/>
      <c r="V114" s="36" t="n"/>
      <c r="W114" s="36" t="n"/>
      <c r="X114" s="36" t="n"/>
      <c r="Y114" s="36" t="n"/>
      <c r="Z114" s="36" t="n"/>
      <c r="AA114" s="36" t="n"/>
      <c r="AB114" s="36" t="n"/>
      <c r="AC114" s="36" t="n"/>
      <c r="AD114" s="36" t="n"/>
      <c r="AE114" s="36" t="n"/>
      <c r="AF114" s="36" t="n"/>
      <c r="AG114" s="36" t="n"/>
      <c r="AH114" s="36" t="n"/>
      <c r="AI114" s="36" t="n"/>
      <c r="AJ114" s="36" t="n"/>
      <c r="AK114" s="36" t="n"/>
      <c r="AL114" s="36" t="n"/>
      <c r="AM114" s="36" t="n"/>
      <c r="AN114" s="36" t="n"/>
      <c r="AO114" s="36" t="n"/>
      <c r="AP114" s="36" t="n"/>
      <c r="AQ114" s="36" t="n"/>
      <c r="AR114" s="36" t="n"/>
      <c r="AS114" s="36" t="n"/>
      <c r="AT114" s="36" t="n"/>
      <c r="AU114" s="36" t="n"/>
      <c r="AV114" s="36" t="n"/>
      <c r="AW114" s="36" t="n"/>
      <c r="AX114" s="36" t="n"/>
      <c r="AY114" s="36" t="n"/>
      <c r="AZ114" s="36" t="n"/>
      <c r="BA114" s="36" t="n"/>
      <c r="BB114" s="36" t="n"/>
      <c r="BC114" s="36" t="n"/>
      <c r="BD114" s="36" t="n"/>
      <c r="BE114" s="36" t="n"/>
      <c r="BF114" s="36" t="n"/>
      <c r="BG114" s="36" t="n"/>
      <c r="BH114" s="36" t="n"/>
      <c r="BI114" s="36" t="n"/>
      <c r="BJ114" s="36" t="n"/>
      <c r="BK114" s="36" t="n"/>
      <c r="BL114" s="36" t="n"/>
      <c r="BM114" s="36" t="n"/>
      <c r="BN114" s="36" t="n"/>
      <c r="BO114" s="36" t="n"/>
      <c r="BP114" s="36" t="n"/>
      <c r="BQ114" s="36" t="n"/>
      <c r="BR114" s="36" t="n"/>
      <c r="BS114" s="36" t="n"/>
      <c r="BT114" s="36" t="n"/>
      <c r="BU114" s="36" t="n"/>
      <c r="BV114" s="36" t="n"/>
      <c r="BW114" s="36" t="n"/>
    </row>
    <row r="115" ht="34" customHeight="1">
      <c r="A115" s="37" t="n"/>
      <c r="B115" s="42">
        <f>IFERROR(INDEX(People!$B$2:$B$199,MATCH($A$112&amp;"#"&amp;4,People!$H$2:$H$199,0)),"")</f>
        <v/>
      </c>
      <c r="C115" s="26">
        <f>IF(TRIM($B115)="","",IFERROR(INDEX(People!$A$2:$A$199,MATCH(TRIM($B115),People!$B$2:$B$199,0)),"?? CHECK NAME"))</f>
        <v/>
      </c>
      <c r="D115" s="36" t="n"/>
      <c r="E115" s="36" t="n"/>
      <c r="F115" s="36" t="n"/>
      <c r="G115" s="36" t="n"/>
      <c r="H115" s="36" t="n"/>
      <c r="I115" s="36" t="n"/>
      <c r="J115" s="36" t="n"/>
      <c r="K115" s="36" t="n"/>
      <c r="L115" s="36" t="n"/>
      <c r="M115" s="36" t="n"/>
      <c r="N115" s="36" t="n"/>
      <c r="O115" s="36" t="n"/>
      <c r="P115" s="36" t="n"/>
      <c r="Q115" s="36" t="n"/>
      <c r="R115" s="36" t="n"/>
      <c r="S115" s="36" t="n"/>
      <c r="T115" s="36" t="n"/>
      <c r="U115" s="36" t="n"/>
      <c r="V115" s="36" t="n"/>
      <c r="W115" s="36" t="n"/>
      <c r="X115" s="36" t="n"/>
      <c r="Y115" s="36" t="n"/>
      <c r="Z115" s="36" t="n"/>
      <c r="AA115" s="36" t="n"/>
      <c r="AB115" s="36" t="n"/>
      <c r="AC115" s="36" t="n"/>
      <c r="AD115" s="36" t="n"/>
      <c r="AE115" s="36" t="n"/>
      <c r="AF115" s="36" t="n"/>
      <c r="AG115" s="36" t="n"/>
      <c r="AH115" s="36" t="n"/>
      <c r="AI115" s="36" t="n"/>
      <c r="AJ115" s="36" t="n"/>
      <c r="AK115" s="36" t="n"/>
      <c r="AL115" s="36" t="n"/>
      <c r="AM115" s="36" t="n"/>
      <c r="AN115" s="36" t="n"/>
      <c r="AO115" s="36" t="n"/>
      <c r="AP115" s="36" t="n"/>
      <c r="AQ115" s="36" t="n"/>
      <c r="AR115" s="36" t="n"/>
      <c r="AS115" s="36" t="n"/>
      <c r="AT115" s="36" t="n"/>
      <c r="AU115" s="36" t="n"/>
      <c r="AV115" s="36" t="n"/>
      <c r="AW115" s="36" t="n"/>
      <c r="AX115" s="36" t="n"/>
      <c r="AY115" s="36" t="n"/>
      <c r="AZ115" s="36" t="n"/>
      <c r="BA115" s="36" t="n"/>
      <c r="BB115" s="36" t="n"/>
      <c r="BC115" s="36" t="n"/>
      <c r="BD115" s="36" t="n"/>
      <c r="BE115" s="36" t="n"/>
      <c r="BF115" s="36" t="n"/>
      <c r="BG115" s="36" t="n"/>
      <c r="BH115" s="36" t="n"/>
      <c r="BI115" s="36" t="n"/>
      <c r="BJ115" s="36" t="n"/>
      <c r="BK115" s="36" t="n"/>
      <c r="BL115" s="36" t="n"/>
      <c r="BM115" s="36" t="n"/>
      <c r="BN115" s="36" t="n"/>
      <c r="BO115" s="36" t="n"/>
      <c r="BP115" s="36" t="n"/>
      <c r="BQ115" s="36" t="n"/>
      <c r="BR115" s="36" t="n"/>
      <c r="BS115" s="36" t="n"/>
      <c r="BT115" s="36" t="n"/>
      <c r="BU115" s="36" t="n"/>
      <c r="BV115" s="36" t="n"/>
      <c r="BW115" s="36" t="n"/>
    </row>
    <row r="116" ht="34" customHeight="1">
      <c r="A116" s="38" t="n"/>
      <c r="B116" s="42">
        <f>IFERROR(INDEX(People!$B$2:$B$199,MATCH($A$112&amp;"#"&amp;5,People!$H$2:$H$199,0)),"")</f>
        <v/>
      </c>
      <c r="C116" s="26">
        <f>IF(TRIM($B116)="","",IFERROR(INDEX(People!$A$2:$A$199,MATCH(TRIM($B116),People!$B$2:$B$199,0)),"?? CHECK NAME"))</f>
        <v/>
      </c>
      <c r="D116" s="36" t="n"/>
      <c r="E116" s="36" t="n"/>
      <c r="F116" s="36" t="n"/>
      <c r="G116" s="36" t="n"/>
      <c r="H116" s="36" t="n"/>
      <c r="I116" s="36" t="n"/>
      <c r="J116" s="36" t="n"/>
      <c r="K116" s="36" t="n"/>
      <c r="L116" s="36" t="n"/>
      <c r="M116" s="36" t="n"/>
      <c r="N116" s="36" t="n"/>
      <c r="O116" s="36" t="n"/>
      <c r="P116" s="36" t="n"/>
      <c r="Q116" s="36" t="n"/>
      <c r="R116" s="36" t="n"/>
      <c r="S116" s="36" t="n"/>
      <c r="T116" s="36" t="n"/>
      <c r="U116" s="36" t="n"/>
      <c r="V116" s="36" t="n"/>
      <c r="W116" s="36" t="n"/>
      <c r="X116" s="36" t="n"/>
      <c r="Y116" s="36" t="n"/>
      <c r="Z116" s="36" t="n"/>
      <c r="AA116" s="36" t="n"/>
      <c r="AB116" s="36" t="n"/>
      <c r="AC116" s="36" t="n"/>
      <c r="AD116" s="36" t="n"/>
      <c r="AE116" s="36" t="n"/>
      <c r="AF116" s="36" t="n"/>
      <c r="AG116" s="36" t="n"/>
      <c r="AH116" s="36" t="n"/>
      <c r="AI116" s="36" t="n"/>
      <c r="AJ116" s="36" t="n"/>
      <c r="AK116" s="36" t="n"/>
      <c r="AL116" s="36" t="n"/>
      <c r="AM116" s="36" t="n"/>
      <c r="AN116" s="36" t="n"/>
      <c r="AO116" s="36" t="n"/>
      <c r="AP116" s="36" t="n"/>
      <c r="AQ116" s="36" t="n"/>
      <c r="AR116" s="36" t="n"/>
      <c r="AS116" s="36" t="n"/>
      <c r="AT116" s="36" t="n"/>
      <c r="AU116" s="36" t="n"/>
      <c r="AV116" s="36" t="n"/>
      <c r="AW116" s="36" t="n"/>
      <c r="AX116" s="36" t="n"/>
      <c r="AY116" s="36" t="n"/>
      <c r="AZ116" s="36" t="n"/>
      <c r="BA116" s="36" t="n"/>
      <c r="BB116" s="36" t="n"/>
      <c r="BC116" s="36" t="n"/>
      <c r="BD116" s="36" t="n"/>
      <c r="BE116" s="36" t="n"/>
      <c r="BF116" s="36" t="n"/>
      <c r="BG116" s="36" t="n"/>
      <c r="BH116" s="36" t="n"/>
      <c r="BI116" s="36" t="n"/>
      <c r="BJ116" s="36" t="n"/>
      <c r="BK116" s="36" t="n"/>
      <c r="BL116" s="36" t="n"/>
      <c r="BM116" s="36" t="n"/>
      <c r="BN116" s="36" t="n"/>
      <c r="BO116" s="36" t="n"/>
      <c r="BP116" s="36" t="n"/>
      <c r="BQ116" s="36" t="n"/>
      <c r="BR116" s="36" t="n"/>
      <c r="BS116" s="36" t="n"/>
      <c r="BT116" s="36" t="n"/>
      <c r="BU116" s="36" t="n"/>
      <c r="BV116" s="36" t="n"/>
      <c r="BW116" s="36" t="n"/>
    </row>
    <row r="117" ht="34" customHeight="1">
      <c r="A117" s="41" t="inlineStr">
        <is>
          <t>MSU Raasparty</t>
        </is>
      </c>
      <c r="B117" s="42">
        <f>IFERROR(INDEX(People!$B$2:$B$199,MATCH($A$117&amp;"#"&amp;1,People!$H$2:$H$199,0)),"")</f>
        <v/>
      </c>
      <c r="C117" s="26">
        <f>IF(TRIM($B117)="","",IFERROR(INDEX(People!$A$2:$A$199,MATCH(TRIM($B117),People!$B$2:$B$199,0)),"?? CHECK NAME"))</f>
        <v/>
      </c>
      <c r="D117" s="36" t="n"/>
      <c r="E117" s="36" t="n"/>
      <c r="F117" s="36" t="n"/>
      <c r="G117" s="36" t="n"/>
      <c r="H117" s="36" t="n"/>
      <c r="I117" s="36" t="n"/>
      <c r="J117" s="36" t="n"/>
      <c r="K117" s="36" t="n"/>
      <c r="L117" s="36" t="n"/>
      <c r="M117" s="36" t="n"/>
      <c r="N117" s="36" t="n"/>
      <c r="O117" s="36" t="n"/>
      <c r="P117" s="36" t="n"/>
      <c r="Q117" s="36" t="n"/>
      <c r="R117" s="36" t="n"/>
      <c r="S117" s="36" t="n"/>
      <c r="T117" s="36" t="n"/>
      <c r="U117" s="36" t="n"/>
      <c r="V117" s="36" t="n"/>
      <c r="W117" s="36" t="n"/>
      <c r="X117" s="36" t="n"/>
      <c r="Y117" s="36" t="n"/>
      <c r="Z117" s="36" t="n"/>
      <c r="AA117" s="36" t="n"/>
      <c r="AB117" s="36" t="n"/>
      <c r="AC117" s="36" t="n"/>
      <c r="AD117" s="36" t="n"/>
      <c r="AE117" s="36" t="n"/>
      <c r="AF117" s="36" t="n"/>
      <c r="AG117" s="36" t="n"/>
      <c r="AH117" s="36" t="n"/>
      <c r="AI117" s="36" t="n"/>
      <c r="AJ117" s="36" t="n"/>
      <c r="AK117" s="36" t="n"/>
      <c r="AL117" s="36" t="n"/>
      <c r="AM117" s="36" t="n"/>
      <c r="AN117" s="36" t="n"/>
      <c r="AO117" s="36" t="n"/>
      <c r="AP117" s="36" t="n"/>
      <c r="AQ117" s="36" t="n"/>
      <c r="AR117" s="36" t="n"/>
      <c r="AS117" s="36" t="n"/>
      <c r="AT117" s="36" t="n"/>
      <c r="AU117" s="36" t="n"/>
      <c r="AV117" s="36" t="n"/>
      <c r="AW117" s="36" t="n"/>
      <c r="AX117" s="36" t="n"/>
      <c r="AY117" s="36" t="n"/>
      <c r="AZ117" s="36" t="n"/>
      <c r="BA117" s="36" t="n"/>
      <c r="BB117" s="36" t="n"/>
      <c r="BC117" s="36" t="n"/>
      <c r="BD117" s="36" t="n"/>
      <c r="BE117" s="36" t="n"/>
      <c r="BF117" s="36" t="n"/>
      <c r="BG117" s="36" t="n"/>
      <c r="BH117" s="36" t="n"/>
      <c r="BI117" s="36" t="n"/>
      <c r="BJ117" s="36" t="n"/>
      <c r="BK117" s="36" t="n"/>
      <c r="BL117" s="36" t="n"/>
      <c r="BM117" s="36" t="n"/>
      <c r="BN117" s="36" t="n"/>
      <c r="BO117" s="36" t="n"/>
      <c r="BP117" s="36" t="n"/>
      <c r="BQ117" s="36" t="n"/>
      <c r="BR117" s="36" t="n"/>
      <c r="BS117" s="36" t="n"/>
      <c r="BT117" s="36" t="n"/>
      <c r="BU117" s="36" t="n"/>
      <c r="BV117" s="36" t="n"/>
      <c r="BW117" s="36" t="n"/>
    </row>
    <row r="118" ht="34" customHeight="1">
      <c r="A118" s="37" t="n"/>
      <c r="B118" s="42">
        <f>IFERROR(INDEX(People!$B$2:$B$199,MATCH($A$117&amp;"#"&amp;2,People!$H$2:$H$199,0)),"")</f>
        <v/>
      </c>
      <c r="C118" s="26">
        <f>IF(TRIM($B118)="","",IFERROR(INDEX(People!$A$2:$A$199,MATCH(TRIM($B118),People!$B$2:$B$199,0)),"?? CHECK NAME"))</f>
        <v/>
      </c>
      <c r="D118" s="36" t="n"/>
      <c r="E118" s="36" t="n"/>
      <c r="F118" s="36" t="n"/>
      <c r="G118" s="36" t="n"/>
      <c r="H118" s="36" t="n"/>
      <c r="I118" s="36" t="n"/>
      <c r="J118" s="36" t="n"/>
      <c r="K118" s="36" t="n"/>
      <c r="L118" s="36" t="n"/>
      <c r="M118" s="36" t="n"/>
      <c r="N118" s="36" t="n"/>
      <c r="O118" s="36" t="n"/>
      <c r="P118" s="36" t="n"/>
      <c r="Q118" s="36" t="n"/>
      <c r="R118" s="36" t="n"/>
      <c r="S118" s="36" t="n"/>
      <c r="T118" s="36" t="n"/>
      <c r="U118" s="36" t="n"/>
      <c r="V118" s="36" t="n"/>
      <c r="W118" s="36" t="n"/>
      <c r="X118" s="36" t="n"/>
      <c r="Y118" s="36" t="n"/>
      <c r="Z118" s="36" t="n"/>
      <c r="AA118" s="36" t="n"/>
      <c r="AB118" s="36" t="n"/>
      <c r="AC118" s="36" t="n"/>
      <c r="AD118" s="36" t="n"/>
      <c r="AE118" s="36" t="n"/>
      <c r="AF118" s="36" t="n"/>
      <c r="AG118" s="36" t="n"/>
      <c r="AH118" s="36" t="n"/>
      <c r="AI118" s="36" t="n"/>
      <c r="AJ118" s="36" t="n"/>
      <c r="AK118" s="36" t="n"/>
      <c r="AL118" s="36" t="n"/>
      <c r="AM118" s="36" t="n"/>
      <c r="AN118" s="36" t="n"/>
      <c r="AO118" s="36" t="n"/>
      <c r="AP118" s="36" t="n"/>
      <c r="AQ118" s="36" t="n"/>
      <c r="AR118" s="36" t="n"/>
      <c r="AS118" s="36" t="n"/>
      <c r="AT118" s="36" t="n"/>
      <c r="AU118" s="36" t="n"/>
      <c r="AV118" s="36" t="n"/>
      <c r="AW118" s="36" t="n"/>
      <c r="AX118" s="36" t="n"/>
      <c r="AY118" s="36" t="n"/>
      <c r="AZ118" s="36" t="n"/>
      <c r="BA118" s="36" t="n"/>
      <c r="BB118" s="36" t="n"/>
      <c r="BC118" s="36" t="n"/>
      <c r="BD118" s="36" t="n"/>
      <c r="BE118" s="36" t="n"/>
      <c r="BF118" s="36" t="n"/>
      <c r="BG118" s="36" t="n"/>
      <c r="BH118" s="36" t="n"/>
      <c r="BI118" s="36" t="n"/>
      <c r="BJ118" s="36" t="n"/>
      <c r="BK118" s="36" t="n"/>
      <c r="BL118" s="36" t="n"/>
      <c r="BM118" s="36" t="n"/>
      <c r="BN118" s="36" t="n"/>
      <c r="BO118" s="36" t="n"/>
      <c r="BP118" s="36" t="n"/>
      <c r="BQ118" s="36" t="n"/>
      <c r="BR118" s="36" t="n"/>
      <c r="BS118" s="36" t="n"/>
      <c r="BT118" s="36" t="n"/>
      <c r="BU118" s="36" t="n"/>
      <c r="BV118" s="36" t="n"/>
      <c r="BW118" s="36" t="n"/>
    </row>
    <row r="119" ht="34" customHeight="1">
      <c r="A119" s="37" t="n"/>
      <c r="B119" s="42">
        <f>IFERROR(INDEX(People!$B$2:$B$199,MATCH($A$117&amp;"#"&amp;3,People!$H$2:$H$199,0)),"")</f>
        <v/>
      </c>
      <c r="C119" s="26">
        <f>IF(TRIM($B119)="","",IFERROR(INDEX(People!$A$2:$A$199,MATCH(TRIM($B119),People!$B$2:$B$199,0)),"?? CHECK NAME"))</f>
        <v/>
      </c>
      <c r="D119" s="36" t="n"/>
      <c r="E119" s="36" t="n"/>
      <c r="F119" s="36" t="n"/>
      <c r="G119" s="36" t="n"/>
      <c r="H119" s="36" t="n"/>
      <c r="I119" s="36" t="n"/>
      <c r="J119" s="36" t="n"/>
      <c r="K119" s="36" t="n"/>
      <c r="L119" s="36" t="n"/>
      <c r="M119" s="36" t="n"/>
      <c r="N119" s="36" t="n"/>
      <c r="O119" s="36" t="n"/>
      <c r="P119" s="36" t="n"/>
      <c r="Q119" s="36" t="n"/>
      <c r="R119" s="36" t="n"/>
      <c r="S119" s="36" t="n"/>
      <c r="T119" s="36" t="n"/>
      <c r="U119" s="36" t="n"/>
      <c r="V119" s="36" t="n"/>
      <c r="W119" s="36" t="n"/>
      <c r="X119" s="36" t="n"/>
      <c r="Y119" s="36" t="n"/>
      <c r="Z119" s="36" t="n"/>
      <c r="AA119" s="36" t="n"/>
      <c r="AB119" s="36" t="n"/>
      <c r="AC119" s="36" t="n"/>
      <c r="AD119" s="36" t="n"/>
      <c r="AE119" s="36" t="n"/>
      <c r="AF119" s="36" t="n"/>
      <c r="AG119" s="36" t="n"/>
      <c r="AH119" s="36" t="n"/>
      <c r="AI119" s="36" t="n"/>
      <c r="AJ119" s="36" t="n"/>
      <c r="AK119" s="36" t="n"/>
      <c r="AL119" s="36" t="n"/>
      <c r="AM119" s="36" t="n"/>
      <c r="AN119" s="36" t="n"/>
      <c r="AO119" s="36" t="n"/>
      <c r="AP119" s="36" t="n"/>
      <c r="AQ119" s="36" t="n"/>
      <c r="AR119" s="36" t="n"/>
      <c r="AS119" s="36" t="n"/>
      <c r="AT119" s="36" t="n"/>
      <c r="AU119" s="36" t="n"/>
      <c r="AV119" s="36" t="n"/>
      <c r="AW119" s="36" t="n"/>
      <c r="AX119" s="36" t="n"/>
      <c r="AY119" s="36" t="n"/>
      <c r="AZ119" s="36" t="n"/>
      <c r="BA119" s="36" t="n"/>
      <c r="BB119" s="36" t="n"/>
      <c r="BC119" s="36" t="n"/>
      <c r="BD119" s="36" t="n"/>
      <c r="BE119" s="36" t="n"/>
      <c r="BF119" s="36" t="n"/>
      <c r="BG119" s="36" t="n"/>
      <c r="BH119" s="36" t="n"/>
      <c r="BI119" s="36" t="n"/>
      <c r="BJ119" s="36" t="n"/>
      <c r="BK119" s="36" t="n"/>
      <c r="BL119" s="36" t="n"/>
      <c r="BM119" s="36" t="n"/>
      <c r="BN119" s="36" t="n"/>
      <c r="BO119" s="36" t="n"/>
      <c r="BP119" s="36" t="n"/>
      <c r="BQ119" s="36" t="n"/>
      <c r="BR119" s="36" t="n"/>
      <c r="BS119" s="36" t="n"/>
      <c r="BT119" s="36" t="n"/>
      <c r="BU119" s="36" t="n"/>
      <c r="BV119" s="36" t="n"/>
      <c r="BW119" s="36" t="n"/>
    </row>
    <row r="120" ht="34" customHeight="1">
      <c r="A120" s="37" t="n"/>
      <c r="B120" s="42">
        <f>IFERROR(INDEX(People!$B$2:$B$199,MATCH($A$117&amp;"#"&amp;4,People!$H$2:$H$199,0)),"")</f>
        <v/>
      </c>
      <c r="C120" s="26">
        <f>IF(TRIM($B120)="","",IFERROR(INDEX(People!$A$2:$A$199,MATCH(TRIM($B120),People!$B$2:$B$199,0)),"?? CHECK NAME"))</f>
        <v/>
      </c>
      <c r="D120" s="36" t="n"/>
      <c r="E120" s="36" t="n"/>
      <c r="F120" s="36" t="n"/>
      <c r="G120" s="36" t="n"/>
      <c r="H120" s="36" t="n"/>
      <c r="I120" s="36" t="n"/>
      <c r="J120" s="36" t="n"/>
      <c r="K120" s="36" t="n"/>
      <c r="L120" s="36" t="n"/>
      <c r="M120" s="36" t="n"/>
      <c r="N120" s="36" t="n"/>
      <c r="O120" s="36" t="n"/>
      <c r="P120" s="36" t="n"/>
      <c r="Q120" s="36" t="n"/>
      <c r="R120" s="36" t="n"/>
      <c r="S120" s="36" t="n"/>
      <c r="T120" s="36" t="n"/>
      <c r="U120" s="36" t="n"/>
      <c r="V120" s="36" t="n"/>
      <c r="W120" s="36" t="n"/>
      <c r="X120" s="36" t="n"/>
      <c r="Y120" s="36" t="n"/>
      <c r="Z120" s="36" t="n"/>
      <c r="AA120" s="36" t="n"/>
      <c r="AB120" s="36" t="n"/>
      <c r="AC120" s="36" t="n"/>
      <c r="AD120" s="36" t="n"/>
      <c r="AE120" s="36" t="n"/>
      <c r="AF120" s="36" t="n"/>
      <c r="AG120" s="36" t="n"/>
      <c r="AH120" s="36" t="n"/>
      <c r="AI120" s="36" t="n"/>
      <c r="AJ120" s="36" t="n"/>
      <c r="AK120" s="36" t="n"/>
      <c r="AL120" s="36" t="n"/>
      <c r="AM120" s="36" t="n"/>
      <c r="AN120" s="36" t="n"/>
      <c r="AO120" s="36" t="n"/>
      <c r="AP120" s="36" t="n"/>
      <c r="AQ120" s="36" t="n"/>
      <c r="AR120" s="36" t="n"/>
      <c r="AS120" s="36" t="n"/>
      <c r="AT120" s="36" t="n"/>
      <c r="AU120" s="36" t="n"/>
      <c r="AV120" s="36" t="n"/>
      <c r="AW120" s="36" t="n"/>
      <c r="AX120" s="36" t="n"/>
      <c r="AY120" s="36" t="n"/>
      <c r="AZ120" s="36" t="n"/>
      <c r="BA120" s="36" t="n"/>
      <c r="BB120" s="36" t="n"/>
      <c r="BC120" s="36" t="n"/>
      <c r="BD120" s="36" t="n"/>
      <c r="BE120" s="36" t="n"/>
      <c r="BF120" s="36" t="n"/>
      <c r="BG120" s="36" t="n"/>
      <c r="BH120" s="36" t="n"/>
      <c r="BI120" s="36" t="n"/>
      <c r="BJ120" s="36" t="n"/>
      <c r="BK120" s="36" t="n"/>
      <c r="BL120" s="36" t="n"/>
      <c r="BM120" s="36" t="n"/>
      <c r="BN120" s="36" t="n"/>
      <c r="BO120" s="36" t="n"/>
      <c r="BP120" s="36" t="n"/>
      <c r="BQ120" s="36" t="n"/>
      <c r="BR120" s="36" t="n"/>
      <c r="BS120" s="36" t="n"/>
      <c r="BT120" s="36" t="n"/>
      <c r="BU120" s="36" t="n"/>
      <c r="BV120" s="36" t="n"/>
      <c r="BW120" s="36" t="n"/>
    </row>
    <row r="121" ht="34" customHeight="1">
      <c r="A121" s="38" t="n"/>
      <c r="B121" s="42">
        <f>IFERROR(INDEX(People!$B$2:$B$199,MATCH($A$117&amp;"#"&amp;5,People!$H$2:$H$199,0)),"")</f>
        <v/>
      </c>
      <c r="C121" s="26">
        <f>IF(TRIM($B121)="","",IFERROR(INDEX(People!$A$2:$A$199,MATCH(TRIM($B121),People!$B$2:$B$199,0)),"?? CHECK NAME"))</f>
        <v/>
      </c>
      <c r="D121" s="36" t="n"/>
      <c r="E121" s="36" t="n"/>
      <c r="F121" s="36" t="n"/>
      <c r="G121" s="36" t="n"/>
      <c r="H121" s="36" t="n"/>
      <c r="I121" s="36" t="n"/>
      <c r="J121" s="36" t="n"/>
      <c r="K121" s="36" t="n"/>
      <c r="L121" s="36" t="n"/>
      <c r="M121" s="36" t="n"/>
      <c r="N121" s="36" t="n"/>
      <c r="O121" s="36" t="n"/>
      <c r="P121" s="36" t="n"/>
      <c r="Q121" s="36" t="n"/>
      <c r="R121" s="36" t="n"/>
      <c r="S121" s="36" t="n"/>
      <c r="T121" s="36" t="n"/>
      <c r="U121" s="36" t="n"/>
      <c r="V121" s="36" t="n"/>
      <c r="W121" s="36" t="n"/>
      <c r="X121" s="36" t="n"/>
      <c r="Y121" s="36" t="n"/>
      <c r="Z121" s="36" t="n"/>
      <c r="AA121" s="36" t="n"/>
      <c r="AB121" s="36" t="n"/>
      <c r="AC121" s="36" t="n"/>
      <c r="AD121" s="36" t="n"/>
      <c r="AE121" s="36" t="n"/>
      <c r="AF121" s="36" t="n"/>
      <c r="AG121" s="36" t="n"/>
      <c r="AH121" s="36" t="n"/>
      <c r="AI121" s="36" t="n"/>
      <c r="AJ121" s="36" t="n"/>
      <c r="AK121" s="36" t="n"/>
      <c r="AL121" s="36" t="n"/>
      <c r="AM121" s="36" t="n"/>
      <c r="AN121" s="36" t="n"/>
      <c r="AO121" s="36" t="n"/>
      <c r="AP121" s="36" t="n"/>
      <c r="AQ121" s="36" t="n"/>
      <c r="AR121" s="36" t="n"/>
      <c r="AS121" s="36" t="n"/>
      <c r="AT121" s="36" t="n"/>
      <c r="AU121" s="36" t="n"/>
      <c r="AV121" s="36" t="n"/>
      <c r="AW121" s="36" t="n"/>
      <c r="AX121" s="36" t="n"/>
      <c r="AY121" s="36" t="n"/>
      <c r="AZ121" s="36" t="n"/>
      <c r="BA121" s="36" t="n"/>
      <c r="BB121" s="36" t="n"/>
      <c r="BC121" s="36" t="n"/>
      <c r="BD121" s="36" t="n"/>
      <c r="BE121" s="36" t="n"/>
      <c r="BF121" s="36" t="n"/>
      <c r="BG121" s="36" t="n"/>
      <c r="BH121" s="36" t="n"/>
      <c r="BI121" s="36" t="n"/>
      <c r="BJ121" s="36" t="n"/>
      <c r="BK121" s="36" t="n"/>
      <c r="BL121" s="36" t="n"/>
      <c r="BM121" s="36" t="n"/>
      <c r="BN121" s="36" t="n"/>
      <c r="BO121" s="36" t="n"/>
      <c r="BP121" s="36" t="n"/>
      <c r="BQ121" s="36" t="n"/>
      <c r="BR121" s="36" t="n"/>
      <c r="BS121" s="36" t="n"/>
      <c r="BT121" s="36" t="n"/>
      <c r="BU121" s="36" t="n"/>
      <c r="BV121" s="36" t="n"/>
      <c r="BW121" s="36" t="n"/>
    </row>
    <row r="122" ht="34" customHeight="1">
      <c r="A122" s="41" t="inlineStr">
        <is>
          <t>GT Ramblin Raas</t>
        </is>
      </c>
      <c r="B122" s="42">
        <f>IFERROR(INDEX(People!$B$2:$B$199,MATCH($A$122&amp;"#"&amp;1,People!$H$2:$H$199,0)),"")</f>
        <v/>
      </c>
      <c r="C122" s="26">
        <f>IF(TRIM($B122)="","",IFERROR(INDEX(People!$A$2:$A$199,MATCH(TRIM($B122),People!$B$2:$B$199,0)),"?? CHECK NAME"))</f>
        <v/>
      </c>
      <c r="D122" s="36" t="n"/>
      <c r="E122" s="36" t="n"/>
      <c r="F122" s="36" t="n"/>
      <c r="G122" s="36" t="n"/>
      <c r="H122" s="36" t="n"/>
      <c r="I122" s="36" t="n"/>
      <c r="J122" s="36" t="n"/>
      <c r="K122" s="36" t="n"/>
      <c r="L122" s="36" t="n"/>
      <c r="M122" s="36" t="n"/>
      <c r="N122" s="36" t="n"/>
      <c r="O122" s="36" t="n"/>
      <c r="P122" s="36" t="n"/>
      <c r="Q122" s="36" t="n"/>
      <c r="R122" s="36" t="n"/>
      <c r="S122" s="36" t="n"/>
      <c r="T122" s="36" t="n"/>
      <c r="U122" s="36" t="n"/>
      <c r="V122" s="36" t="n"/>
      <c r="W122" s="36" t="n"/>
      <c r="X122" s="36" t="n"/>
      <c r="Y122" s="36" t="n"/>
      <c r="Z122" s="36" t="n"/>
      <c r="AA122" s="36" t="n"/>
      <c r="AB122" s="36" t="n"/>
      <c r="AC122" s="36" t="n"/>
      <c r="AD122" s="36" t="n"/>
      <c r="AE122" s="36" t="n"/>
      <c r="AF122" s="36" t="n"/>
      <c r="AG122" s="36" t="n"/>
      <c r="AH122" s="36" t="n"/>
      <c r="AI122" s="36" t="n"/>
      <c r="AJ122" s="36" t="n"/>
      <c r="AK122" s="36" t="n"/>
      <c r="AL122" s="36" t="n"/>
      <c r="AM122" s="36" t="n"/>
      <c r="AN122" s="36" t="n"/>
      <c r="AO122" s="36" t="n"/>
      <c r="AP122" s="36" t="n"/>
      <c r="AQ122" s="36" t="n"/>
      <c r="AR122" s="36" t="n"/>
      <c r="AS122" s="36" t="n"/>
      <c r="AT122" s="36" t="n"/>
      <c r="AU122" s="36" t="n"/>
      <c r="AV122" s="36" t="n"/>
      <c r="AW122" s="36" t="n"/>
      <c r="AX122" s="36" t="n"/>
      <c r="AY122" s="36" t="n"/>
      <c r="AZ122" s="36" t="n"/>
      <c r="BA122" s="36" t="n"/>
      <c r="BB122" s="36" t="n"/>
      <c r="BC122" s="36" t="n"/>
      <c r="BD122" s="36" t="n"/>
      <c r="BE122" s="36" t="n"/>
      <c r="BF122" s="36" t="n"/>
      <c r="BG122" s="36" t="n"/>
      <c r="BH122" s="36" t="n"/>
      <c r="BI122" s="36" t="n"/>
      <c r="BJ122" s="36" t="n"/>
      <c r="BK122" s="36" t="n"/>
      <c r="BL122" s="36" t="n"/>
      <c r="BM122" s="36" t="n"/>
      <c r="BN122" s="36" t="n"/>
      <c r="BO122" s="36" t="n"/>
      <c r="BP122" s="36" t="n"/>
      <c r="BQ122" s="36" t="n"/>
      <c r="BR122" s="36" t="n"/>
      <c r="BS122" s="36" t="n"/>
      <c r="BT122" s="36" t="n"/>
      <c r="BU122" s="36" t="n"/>
      <c r="BV122" s="36" t="n"/>
      <c r="BW122" s="36" t="n"/>
    </row>
    <row r="123" ht="34" customHeight="1">
      <c r="A123" s="37" t="n"/>
      <c r="B123" s="42">
        <f>IFERROR(INDEX(People!$B$2:$B$199,MATCH($A$122&amp;"#"&amp;2,People!$H$2:$H$199,0)),"")</f>
        <v/>
      </c>
      <c r="C123" s="26">
        <f>IF(TRIM($B123)="","",IFERROR(INDEX(People!$A$2:$A$199,MATCH(TRIM($B123),People!$B$2:$B$199,0)),"?? CHECK NAME"))</f>
        <v/>
      </c>
      <c r="D123" s="36" t="n"/>
      <c r="E123" s="36" t="n"/>
      <c r="F123" s="36" t="n"/>
      <c r="G123" s="36" t="n"/>
      <c r="H123" s="36" t="n"/>
      <c r="I123" s="36" t="n"/>
      <c r="J123" s="36" t="n"/>
      <c r="K123" s="36" t="n"/>
      <c r="L123" s="36" t="n"/>
      <c r="M123" s="36" t="n"/>
      <c r="N123" s="36" t="n"/>
      <c r="O123" s="36" t="n"/>
      <c r="P123" s="36" t="n"/>
      <c r="Q123" s="36" t="n"/>
      <c r="R123" s="36" t="n"/>
      <c r="S123" s="36" t="n"/>
      <c r="T123" s="36" t="n"/>
      <c r="U123" s="36" t="n"/>
      <c r="V123" s="36" t="n"/>
      <c r="W123" s="36" t="n"/>
      <c r="X123" s="36" t="n"/>
      <c r="Y123" s="36" t="n"/>
      <c r="Z123" s="36" t="n"/>
      <c r="AA123" s="36" t="n"/>
      <c r="AB123" s="36" t="n"/>
      <c r="AC123" s="36" t="n"/>
      <c r="AD123" s="36" t="n"/>
      <c r="AE123" s="36" t="n"/>
      <c r="AF123" s="36" t="n"/>
      <c r="AG123" s="36" t="n"/>
      <c r="AH123" s="36" t="n"/>
      <c r="AI123" s="36" t="n"/>
      <c r="AJ123" s="36" t="n"/>
      <c r="AK123" s="36" t="n"/>
      <c r="AL123" s="36" t="n"/>
      <c r="AM123" s="36" t="n"/>
      <c r="AN123" s="36" t="n"/>
      <c r="AO123" s="36" t="n"/>
      <c r="AP123" s="36" t="n"/>
      <c r="AQ123" s="36" t="n"/>
      <c r="AR123" s="36" t="n"/>
      <c r="AS123" s="36" t="n"/>
      <c r="AT123" s="36" t="n"/>
      <c r="AU123" s="36" t="n"/>
      <c r="AV123" s="36" t="n"/>
      <c r="AW123" s="36" t="n"/>
      <c r="AX123" s="36" t="n"/>
      <c r="AY123" s="36" t="n"/>
      <c r="AZ123" s="36" t="n"/>
      <c r="BA123" s="36" t="n"/>
      <c r="BB123" s="36" t="n"/>
      <c r="BC123" s="36" t="n"/>
      <c r="BD123" s="36" t="n"/>
      <c r="BE123" s="36" t="n"/>
      <c r="BF123" s="36" t="n"/>
      <c r="BG123" s="36" t="n"/>
      <c r="BH123" s="36" t="n"/>
      <c r="BI123" s="36" t="n"/>
      <c r="BJ123" s="36" t="n"/>
      <c r="BK123" s="36" t="n"/>
      <c r="BL123" s="36" t="n"/>
      <c r="BM123" s="36" t="n"/>
      <c r="BN123" s="36" t="n"/>
      <c r="BO123" s="36" t="n"/>
      <c r="BP123" s="36" t="n"/>
      <c r="BQ123" s="36" t="n"/>
      <c r="BR123" s="36" t="n"/>
      <c r="BS123" s="36" t="n"/>
      <c r="BT123" s="36" t="n"/>
      <c r="BU123" s="36" t="n"/>
      <c r="BV123" s="36" t="n"/>
      <c r="BW123" s="36" t="n"/>
    </row>
    <row r="124" ht="34" customHeight="1">
      <c r="A124" s="37" t="n"/>
      <c r="B124" s="42">
        <f>IFERROR(INDEX(People!$B$2:$B$199,MATCH($A$122&amp;"#"&amp;3,People!$H$2:$H$199,0)),"")</f>
        <v/>
      </c>
      <c r="C124" s="26">
        <f>IF(TRIM($B124)="","",IFERROR(INDEX(People!$A$2:$A$199,MATCH(TRIM($B124),People!$B$2:$B$199,0)),"?? CHECK NAME"))</f>
        <v/>
      </c>
      <c r="D124" s="36" t="n"/>
      <c r="E124" s="36" t="n"/>
      <c r="F124" s="36" t="n"/>
      <c r="G124" s="36" t="n"/>
      <c r="H124" s="36" t="n"/>
      <c r="I124" s="36" t="n"/>
      <c r="J124" s="36" t="n"/>
      <c r="K124" s="36" t="n"/>
      <c r="L124" s="36" t="n"/>
      <c r="M124" s="36" t="n"/>
      <c r="N124" s="36" t="n"/>
      <c r="O124" s="36" t="n"/>
      <c r="P124" s="36" t="n"/>
      <c r="Q124" s="36" t="n"/>
      <c r="R124" s="36" t="n"/>
      <c r="S124" s="36" t="n"/>
      <c r="T124" s="36" t="n"/>
      <c r="U124" s="36" t="n"/>
      <c r="V124" s="36" t="n"/>
      <c r="W124" s="36" t="n"/>
      <c r="X124" s="36" t="n"/>
      <c r="Y124" s="36" t="n"/>
      <c r="Z124" s="36" t="n"/>
      <c r="AA124" s="36" t="n"/>
      <c r="AB124" s="36" t="n"/>
      <c r="AC124" s="36" t="n"/>
      <c r="AD124" s="36" t="n"/>
      <c r="AE124" s="36" t="n"/>
      <c r="AF124" s="36" t="n"/>
      <c r="AG124" s="36" t="n"/>
      <c r="AH124" s="36" t="n"/>
      <c r="AI124" s="36" t="n"/>
      <c r="AJ124" s="36" t="n"/>
      <c r="AK124" s="36" t="n"/>
      <c r="AL124" s="36" t="n"/>
      <c r="AM124" s="36" t="n"/>
      <c r="AN124" s="36" t="n"/>
      <c r="AO124" s="36" t="n"/>
      <c r="AP124" s="36" t="n"/>
      <c r="AQ124" s="36" t="n"/>
      <c r="AR124" s="36" t="n"/>
      <c r="AS124" s="36" t="n"/>
      <c r="AT124" s="36" t="n"/>
      <c r="AU124" s="36" t="n"/>
      <c r="AV124" s="36" t="n"/>
      <c r="AW124" s="36" t="n"/>
      <c r="AX124" s="36" t="n"/>
      <c r="AY124" s="36" t="n"/>
      <c r="AZ124" s="36" t="n"/>
      <c r="BA124" s="36" t="n"/>
      <c r="BB124" s="36" t="n"/>
      <c r="BC124" s="36" t="n"/>
      <c r="BD124" s="36" t="n"/>
      <c r="BE124" s="36" t="n"/>
      <c r="BF124" s="36" t="n"/>
      <c r="BG124" s="36" t="n"/>
      <c r="BH124" s="36" t="n"/>
      <c r="BI124" s="36" t="n"/>
      <c r="BJ124" s="36" t="n"/>
      <c r="BK124" s="36" t="n"/>
      <c r="BL124" s="36" t="n"/>
      <c r="BM124" s="36" t="n"/>
      <c r="BN124" s="36" t="n"/>
      <c r="BO124" s="36" t="n"/>
      <c r="BP124" s="36" t="n"/>
      <c r="BQ124" s="36" t="n"/>
      <c r="BR124" s="36" t="n"/>
      <c r="BS124" s="36" t="n"/>
      <c r="BT124" s="36" t="n"/>
      <c r="BU124" s="36" t="n"/>
      <c r="BV124" s="36" t="n"/>
      <c r="BW124" s="36" t="n"/>
    </row>
    <row r="125" ht="34" customHeight="1">
      <c r="A125" s="37" t="n"/>
      <c r="B125" s="42">
        <f>IFERROR(INDEX(People!$B$2:$B$199,MATCH($A$122&amp;"#"&amp;4,People!$H$2:$H$199,0)),"")</f>
        <v/>
      </c>
      <c r="C125" s="26">
        <f>IF(TRIM($B125)="","",IFERROR(INDEX(People!$A$2:$A$199,MATCH(TRIM($B125),People!$B$2:$B$199,0)),"?? CHECK NAME"))</f>
        <v/>
      </c>
      <c r="D125" s="36" t="n"/>
      <c r="E125" s="36" t="n"/>
      <c r="F125" s="36" t="n"/>
      <c r="G125" s="36" t="n"/>
      <c r="H125" s="36" t="n"/>
      <c r="I125" s="36" t="n"/>
      <c r="J125" s="36" t="n"/>
      <c r="K125" s="36" t="n"/>
      <c r="L125" s="36" t="n"/>
      <c r="M125" s="36" t="n"/>
      <c r="N125" s="36" t="n"/>
      <c r="O125" s="36" t="n"/>
      <c r="P125" s="36" t="n"/>
      <c r="Q125" s="36" t="n"/>
      <c r="R125" s="36" t="n"/>
      <c r="S125" s="36" t="n"/>
      <c r="T125" s="36" t="n"/>
      <c r="U125" s="36" t="n"/>
      <c r="V125" s="36" t="n"/>
      <c r="W125" s="36" t="n"/>
      <c r="X125" s="36" t="n"/>
      <c r="Y125" s="36" t="n"/>
      <c r="Z125" s="36" t="n"/>
      <c r="AA125" s="36" t="n"/>
      <c r="AB125" s="36" t="n"/>
      <c r="AC125" s="36" t="n"/>
      <c r="AD125" s="36" t="n"/>
      <c r="AE125" s="36" t="n"/>
      <c r="AF125" s="36" t="n"/>
      <c r="AG125" s="36" t="n"/>
      <c r="AH125" s="36" t="n"/>
      <c r="AI125" s="36" t="n"/>
      <c r="AJ125" s="36" t="n"/>
      <c r="AK125" s="36" t="n"/>
      <c r="AL125" s="36" t="n"/>
      <c r="AM125" s="36" t="n"/>
      <c r="AN125" s="36" t="n"/>
      <c r="AO125" s="36" t="n"/>
      <c r="AP125" s="36" t="n"/>
      <c r="AQ125" s="36" t="n"/>
      <c r="AR125" s="36" t="n"/>
      <c r="AS125" s="36" t="n"/>
      <c r="AT125" s="36" t="n"/>
      <c r="AU125" s="36" t="n"/>
      <c r="AV125" s="36" t="n"/>
      <c r="AW125" s="36" t="n"/>
      <c r="AX125" s="36" t="n"/>
      <c r="AY125" s="36" t="n"/>
      <c r="AZ125" s="36" t="n"/>
      <c r="BA125" s="36" t="n"/>
      <c r="BB125" s="36" t="n"/>
      <c r="BC125" s="36" t="n"/>
      <c r="BD125" s="36" t="n"/>
      <c r="BE125" s="36" t="n"/>
      <c r="BF125" s="36" t="n"/>
      <c r="BG125" s="36" t="n"/>
      <c r="BH125" s="36" t="n"/>
      <c r="BI125" s="36" t="n"/>
      <c r="BJ125" s="36" t="n"/>
      <c r="BK125" s="36" t="n"/>
      <c r="BL125" s="36" t="n"/>
      <c r="BM125" s="36" t="n"/>
      <c r="BN125" s="36" t="n"/>
      <c r="BO125" s="36" t="n"/>
      <c r="BP125" s="36" t="n"/>
      <c r="BQ125" s="36" t="n"/>
      <c r="BR125" s="36" t="n"/>
      <c r="BS125" s="36" t="n"/>
      <c r="BT125" s="36" t="n"/>
      <c r="BU125" s="36" t="n"/>
      <c r="BV125" s="36" t="n"/>
      <c r="BW125" s="36" t="n"/>
    </row>
    <row r="126" ht="34" customHeight="1">
      <c r="A126" s="38" t="n"/>
      <c r="B126" s="42">
        <f>IFERROR(INDEX(People!$B$2:$B$199,MATCH($A$122&amp;"#"&amp;5,People!$H$2:$H$199,0)),"")</f>
        <v/>
      </c>
      <c r="C126" s="26">
        <f>IF(TRIM($B126)="","",IFERROR(INDEX(People!$A$2:$A$199,MATCH(TRIM($B126),People!$B$2:$B$199,0)),"?? CHECK NAME"))</f>
        <v/>
      </c>
      <c r="D126" s="36" t="n"/>
      <c r="E126" s="36" t="n"/>
      <c r="F126" s="36" t="n"/>
      <c r="G126" s="36" t="n"/>
      <c r="H126" s="36" t="n"/>
      <c r="I126" s="36" t="n"/>
      <c r="J126" s="36" t="n"/>
      <c r="K126" s="36" t="n"/>
      <c r="L126" s="36" t="n"/>
      <c r="M126" s="36" t="n"/>
      <c r="N126" s="36" t="n"/>
      <c r="O126" s="36" t="n"/>
      <c r="P126" s="36" t="n"/>
      <c r="Q126" s="36" t="n"/>
      <c r="R126" s="36" t="n"/>
      <c r="S126" s="36" t="n"/>
      <c r="T126" s="36" t="n"/>
      <c r="U126" s="36" t="n"/>
      <c r="V126" s="36" t="n"/>
      <c r="W126" s="36" t="n"/>
      <c r="X126" s="36" t="n"/>
      <c r="Y126" s="36" t="n"/>
      <c r="Z126" s="36" t="n"/>
      <c r="AA126" s="36" t="n"/>
      <c r="AB126" s="36" t="n"/>
      <c r="AC126" s="36" t="n"/>
      <c r="AD126" s="36" t="n"/>
      <c r="AE126" s="36" t="n"/>
      <c r="AF126" s="36" t="n"/>
      <c r="AG126" s="36" t="n"/>
      <c r="AH126" s="36" t="n"/>
      <c r="AI126" s="36" t="n"/>
      <c r="AJ126" s="36" t="n"/>
      <c r="AK126" s="36" t="n"/>
      <c r="AL126" s="36" t="n"/>
      <c r="AM126" s="36" t="n"/>
      <c r="AN126" s="36" t="n"/>
      <c r="AO126" s="36" t="n"/>
      <c r="AP126" s="36" t="n"/>
      <c r="AQ126" s="36" t="n"/>
      <c r="AR126" s="36" t="n"/>
      <c r="AS126" s="36" t="n"/>
      <c r="AT126" s="36" t="n"/>
      <c r="AU126" s="36" t="n"/>
      <c r="AV126" s="36" t="n"/>
      <c r="AW126" s="36" t="n"/>
      <c r="AX126" s="36" t="n"/>
      <c r="AY126" s="36" t="n"/>
      <c r="AZ126" s="36" t="n"/>
      <c r="BA126" s="36" t="n"/>
      <c r="BB126" s="36" t="n"/>
      <c r="BC126" s="36" t="n"/>
      <c r="BD126" s="36" t="n"/>
      <c r="BE126" s="36" t="n"/>
      <c r="BF126" s="36" t="n"/>
      <c r="BG126" s="36" t="n"/>
      <c r="BH126" s="36" t="n"/>
      <c r="BI126" s="36" t="n"/>
      <c r="BJ126" s="36" t="n"/>
      <c r="BK126" s="36" t="n"/>
      <c r="BL126" s="36" t="n"/>
      <c r="BM126" s="36" t="n"/>
      <c r="BN126" s="36" t="n"/>
      <c r="BO126" s="36" t="n"/>
      <c r="BP126" s="36" t="n"/>
      <c r="BQ126" s="36" t="n"/>
      <c r="BR126" s="36" t="n"/>
      <c r="BS126" s="36" t="n"/>
      <c r="BT126" s="36" t="n"/>
      <c r="BU126" s="36" t="n"/>
      <c r="BV126" s="36" t="n"/>
      <c r="BW126" s="36" t="n"/>
    </row>
    <row r="127" ht="34" customHeight="1">
      <c r="A127" s="16" t="inlineStr">
        <is>
          <t>Judge Liaisons</t>
        </is>
      </c>
      <c r="B127" s="35" t="inlineStr"/>
      <c r="C127" s="26">
        <f>IF(TRIM($B127)="","",IFERROR(INDEX(People!$A$2:$A$199,MATCH(TRIM($B127),People!$B$2:$B$199,0)),IFERROR(INDEX(Teams!$A$2:$A$9,MATCH(TRIM($B127),Teams!$B$2:$B$9,0)),"?? CHECK NAME")))</f>
        <v/>
      </c>
      <c r="D127" s="36" t="n"/>
      <c r="E127" s="36" t="n"/>
      <c r="F127" s="36" t="n"/>
      <c r="G127" s="36" t="n"/>
      <c r="H127" s="36" t="n"/>
      <c r="I127" s="36" t="n"/>
      <c r="J127" s="36" t="n"/>
      <c r="K127" s="36" t="n"/>
      <c r="L127" s="36" t="n"/>
      <c r="M127" s="36" t="n"/>
      <c r="N127" s="36" t="n"/>
      <c r="O127" s="36" t="n"/>
      <c r="P127" s="36" t="n"/>
      <c r="Q127" s="36" t="n"/>
      <c r="R127" s="36" t="n"/>
      <c r="S127" s="36" t="n"/>
      <c r="T127" s="36" t="n"/>
      <c r="U127" s="36" t="n"/>
      <c r="V127" s="36" t="n"/>
      <c r="W127" s="36" t="n"/>
      <c r="X127" s="36" t="n"/>
      <c r="Y127" s="36" t="n"/>
      <c r="Z127" s="36" t="n"/>
      <c r="AA127" s="36" t="n"/>
      <c r="AB127" s="36" t="n"/>
      <c r="AC127" s="36" t="n"/>
      <c r="AD127" s="36" t="n"/>
      <c r="AE127" s="36" t="n"/>
      <c r="AF127" s="36" t="n"/>
      <c r="AG127" s="36" t="n"/>
      <c r="AH127" s="36" t="n"/>
      <c r="AI127" s="36" t="n"/>
      <c r="AJ127" s="36" t="n"/>
      <c r="AK127" s="36" t="n"/>
      <c r="AL127" s="36" t="n"/>
      <c r="AM127" s="36" t="n"/>
      <c r="AN127" s="36" t="n"/>
      <c r="AO127" s="36" t="n"/>
      <c r="AP127" s="36" t="n"/>
      <c r="AQ127" s="36" t="n"/>
      <c r="AR127" s="36" t="n"/>
      <c r="AS127" s="36" t="n"/>
      <c r="AT127" s="36" t="n"/>
      <c r="AU127" s="36" t="n"/>
      <c r="AV127" s="36" t="n"/>
      <c r="AW127" s="36" t="n"/>
      <c r="AX127" s="36" t="n"/>
      <c r="AY127" s="36" t="n"/>
      <c r="AZ127" s="36" t="n"/>
      <c r="BA127" s="36" t="n"/>
      <c r="BB127" s="36" t="n"/>
      <c r="BC127" s="36" t="n"/>
      <c r="BD127" s="36" t="n"/>
      <c r="BE127" s="36" t="n"/>
      <c r="BF127" s="36" t="n"/>
      <c r="BG127" s="36" t="n"/>
      <c r="BH127" s="36" t="n"/>
      <c r="BI127" s="36" t="n"/>
      <c r="BJ127" s="36" t="n"/>
      <c r="BK127" s="36" t="n"/>
      <c r="BL127" s="36" t="n"/>
      <c r="BM127" s="36" t="n"/>
      <c r="BN127" s="36" t="n"/>
      <c r="BO127" s="36" t="n"/>
      <c r="BP127" s="36" t="n"/>
      <c r="BQ127" s="36" t="n"/>
      <c r="BR127" s="36" t="n"/>
      <c r="BS127" s="36" t="n"/>
      <c r="BT127" s="36" t="n"/>
      <c r="BU127" s="36" t="n"/>
      <c r="BV127" s="36" t="n"/>
      <c r="BW127" s="36" t="n"/>
    </row>
    <row r="128" ht="34" customHeight="1">
      <c r="A128" s="37" t="n"/>
      <c r="B128" s="35" t="inlineStr"/>
      <c r="C128" s="26">
        <f>IF(TRIM($B128)="","",IFERROR(INDEX(People!$A$2:$A$199,MATCH(TRIM($B128),People!$B$2:$B$199,0)),IFERROR(INDEX(Teams!$A$2:$A$9,MATCH(TRIM($B128),Teams!$B$2:$B$9,0)),"?? CHECK NAME")))</f>
        <v/>
      </c>
      <c r="D128" s="36" t="n"/>
      <c r="E128" s="36" t="n"/>
      <c r="F128" s="36" t="n"/>
      <c r="G128" s="36" t="n"/>
      <c r="H128" s="36" t="n"/>
      <c r="I128" s="36" t="n"/>
      <c r="J128" s="36" t="n"/>
      <c r="K128" s="36" t="n"/>
      <c r="L128" s="36" t="n"/>
      <c r="M128" s="36" t="n"/>
      <c r="N128" s="36" t="n"/>
      <c r="O128" s="36" t="n"/>
      <c r="P128" s="36" t="n"/>
      <c r="Q128" s="36" t="n"/>
      <c r="R128" s="36" t="n"/>
      <c r="S128" s="36" t="n"/>
      <c r="T128" s="36" t="n"/>
      <c r="U128" s="36" t="n"/>
      <c r="V128" s="36" t="n"/>
      <c r="W128" s="36" t="n"/>
      <c r="X128" s="36" t="n"/>
      <c r="Y128" s="36" t="n"/>
      <c r="Z128" s="36" t="n"/>
      <c r="AA128" s="36" t="n"/>
      <c r="AB128" s="36" t="n"/>
      <c r="AC128" s="36" t="n"/>
      <c r="AD128" s="36" t="n"/>
      <c r="AE128" s="36" t="n"/>
      <c r="AF128" s="36" t="n"/>
      <c r="AG128" s="36" t="n"/>
      <c r="AH128" s="36" t="n"/>
      <c r="AI128" s="36" t="n"/>
      <c r="AJ128" s="36" t="n"/>
      <c r="AK128" s="36" t="n"/>
      <c r="AL128" s="36" t="n"/>
      <c r="AM128" s="36" t="n"/>
      <c r="AN128" s="36" t="n"/>
      <c r="AO128" s="36" t="n"/>
      <c r="AP128" s="36" t="n"/>
      <c r="AQ128" s="36" t="n"/>
      <c r="AR128" s="36" t="n"/>
      <c r="AS128" s="36" t="n"/>
      <c r="AT128" s="36" t="n"/>
      <c r="AU128" s="36" t="n"/>
      <c r="AV128" s="36" t="n"/>
      <c r="AW128" s="36" t="n"/>
      <c r="AX128" s="36" t="n"/>
      <c r="AY128" s="36" t="n"/>
      <c r="AZ128" s="36" t="n"/>
      <c r="BA128" s="36" t="n"/>
      <c r="BB128" s="36" t="n"/>
      <c r="BC128" s="36" t="n"/>
      <c r="BD128" s="36" t="n"/>
      <c r="BE128" s="36" t="n"/>
      <c r="BF128" s="36" t="n"/>
      <c r="BG128" s="36" t="n"/>
      <c r="BH128" s="36" t="n"/>
      <c r="BI128" s="36" t="n"/>
      <c r="BJ128" s="36" t="n"/>
      <c r="BK128" s="36" t="n"/>
      <c r="BL128" s="36" t="n"/>
      <c r="BM128" s="36" t="n"/>
      <c r="BN128" s="36" t="n"/>
      <c r="BO128" s="36" t="n"/>
      <c r="BP128" s="36" t="n"/>
      <c r="BQ128" s="36" t="n"/>
      <c r="BR128" s="36" t="n"/>
      <c r="BS128" s="36" t="n"/>
      <c r="BT128" s="36" t="n"/>
      <c r="BU128" s="36" t="n"/>
      <c r="BV128" s="36" t="n"/>
      <c r="BW128" s="36" t="n"/>
    </row>
    <row r="129" ht="34" customHeight="1">
      <c r="A129" s="37" t="n"/>
      <c r="B129" s="35" t="inlineStr"/>
      <c r="C129" s="26">
        <f>IF(TRIM($B129)="","",IFERROR(INDEX(People!$A$2:$A$199,MATCH(TRIM($B129),People!$B$2:$B$199,0)),IFERROR(INDEX(Teams!$A$2:$A$9,MATCH(TRIM($B129),Teams!$B$2:$B$9,0)),"?? CHECK NAME")))</f>
        <v/>
      </c>
      <c r="D129" s="36" t="n"/>
      <c r="E129" s="36" t="n"/>
      <c r="F129" s="36" t="n"/>
      <c r="G129" s="36" t="n"/>
      <c r="H129" s="36" t="n"/>
      <c r="I129" s="36" t="n"/>
      <c r="J129" s="36" t="n"/>
      <c r="K129" s="36" t="n"/>
      <c r="L129" s="36" t="n"/>
      <c r="M129" s="36" t="n"/>
      <c r="N129" s="36" t="n"/>
      <c r="O129" s="36" t="n"/>
      <c r="P129" s="36" t="n"/>
      <c r="Q129" s="36" t="n"/>
      <c r="R129" s="36" t="n"/>
      <c r="S129" s="36" t="n"/>
      <c r="T129" s="36" t="n"/>
      <c r="U129" s="36" t="n"/>
      <c r="V129" s="36" t="n"/>
      <c r="W129" s="36" t="n"/>
      <c r="X129" s="36" t="n"/>
      <c r="Y129" s="36" t="n"/>
      <c r="Z129" s="36" t="n"/>
      <c r="AA129" s="36" t="n"/>
      <c r="AB129" s="36" t="n"/>
      <c r="AC129" s="36" t="n"/>
      <c r="AD129" s="36" t="n"/>
      <c r="AE129" s="36" t="n"/>
      <c r="AF129" s="36" t="n"/>
      <c r="AG129" s="36" t="n"/>
      <c r="AH129" s="36" t="n"/>
      <c r="AI129" s="36" t="n"/>
      <c r="AJ129" s="36" t="n"/>
      <c r="AK129" s="36" t="n"/>
      <c r="AL129" s="36" t="n"/>
      <c r="AM129" s="36" t="n"/>
      <c r="AN129" s="36" t="n"/>
      <c r="AO129" s="36" t="n"/>
      <c r="AP129" s="36" t="n"/>
      <c r="AQ129" s="36" t="n"/>
      <c r="AR129" s="36" t="n"/>
      <c r="AS129" s="36" t="n"/>
      <c r="AT129" s="36" t="n"/>
      <c r="AU129" s="36" t="n"/>
      <c r="AV129" s="36" t="n"/>
      <c r="AW129" s="36" t="n"/>
      <c r="AX129" s="36" t="n"/>
      <c r="AY129" s="36" t="n"/>
      <c r="AZ129" s="36" t="n"/>
      <c r="BA129" s="36" t="n"/>
      <c r="BB129" s="36" t="n"/>
      <c r="BC129" s="36" t="n"/>
      <c r="BD129" s="36" t="n"/>
      <c r="BE129" s="36" t="n"/>
      <c r="BF129" s="36" t="n"/>
      <c r="BG129" s="36" t="n"/>
      <c r="BH129" s="36" t="n"/>
      <c r="BI129" s="36" t="n"/>
      <c r="BJ129" s="36" t="n"/>
      <c r="BK129" s="36" t="n"/>
      <c r="BL129" s="36" t="n"/>
      <c r="BM129" s="36" t="n"/>
      <c r="BN129" s="36" t="n"/>
      <c r="BO129" s="36" t="n"/>
      <c r="BP129" s="36" t="n"/>
      <c r="BQ129" s="36" t="n"/>
      <c r="BR129" s="36" t="n"/>
      <c r="BS129" s="36" t="n"/>
      <c r="BT129" s="36" t="n"/>
      <c r="BU129" s="36" t="n"/>
      <c r="BV129" s="36" t="n"/>
      <c r="BW129" s="36" t="n"/>
    </row>
    <row r="130" ht="34" customHeight="1">
      <c r="A130" s="37" t="n"/>
      <c r="B130" s="35" t="inlineStr"/>
      <c r="C130" s="26">
        <f>IF(TRIM($B130)="","",IFERROR(INDEX(People!$A$2:$A$199,MATCH(TRIM($B130),People!$B$2:$B$199,0)),IFERROR(INDEX(Teams!$A$2:$A$9,MATCH(TRIM($B130),Teams!$B$2:$B$9,0)),"?? CHECK NAME")))</f>
        <v/>
      </c>
      <c r="D130" s="36" t="n"/>
      <c r="E130" s="36" t="n"/>
      <c r="F130" s="36" t="n"/>
      <c r="G130" s="36" t="n"/>
      <c r="H130" s="36" t="n"/>
      <c r="I130" s="36" t="n"/>
      <c r="J130" s="36" t="n"/>
      <c r="K130" s="36" t="n"/>
      <c r="L130" s="36" t="n"/>
      <c r="M130" s="36" t="n"/>
      <c r="N130" s="36" t="n"/>
      <c r="O130" s="36" t="n"/>
      <c r="P130" s="36" t="n"/>
      <c r="Q130" s="36" t="n"/>
      <c r="R130" s="36" t="n"/>
      <c r="S130" s="36" t="n"/>
      <c r="T130" s="36" t="n"/>
      <c r="U130" s="36" t="n"/>
      <c r="V130" s="36" t="n"/>
      <c r="W130" s="36" t="n"/>
      <c r="X130" s="36" t="n"/>
      <c r="Y130" s="36" t="n"/>
      <c r="Z130" s="36" t="n"/>
      <c r="AA130" s="36" t="n"/>
      <c r="AB130" s="36" t="n"/>
      <c r="AC130" s="36" t="n"/>
      <c r="AD130" s="36" t="n"/>
      <c r="AE130" s="36" t="n"/>
      <c r="AF130" s="36" t="n"/>
      <c r="AG130" s="36" t="n"/>
      <c r="AH130" s="36" t="n"/>
      <c r="AI130" s="36" t="n"/>
      <c r="AJ130" s="36" t="n"/>
      <c r="AK130" s="36" t="n"/>
      <c r="AL130" s="36" t="n"/>
      <c r="AM130" s="36" t="n"/>
      <c r="AN130" s="36" t="n"/>
      <c r="AO130" s="36" t="n"/>
      <c r="AP130" s="36" t="n"/>
      <c r="AQ130" s="36" t="n"/>
      <c r="AR130" s="36" t="n"/>
      <c r="AS130" s="36" t="n"/>
      <c r="AT130" s="36" t="n"/>
      <c r="AU130" s="36" t="n"/>
      <c r="AV130" s="36" t="n"/>
      <c r="AW130" s="36" t="n"/>
      <c r="AX130" s="36" t="n"/>
      <c r="AY130" s="36" t="n"/>
      <c r="AZ130" s="36" t="n"/>
      <c r="BA130" s="36" t="n"/>
      <c r="BB130" s="36" t="n"/>
      <c r="BC130" s="36" t="n"/>
      <c r="BD130" s="36" t="n"/>
      <c r="BE130" s="36" t="n"/>
      <c r="BF130" s="36" t="n"/>
      <c r="BG130" s="36" t="n"/>
      <c r="BH130" s="36" t="n"/>
      <c r="BI130" s="36" t="n"/>
      <c r="BJ130" s="36" t="n"/>
      <c r="BK130" s="36" t="n"/>
      <c r="BL130" s="36" t="n"/>
      <c r="BM130" s="36" t="n"/>
      <c r="BN130" s="36" t="n"/>
      <c r="BO130" s="36" t="n"/>
      <c r="BP130" s="36" t="n"/>
      <c r="BQ130" s="36" t="n"/>
      <c r="BR130" s="36" t="n"/>
      <c r="BS130" s="36" t="n"/>
      <c r="BT130" s="36" t="n"/>
      <c r="BU130" s="36" t="n"/>
      <c r="BV130" s="36" t="n"/>
      <c r="BW130" s="36" t="n"/>
    </row>
    <row r="131" ht="34" customHeight="1">
      <c r="A131" s="38" t="n"/>
      <c r="B131" s="35" t="inlineStr"/>
      <c r="C131" s="26">
        <f>IF(TRIM($B131)="","",IFERROR(INDEX(People!$A$2:$A$199,MATCH(TRIM($B131),People!$B$2:$B$199,0)),IFERROR(INDEX(Teams!$A$2:$A$9,MATCH(TRIM($B131),Teams!$B$2:$B$9,0)),"?? CHECK NAME")))</f>
        <v/>
      </c>
      <c r="D131" s="36" t="n"/>
      <c r="E131" s="36" t="n"/>
      <c r="F131" s="36" t="n"/>
      <c r="G131" s="36" t="n"/>
      <c r="H131" s="36" t="n"/>
      <c r="I131" s="36" t="n"/>
      <c r="J131" s="36" t="n"/>
      <c r="K131" s="36" t="n"/>
      <c r="L131" s="36" t="n"/>
      <c r="M131" s="36" t="n"/>
      <c r="N131" s="36" t="n"/>
      <c r="O131" s="36" t="n"/>
      <c r="P131" s="36" t="n"/>
      <c r="Q131" s="36" t="n"/>
      <c r="R131" s="36" t="n"/>
      <c r="S131" s="36" t="n"/>
      <c r="T131" s="36" t="n"/>
      <c r="U131" s="36" t="n"/>
      <c r="V131" s="36" t="n"/>
      <c r="W131" s="36" t="n"/>
      <c r="X131" s="36" t="n"/>
      <c r="Y131" s="36" t="n"/>
      <c r="Z131" s="36" t="n"/>
      <c r="AA131" s="36" t="n"/>
      <c r="AB131" s="36" t="n"/>
      <c r="AC131" s="36" t="n"/>
      <c r="AD131" s="36" t="n"/>
      <c r="AE131" s="36" t="n"/>
      <c r="AF131" s="36" t="n"/>
      <c r="AG131" s="36" t="n"/>
      <c r="AH131" s="36" t="n"/>
      <c r="AI131" s="36" t="n"/>
      <c r="AJ131" s="36" t="n"/>
      <c r="AK131" s="36" t="n"/>
      <c r="AL131" s="36" t="n"/>
      <c r="AM131" s="36" t="n"/>
      <c r="AN131" s="36" t="n"/>
      <c r="AO131" s="36" t="n"/>
      <c r="AP131" s="36" t="n"/>
      <c r="AQ131" s="36" t="n"/>
      <c r="AR131" s="36" t="n"/>
      <c r="AS131" s="36" t="n"/>
      <c r="AT131" s="36" t="n"/>
      <c r="AU131" s="36" t="n"/>
      <c r="AV131" s="36" t="n"/>
      <c r="AW131" s="36" t="n"/>
      <c r="AX131" s="36" t="n"/>
      <c r="AY131" s="36" t="n"/>
      <c r="AZ131" s="36" t="n"/>
      <c r="BA131" s="36" t="n"/>
      <c r="BB131" s="36" t="n"/>
      <c r="BC131" s="36" t="n"/>
      <c r="BD131" s="36" t="n"/>
      <c r="BE131" s="36" t="n"/>
      <c r="BF131" s="36" t="n"/>
      <c r="BG131" s="36" t="n"/>
      <c r="BH131" s="36" t="n"/>
      <c r="BI131" s="36" t="n"/>
      <c r="BJ131" s="36" t="n"/>
      <c r="BK131" s="36" t="n"/>
      <c r="BL131" s="36" t="n"/>
      <c r="BM131" s="36" t="n"/>
      <c r="BN131" s="36" t="n"/>
      <c r="BO131" s="36" t="n"/>
      <c r="BP131" s="36" t="n"/>
      <c r="BQ131" s="36" t="n"/>
      <c r="BR131" s="36" t="n"/>
      <c r="BS131" s="36" t="n"/>
      <c r="BT131" s="36" t="n"/>
      <c r="BU131" s="36" t="n"/>
      <c r="BV131" s="36" t="n"/>
      <c r="BW131" s="36" t="n"/>
    </row>
  </sheetData>
  <mergeCells count="28">
    <mergeCell ref="D1:BW1"/>
    <mergeCell ref="A4:A8"/>
    <mergeCell ref="A14:A18"/>
    <mergeCell ref="A97:A101"/>
    <mergeCell ref="A44:A48"/>
    <mergeCell ref="A69:BW69"/>
    <mergeCell ref="A122:A126"/>
    <mergeCell ref="A29:A33"/>
    <mergeCell ref="A9:A13"/>
    <mergeCell ref="A78:BW78"/>
    <mergeCell ref="A81:A85"/>
    <mergeCell ref="A127:A131"/>
    <mergeCell ref="A112:A116"/>
    <mergeCell ref="A19:A23"/>
    <mergeCell ref="A64:A68"/>
    <mergeCell ref="A59:A63"/>
    <mergeCell ref="A102:A106"/>
    <mergeCell ref="A117:A121"/>
    <mergeCell ref="A49:A53"/>
    <mergeCell ref="A34:A38"/>
    <mergeCell ref="A92:A96"/>
    <mergeCell ref="A39:A43"/>
    <mergeCell ref="A3:BW3"/>
    <mergeCell ref="A24:A28"/>
    <mergeCell ref="A86:BW86"/>
    <mergeCell ref="A107:A111"/>
    <mergeCell ref="A54:A58"/>
    <mergeCell ref="A87:A9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4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5" customWidth="1" min="2" max="2"/>
    <col width="12" customWidth="1" min="3" max="3"/>
    <col width="12" customWidth="1" min="4" max="4"/>
    <col width="12" customWidth="1" min="5" max="5"/>
    <col width="16" customWidth="1" min="6" max="6"/>
    <col width="18" customWidth="1" min="7" max="7"/>
    <col width="13" customWidth="1" min="8" max="8"/>
    <col width="8" customWidth="1" min="9" max="9"/>
    <col width="13" customWidth="1" min="10" max="10"/>
    <col width="24" customWidth="1" min="11" max="11"/>
    <col width="22" customWidth="1" min="12" max="12"/>
    <col width="10" customWidth="1" min="13" max="13"/>
    <col width="40" customWidth="1" min="14" max="14"/>
  </cols>
  <sheetData>
    <row r="1">
      <c r="A1" s="18" t="inlineStr">
        <is>
          <t>Sequence</t>
        </is>
      </c>
      <c r="B1" s="18" t="inlineStr">
        <is>
          <t>Step</t>
        </is>
      </c>
      <c r="C1" s="18" t="inlineStr">
        <is>
          <t>Wait before</t>
        </is>
      </c>
      <c r="D1" s="18" t="inlineStr">
        <is>
          <t>Length (min)</t>
        </is>
      </c>
      <c r="E1" s="47" t="inlineStr">
        <is>
          <t>Offset (min)</t>
        </is>
      </c>
      <c r="F1" s="18" t="inlineStr">
        <is>
          <t>Applies to</t>
        </is>
      </c>
      <c r="G1" s="18" t="inlineStr">
        <is>
          <t>Shared space</t>
        </is>
      </c>
      <c r="H1" s="18" t="inlineStr">
        <is>
          <t>How many fit</t>
        </is>
      </c>
      <c r="I1" s="18" t="inlineStr">
        <is>
          <t>Break?</t>
        </is>
      </c>
      <c r="J1" s="47" t="inlineStr">
        <is>
          <t>Ends at (min)</t>
        </is>
      </c>
      <c r="K1" s="18" t="inlineStr">
        <is>
          <t>Venue</t>
        </is>
      </c>
      <c r="L1" s="18" t="inlineStr">
        <is>
          <t>Sub-location</t>
        </is>
      </c>
      <c r="M1" s="18" t="inlineStr">
        <is>
          <t>Day</t>
        </is>
      </c>
      <c r="N1" s="18" t="inlineStr">
        <is>
          <t>Offsets measured from…</t>
        </is>
      </c>
    </row>
    <row r="2">
      <c r="A2" s="41" t="inlineStr">
        <is>
          <t>Saturday Practice</t>
        </is>
      </c>
      <c r="B2" s="24" t="inlineStr">
        <is>
          <t>Report to Lobby</t>
        </is>
      </c>
      <c r="C2" s="48" t="n">
        <v>0</v>
      </c>
      <c r="D2" s="48" t="n">
        <v>5</v>
      </c>
      <c r="E2" s="49">
        <f>IF($B2="","",$C2)</f>
        <v/>
      </c>
      <c r="F2" s="24" t="inlineStr">
        <is>
          <t>Team + liaisons</t>
        </is>
      </c>
      <c r="G2" s="24" t="inlineStr"/>
      <c r="H2" s="48" t="n"/>
      <c r="I2" s="48" t="n"/>
      <c r="J2" s="49">
        <f>IF($B2="","",$E2+$D2)</f>
        <v/>
      </c>
      <c r="K2" s="24" t="inlineStr">
        <is>
          <t>Courtyard Marriott</t>
        </is>
      </c>
      <c r="L2" s="24" t="inlineStr">
        <is>
          <t>Lobby</t>
        </is>
      </c>
      <c r="M2" s="48" t="inlineStr">
        <is>
          <t>Saturday</t>
        </is>
      </c>
      <c r="N2" s="50" t="inlineStr">
        <is>
          <t>when that team reports to the hotel lobby</t>
        </is>
      </c>
    </row>
    <row r="3">
      <c r="A3" s="37" t="n"/>
      <c r="B3" s="24" t="inlineStr">
        <is>
          <t>Load Vans</t>
        </is>
      </c>
      <c r="C3" s="48" t="n">
        <v>0</v>
      </c>
      <c r="D3" s="48" t="n">
        <v>10</v>
      </c>
      <c r="E3" s="49">
        <f>IF($B3="","",$E2+$D2+$C3)</f>
        <v/>
      </c>
      <c r="F3" s="24" t="inlineStr">
        <is>
          <t>Team + liaisons</t>
        </is>
      </c>
      <c r="G3" s="24" t="inlineStr"/>
      <c r="H3" s="48" t="n"/>
      <c r="I3" s="48" t="n"/>
      <c r="J3" s="49">
        <f>IF($B3="","",$E3+$D3)</f>
        <v/>
      </c>
      <c r="K3" s="24" t="inlineStr">
        <is>
          <t>Courtyard Marriott</t>
        </is>
      </c>
      <c r="L3" s="24" t="inlineStr">
        <is>
          <t>Garage</t>
        </is>
      </c>
      <c r="M3" s="37" t="n"/>
      <c r="N3" s="37" t="n"/>
    </row>
    <row r="4">
      <c r="A4" s="37" t="n"/>
      <c r="B4" s="24" t="inlineStr">
        <is>
          <t>Leave Hotel</t>
        </is>
      </c>
      <c r="C4" s="48" t="n">
        <v>0</v>
      </c>
      <c r="D4" s="48" t="n">
        <v>20</v>
      </c>
      <c r="E4" s="49">
        <f>IF($B4="","",$E3+$D3+$C4)</f>
        <v/>
      </c>
      <c r="F4" s="24" t="inlineStr">
        <is>
          <t>Team + liaisons</t>
        </is>
      </c>
      <c r="G4" s="24" t="inlineStr"/>
      <c r="H4" s="48" t="n"/>
      <c r="I4" s="48" t="n"/>
      <c r="J4" s="49">
        <f>IF($B4="","",$E4+$D4)</f>
        <v/>
      </c>
      <c r="K4" s="24" t="inlineStr">
        <is>
          <t>In transit</t>
        </is>
      </c>
      <c r="L4" s="24" t="inlineStr"/>
      <c r="M4" s="37" t="n"/>
      <c r="N4" s="37" t="n"/>
    </row>
    <row r="5">
      <c r="A5" s="37" t="n"/>
      <c r="B5" s="24" t="inlineStr">
        <is>
          <t>On-Stage Rehearsal</t>
        </is>
      </c>
      <c r="C5" s="48" t="n">
        <v>0</v>
      </c>
      <c r="D5" s="48" t="n">
        <v>20</v>
      </c>
      <c r="E5" s="49">
        <f>IF($B5="","",$E4+$D4+$C5)</f>
        <v/>
      </c>
      <c r="F5" s="24" t="inlineStr">
        <is>
          <t>Team + liaisons</t>
        </is>
      </c>
      <c r="G5" s="24" t="inlineStr">
        <is>
          <t>AUD STAGE</t>
        </is>
      </c>
      <c r="H5" s="48" t="n">
        <v>1</v>
      </c>
      <c r="I5" s="48" t="n"/>
      <c r="J5" s="49">
        <f>IF($B5="","",$E5+$D5)</f>
        <v/>
      </c>
      <c r="K5" s="24" t="inlineStr">
        <is>
          <t>IU Auditorium</t>
        </is>
      </c>
      <c r="L5" s="24" t="inlineStr">
        <is>
          <t>Stage</t>
        </is>
      </c>
      <c r="M5" s="37" t="n"/>
      <c r="N5" s="37" t="n"/>
    </row>
    <row r="6">
      <c r="A6" s="37" t="n"/>
      <c r="B6" s="24" t="inlineStr">
        <is>
          <t>Walk to Viewing</t>
        </is>
      </c>
      <c r="C6" s="48" t="n">
        <v>0</v>
      </c>
      <c r="D6" s="48" t="n">
        <v>10</v>
      </c>
      <c r="E6" s="49">
        <f>IF($B6="","",$E5+$D5+$C6)</f>
        <v/>
      </c>
      <c r="F6" s="24" t="inlineStr">
        <is>
          <t>Team + liaisons</t>
        </is>
      </c>
      <c r="G6" s="24" t="inlineStr"/>
      <c r="H6" s="48" t="n"/>
      <c r="I6" s="48" t="n"/>
      <c r="J6" s="49">
        <f>IF($B6="","",$E6+$D6)</f>
        <v/>
      </c>
      <c r="K6" s="24" t="inlineStr">
        <is>
          <t>IU Auditorium</t>
        </is>
      </c>
      <c r="L6" s="24" t="inlineStr"/>
      <c r="M6" s="37" t="n"/>
      <c r="N6" s="37" t="n"/>
    </row>
    <row r="7">
      <c r="A7" s="37" t="n"/>
      <c r="B7" s="24" t="inlineStr">
        <is>
          <t>Viewing Room</t>
        </is>
      </c>
      <c r="C7" s="48" t="n">
        <v>0</v>
      </c>
      <c r="D7" s="48" t="n">
        <v>20</v>
      </c>
      <c r="E7" s="49">
        <f>IF($B7="","",$E6+$D6+$C7)</f>
        <v/>
      </c>
      <c r="F7" s="24" t="inlineStr">
        <is>
          <t>Team + liaisons</t>
        </is>
      </c>
      <c r="G7" s="24" t="inlineStr">
        <is>
          <t>VIEWING ROOM</t>
        </is>
      </c>
      <c r="H7" s="48" t="n">
        <v>1</v>
      </c>
      <c r="I7" s="48" t="n"/>
      <c r="J7" s="49">
        <f>IF($B7="","",$E7+$D7)</f>
        <v/>
      </c>
      <c r="K7" s="24" t="inlineStr">
        <is>
          <t>IU Auditorium</t>
        </is>
      </c>
      <c r="L7" s="24" t="inlineStr">
        <is>
          <t>Viewing Room</t>
        </is>
      </c>
      <c r="M7" s="37" t="n"/>
      <c r="N7" s="37" t="n"/>
    </row>
    <row r="8">
      <c r="A8" s="37" t="n"/>
      <c r="B8" s="24" t="inlineStr">
        <is>
          <t>Water + Regroup</t>
        </is>
      </c>
      <c r="C8" s="48" t="n">
        <v>0</v>
      </c>
      <c r="D8" s="48" t="n">
        <v>10</v>
      </c>
      <c r="E8" s="49">
        <f>IF($B8="","",$E7+$D7+$C8)</f>
        <v/>
      </c>
      <c r="F8" s="24" t="inlineStr">
        <is>
          <t>Team + liaisons</t>
        </is>
      </c>
      <c r="G8" s="24" t="inlineStr"/>
      <c r="H8" s="48" t="n"/>
      <c r="I8" s="48" t="inlineStr">
        <is>
          <t>Y</t>
        </is>
      </c>
      <c r="J8" s="49">
        <f>IF($B8="","",$E8+$D8)</f>
        <v/>
      </c>
      <c r="K8" s="24" t="inlineStr">
        <is>
          <t>IU Auditorium</t>
        </is>
      </c>
      <c r="L8" s="24" t="inlineStr">
        <is>
          <t>Lobby</t>
        </is>
      </c>
      <c r="M8" s="37" t="n"/>
      <c r="N8" s="37" t="n"/>
    </row>
    <row r="9">
      <c r="A9" s="37" t="n"/>
      <c r="B9" s="24" t="inlineStr">
        <is>
          <t>Walk to Off-Stage</t>
        </is>
      </c>
      <c r="C9" s="48" t="n">
        <v>0</v>
      </c>
      <c r="D9" s="48" t="n">
        <v>15</v>
      </c>
      <c r="E9" s="49">
        <f>IF($B9="","",$E8+$D8+$C9)</f>
        <v/>
      </c>
      <c r="F9" s="24" t="inlineStr">
        <is>
          <t>Team + liaisons</t>
        </is>
      </c>
      <c r="G9" s="24" t="inlineStr"/>
      <c r="H9" s="48" t="n"/>
      <c r="I9" s="48" t="n"/>
      <c r="J9" s="49">
        <f>IF($B9="","",$E9+$D9)</f>
        <v/>
      </c>
      <c r="K9" s="24" t="inlineStr">
        <is>
          <t>In transit</t>
        </is>
      </c>
      <c r="L9" s="24" t="inlineStr">
        <is>
          <t>Walking</t>
        </is>
      </c>
      <c r="M9" s="37" t="n"/>
      <c r="N9" s="37" t="n"/>
    </row>
    <row r="10">
      <c r="A10" s="37" t="n"/>
      <c r="B10" s="24" t="inlineStr">
        <is>
          <t>Off-Stage Rehearsal</t>
        </is>
      </c>
      <c r="C10" s="48" t="n">
        <v>0</v>
      </c>
      <c r="D10" s="48" t="n">
        <v>20</v>
      </c>
      <c r="E10" s="49">
        <f>IF($B10="","",$E9+$D9+$C10)</f>
        <v/>
      </c>
      <c r="F10" s="24" t="inlineStr">
        <is>
          <t>Team + liaisons</t>
        </is>
      </c>
      <c r="G10" s="24" t="inlineStr">
        <is>
          <t>FIELDHOUSE FLOOR</t>
        </is>
      </c>
      <c r="H10" s="48" t="n">
        <v>1</v>
      </c>
      <c r="I10" s="48" t="n"/>
      <c r="J10" s="49">
        <f>IF($B10="","",$E10+$D10)</f>
        <v/>
      </c>
      <c r="K10" s="24" t="inlineStr">
        <is>
          <t>Intramural Fieldhouse</t>
        </is>
      </c>
      <c r="L10" s="24" t="inlineStr"/>
      <c r="M10" s="37" t="n"/>
      <c r="N10" s="37" t="n"/>
    </row>
    <row r="11">
      <c r="A11" s="37" t="n"/>
      <c r="B11" s="24" t="inlineStr">
        <is>
          <t>Load Vans (return)</t>
        </is>
      </c>
      <c r="C11" s="48" t="n">
        <v>0</v>
      </c>
      <c r="D11" s="48" t="n">
        <v>10</v>
      </c>
      <c r="E11" s="49">
        <f>IF($B11="","",$E10+$D10+$C11)</f>
        <v/>
      </c>
      <c r="F11" s="24" t="inlineStr">
        <is>
          <t>Team + liaisons</t>
        </is>
      </c>
      <c r="G11" s="24" t="inlineStr"/>
      <c r="H11" s="48" t="n"/>
      <c r="I11" s="48" t="n"/>
      <c r="J11" s="49">
        <f>IF($B11="","",$E11+$D11)</f>
        <v/>
      </c>
      <c r="K11" s="24" t="inlineStr">
        <is>
          <t>Intramural Fieldhouse</t>
        </is>
      </c>
      <c r="L11" s="24" t="inlineStr"/>
      <c r="M11" s="37" t="n"/>
      <c r="N11" s="37" t="n"/>
    </row>
    <row r="12">
      <c r="A12" s="37" t="n"/>
      <c r="B12" s="24" t="inlineStr">
        <is>
          <t>Leave Fieldhouse</t>
        </is>
      </c>
      <c r="C12" s="48" t="n">
        <v>0</v>
      </c>
      <c r="D12" s="48" t="n">
        <v>15</v>
      </c>
      <c r="E12" s="49">
        <f>IF($B12="","",$E11+$D11+$C12)</f>
        <v/>
      </c>
      <c r="F12" s="24" t="inlineStr">
        <is>
          <t>Team + liaisons</t>
        </is>
      </c>
      <c r="G12" s="24" t="inlineStr"/>
      <c r="H12" s="48" t="n"/>
      <c r="I12" s="48" t="n"/>
      <c r="J12" s="49">
        <f>IF($B12="","",$E12+$D12)</f>
        <v/>
      </c>
      <c r="K12" s="24" t="inlineStr">
        <is>
          <t>In transit</t>
        </is>
      </c>
      <c r="L12" s="24" t="inlineStr"/>
      <c r="M12" s="37" t="n"/>
      <c r="N12" s="37" t="n"/>
    </row>
    <row r="13">
      <c r="A13" s="37" t="n"/>
      <c r="B13" s="21" t="n"/>
      <c r="C13" s="21" t="n"/>
      <c r="D13" s="21" t="n"/>
      <c r="E13" s="49">
        <f>IF($B13="","",$E12+$D12+$C13)</f>
        <v/>
      </c>
      <c r="F13" s="21" t="n"/>
      <c r="G13" s="21" t="n"/>
      <c r="H13" s="21" t="n"/>
      <c r="I13" s="21" t="n"/>
      <c r="J13" s="49">
        <f>IF($B13="","",$E13+$D13)</f>
        <v/>
      </c>
      <c r="K13" s="21" t="n"/>
      <c r="L13" s="21" t="n"/>
      <c r="M13" s="37" t="n"/>
      <c r="N13" s="37" t="n"/>
    </row>
    <row r="14">
      <c r="A14" s="37" t="n"/>
      <c r="B14" s="21" t="n"/>
      <c r="C14" s="21" t="n"/>
      <c r="D14" s="21" t="n"/>
      <c r="E14" s="49">
        <f>IF($B14="","",$E13+$D13+$C14)</f>
        <v/>
      </c>
      <c r="F14" s="21" t="n"/>
      <c r="G14" s="21" t="n"/>
      <c r="H14" s="21" t="n"/>
      <c r="I14" s="21" t="n"/>
      <c r="J14" s="49">
        <f>IF($B14="","",$E14+$D14)</f>
        <v/>
      </c>
      <c r="K14" s="21" t="n"/>
      <c r="L14" s="21" t="n"/>
      <c r="M14" s="37" t="n"/>
      <c r="N14" s="37" t="n"/>
    </row>
    <row r="15">
      <c r="A15" s="38" t="n"/>
      <c r="B15" s="21" t="n"/>
      <c r="C15" s="21" t="n"/>
      <c r="D15" s="21" t="n"/>
      <c r="E15" s="49">
        <f>IF($B15="","",$E14+$D14+$C15)</f>
        <v/>
      </c>
      <c r="F15" s="21" t="n"/>
      <c r="G15" s="21" t="n"/>
      <c r="H15" s="21" t="n"/>
      <c r="I15" s="21" t="n"/>
      <c r="J15" s="49">
        <f>IF($B15="","",$E15+$D15)</f>
        <v/>
      </c>
      <c r="K15" s="21" t="n"/>
      <c r="L15" s="21" t="n"/>
      <c r="M15" s="38" t="n"/>
      <c r="N15" s="38" t="n"/>
    </row>
    <row r="16">
      <c r="A16" s="41" t="inlineStr">
        <is>
          <t>Saturday Photos</t>
        </is>
      </c>
      <c r="B16" s="24" t="inlineStr">
        <is>
          <t>Staircase (Team Boomerang)</t>
        </is>
      </c>
      <c r="C16" s="48" t="n">
        <v>0</v>
      </c>
      <c r="D16" s="48" t="n">
        <v>5</v>
      </c>
      <c r="E16" s="49">
        <f>IF($B16="","",$C16)</f>
        <v/>
      </c>
      <c r="F16" s="24" t="inlineStr">
        <is>
          <t>Team + liaisons</t>
        </is>
      </c>
      <c r="G16" s="24" t="inlineStr">
        <is>
          <t>STAIRCASE</t>
        </is>
      </c>
      <c r="H16" s="48" t="n">
        <v>1</v>
      </c>
      <c r="I16" s="48" t="n"/>
      <c r="J16" s="49">
        <f>IF($B16="","",$E16+$D16)</f>
        <v/>
      </c>
      <c r="K16" s="24" t="inlineStr">
        <is>
          <t>IU Auditorium</t>
        </is>
      </c>
      <c r="L16" s="24" t="inlineStr">
        <is>
          <t>Staircase</t>
        </is>
      </c>
      <c r="M16" s="48" t="inlineStr">
        <is>
          <t>Saturday</t>
        </is>
      </c>
      <c r="N16" s="50" t="inlineStr">
        <is>
          <t>that team's staircase photo time</t>
        </is>
      </c>
    </row>
    <row r="17">
      <c r="A17" s="37" t="n"/>
      <c r="B17" s="24" t="inlineStr">
        <is>
          <t>Balcony (Team Photo)</t>
        </is>
      </c>
      <c r="C17" s="48" t="n">
        <v>0</v>
      </c>
      <c r="D17" s="48" t="n">
        <v>5</v>
      </c>
      <c r="E17" s="49">
        <f>IF($B17="","",$E16+$D16+$C17)</f>
        <v/>
      </c>
      <c r="F17" s="24" t="inlineStr">
        <is>
          <t>Team + liaisons</t>
        </is>
      </c>
      <c r="G17" s="24" t="inlineStr">
        <is>
          <t>BALCONY</t>
        </is>
      </c>
      <c r="H17" s="48" t="n">
        <v>1</v>
      </c>
      <c r="I17" s="48" t="n"/>
      <c r="J17" s="49">
        <f>IF($B17="","",$E17+$D17)</f>
        <v/>
      </c>
      <c r="K17" s="24" t="inlineStr">
        <is>
          <t>IU Auditorium</t>
        </is>
      </c>
      <c r="L17" s="24" t="inlineStr">
        <is>
          <t>Balcony</t>
        </is>
      </c>
      <c r="M17" s="37" t="n"/>
      <c r="N17" s="37" t="n"/>
    </row>
    <row r="18">
      <c r="A18" s="37" t="n"/>
      <c r="B18" s="21" t="n"/>
      <c r="C18" s="21" t="n"/>
      <c r="D18" s="21" t="n"/>
      <c r="E18" s="49">
        <f>IF($B18="","",$E17+$D17+$C18)</f>
        <v/>
      </c>
      <c r="F18" s="21" t="n"/>
      <c r="G18" s="21" t="n"/>
      <c r="H18" s="21" t="n"/>
      <c r="I18" s="21" t="n"/>
      <c r="J18" s="49">
        <f>IF($B18="","",$E18+$D18)</f>
        <v/>
      </c>
      <c r="K18" s="21" t="n"/>
      <c r="L18" s="21" t="n"/>
      <c r="M18" s="37" t="n"/>
      <c r="N18" s="37" t="n"/>
    </row>
    <row r="19">
      <c r="A19" s="37" t="n"/>
      <c r="B19" s="21" t="n"/>
      <c r="C19" s="21" t="n"/>
      <c r="D19" s="21" t="n"/>
      <c r="E19" s="49">
        <f>IF($B19="","",$E18+$D18+$C19)</f>
        <v/>
      </c>
      <c r="F19" s="21" t="n"/>
      <c r="G19" s="21" t="n"/>
      <c r="H19" s="21" t="n"/>
      <c r="I19" s="21" t="n"/>
      <c r="J19" s="49">
        <f>IF($B19="","",$E19+$D19)</f>
        <v/>
      </c>
      <c r="K19" s="21" t="n"/>
      <c r="L19" s="21" t="n"/>
      <c r="M19" s="37" t="n"/>
      <c r="N19" s="37" t="n"/>
    </row>
    <row r="20">
      <c r="A20" s="37" t="n"/>
      <c r="B20" s="21" t="n"/>
      <c r="C20" s="21" t="n"/>
      <c r="D20" s="21" t="n"/>
      <c r="E20" s="49">
        <f>IF($B20="","",$E19+$D19+$C20)</f>
        <v/>
      </c>
      <c r="F20" s="21" t="n"/>
      <c r="G20" s="21" t="n"/>
      <c r="H20" s="21" t="n"/>
      <c r="I20" s="21" t="n"/>
      <c r="J20" s="49">
        <f>IF($B20="","",$E20+$D20)</f>
        <v/>
      </c>
      <c r="K20" s="21" t="n"/>
      <c r="L20" s="21" t="n"/>
      <c r="M20" s="37" t="n"/>
      <c r="N20" s="37" t="n"/>
    </row>
    <row r="21">
      <c r="A21" s="37" t="n"/>
      <c r="B21" s="21" t="n"/>
      <c r="C21" s="21" t="n"/>
      <c r="D21" s="21" t="n"/>
      <c r="E21" s="49">
        <f>IF($B21="","",$E20+$D20+$C21)</f>
        <v/>
      </c>
      <c r="F21" s="21" t="n"/>
      <c r="G21" s="21" t="n"/>
      <c r="H21" s="21" t="n"/>
      <c r="I21" s="21" t="n"/>
      <c r="J21" s="49">
        <f>IF($B21="","",$E21+$D21)</f>
        <v/>
      </c>
      <c r="K21" s="21" t="n"/>
      <c r="L21" s="21" t="n"/>
      <c r="M21" s="37" t="n"/>
      <c r="N21" s="37" t="n"/>
    </row>
    <row r="22">
      <c r="A22" s="37" t="n"/>
      <c r="B22" s="21" t="n"/>
      <c r="C22" s="21" t="n"/>
      <c r="D22" s="21" t="n"/>
      <c r="E22" s="49">
        <f>IF($B22="","",$E21+$D21+$C22)</f>
        <v/>
      </c>
      <c r="F22" s="21" t="n"/>
      <c r="G22" s="21" t="n"/>
      <c r="H22" s="21" t="n"/>
      <c r="I22" s="21" t="n"/>
      <c r="J22" s="49">
        <f>IF($B22="","",$E22+$D22)</f>
        <v/>
      </c>
      <c r="K22" s="21" t="n"/>
      <c r="L22" s="21" t="n"/>
      <c r="M22" s="37" t="n"/>
      <c r="N22" s="37" t="n"/>
    </row>
    <row r="23">
      <c r="A23" s="37" t="n"/>
      <c r="B23" s="21" t="n"/>
      <c r="C23" s="21" t="n"/>
      <c r="D23" s="21" t="n"/>
      <c r="E23" s="49">
        <f>IF($B23="","",$E22+$D22+$C23)</f>
        <v/>
      </c>
      <c r="F23" s="21" t="n"/>
      <c r="G23" s="21" t="n"/>
      <c r="H23" s="21" t="n"/>
      <c r="I23" s="21" t="n"/>
      <c r="J23" s="49">
        <f>IF($B23="","",$E23+$D23)</f>
        <v/>
      </c>
      <c r="K23" s="21" t="n"/>
      <c r="L23" s="21" t="n"/>
      <c r="M23" s="37" t="n"/>
      <c r="N23" s="37" t="n"/>
    </row>
    <row r="24">
      <c r="A24" s="37" t="n"/>
      <c r="B24" s="21" t="n"/>
      <c r="C24" s="21" t="n"/>
      <c r="D24" s="21" t="n"/>
      <c r="E24" s="49">
        <f>IF($B24="","",$E23+$D23+$C24)</f>
        <v/>
      </c>
      <c r="F24" s="21" t="n"/>
      <c r="G24" s="21" t="n"/>
      <c r="H24" s="21" t="n"/>
      <c r="I24" s="21" t="n"/>
      <c r="J24" s="49">
        <f>IF($B24="","",$E24+$D24)</f>
        <v/>
      </c>
      <c r="K24" s="21" t="n"/>
      <c r="L24" s="21" t="n"/>
      <c r="M24" s="37" t="n"/>
      <c r="N24" s="37" t="n"/>
    </row>
    <row r="25">
      <c r="A25" s="37" t="n"/>
      <c r="B25" s="21" t="n"/>
      <c r="C25" s="21" t="n"/>
      <c r="D25" s="21" t="n"/>
      <c r="E25" s="49">
        <f>IF($B25="","",$E24+$D24+$C25)</f>
        <v/>
      </c>
      <c r="F25" s="21" t="n"/>
      <c r="G25" s="21" t="n"/>
      <c r="H25" s="21" t="n"/>
      <c r="I25" s="21" t="n"/>
      <c r="J25" s="49">
        <f>IF($B25="","",$E25+$D25)</f>
        <v/>
      </c>
      <c r="K25" s="21" t="n"/>
      <c r="L25" s="21" t="n"/>
      <c r="M25" s="37" t="n"/>
      <c r="N25" s="37" t="n"/>
    </row>
    <row r="26">
      <c r="A26" s="37" t="n"/>
      <c r="B26" s="21" t="n"/>
      <c r="C26" s="21" t="n"/>
      <c r="D26" s="21" t="n"/>
      <c r="E26" s="49">
        <f>IF($B26="","",$E25+$D25+$C26)</f>
        <v/>
      </c>
      <c r="F26" s="21" t="n"/>
      <c r="G26" s="21" t="n"/>
      <c r="H26" s="21" t="n"/>
      <c r="I26" s="21" t="n"/>
      <c r="J26" s="49">
        <f>IF($B26="","",$E26+$D26)</f>
        <v/>
      </c>
      <c r="K26" s="21" t="n"/>
      <c r="L26" s="21" t="n"/>
      <c r="M26" s="37" t="n"/>
      <c r="N26" s="37" t="n"/>
    </row>
    <row r="27">
      <c r="A27" s="37" t="n"/>
      <c r="B27" s="21" t="n"/>
      <c r="C27" s="21" t="n"/>
      <c r="D27" s="21" t="n"/>
      <c r="E27" s="49">
        <f>IF($B27="","",$E26+$D26+$C27)</f>
        <v/>
      </c>
      <c r="F27" s="21" t="n"/>
      <c r="G27" s="21" t="n"/>
      <c r="H27" s="21" t="n"/>
      <c r="I27" s="21" t="n"/>
      <c r="J27" s="49">
        <f>IF($B27="","",$E27+$D27)</f>
        <v/>
      </c>
      <c r="K27" s="21" t="n"/>
      <c r="L27" s="21" t="n"/>
      <c r="M27" s="37" t="n"/>
      <c r="N27" s="37" t="n"/>
    </row>
    <row r="28">
      <c r="A28" s="37" t="n"/>
      <c r="B28" s="21" t="n"/>
      <c r="C28" s="21" t="n"/>
      <c r="D28" s="21" t="n"/>
      <c r="E28" s="49">
        <f>IF($B28="","",$E27+$D27+$C28)</f>
        <v/>
      </c>
      <c r="F28" s="21" t="n"/>
      <c r="G28" s="21" t="n"/>
      <c r="H28" s="21" t="n"/>
      <c r="I28" s="21" t="n"/>
      <c r="J28" s="49">
        <f>IF($B28="","",$E28+$D28)</f>
        <v/>
      </c>
      <c r="K28" s="21" t="n"/>
      <c r="L28" s="21" t="n"/>
      <c r="M28" s="37" t="n"/>
      <c r="N28" s="37" t="n"/>
    </row>
    <row r="29">
      <c r="A29" s="38" t="n"/>
      <c r="B29" s="21" t="n"/>
      <c r="C29" s="21" t="n"/>
      <c r="D29" s="21" t="n"/>
      <c r="E29" s="49">
        <f>IF($B29="","",$E28+$D28+$C29)</f>
        <v/>
      </c>
      <c r="F29" s="21" t="n"/>
      <c r="G29" s="21" t="n"/>
      <c r="H29" s="21" t="n"/>
      <c r="I29" s="21" t="n"/>
      <c r="J29" s="49">
        <f>IF($B29="","",$E29+$D29)</f>
        <v/>
      </c>
      <c r="K29" s="21" t="n"/>
      <c r="L29" s="21" t="n"/>
      <c r="M29" s="38" t="n"/>
      <c r="N29" s="38" t="n"/>
    </row>
    <row r="30">
      <c r="A30" s="41" t="inlineStr">
        <is>
          <t>Show Backstage</t>
        </is>
      </c>
      <c r="B30" s="24" t="inlineStr">
        <is>
          <t>Collect from Seats</t>
        </is>
      </c>
      <c r="C30" s="48" t="n">
        <v>-50</v>
      </c>
      <c r="D30" s="48" t="n">
        <v>5</v>
      </c>
      <c r="E30" s="49">
        <f>IF($B30="","",$C30)</f>
        <v/>
      </c>
      <c r="F30" s="24" t="inlineStr">
        <is>
          <t>Team + liaisons</t>
        </is>
      </c>
      <c r="G30" s="24" t="inlineStr"/>
      <c r="H30" s="48" t="n"/>
      <c r="I30" s="48" t="n"/>
      <c r="J30" s="49">
        <f>IF($B30="","",$E30+$D30)</f>
        <v/>
      </c>
      <c r="K30" s="24" t="inlineStr">
        <is>
          <t>IU Auditorium</t>
        </is>
      </c>
      <c r="L30" s="24" t="inlineStr">
        <is>
          <t>House</t>
        </is>
      </c>
      <c r="M30" s="48" t="inlineStr">
        <is>
          <t>Saturday</t>
        </is>
      </c>
      <c r="N30" s="50" t="inlineStr">
        <is>
          <t>that team's ON STAGE time  (negative offsets happen before it)</t>
        </is>
      </c>
    </row>
    <row r="31">
      <c r="A31" s="37" t="n"/>
      <c r="B31" s="24" t="inlineStr">
        <is>
          <t>Walk to Warm-Up</t>
        </is>
      </c>
      <c r="C31" s="48" t="n">
        <v>0</v>
      </c>
      <c r="D31" s="48" t="n">
        <v>5</v>
      </c>
      <c r="E31" s="49">
        <f>IF($B31="","",$E30+$D30+$C31)</f>
        <v/>
      </c>
      <c r="F31" s="24" t="inlineStr">
        <is>
          <t>Team + liaisons</t>
        </is>
      </c>
      <c r="G31" s="24" t="inlineStr"/>
      <c r="H31" s="48" t="n"/>
      <c r="I31" s="48" t="n"/>
      <c r="J31" s="49">
        <f>IF($B31="","",$E31+$D31)</f>
        <v/>
      </c>
      <c r="K31" s="24" t="inlineStr">
        <is>
          <t>IU Auditorium</t>
        </is>
      </c>
      <c r="L31" s="24" t="inlineStr"/>
      <c r="M31" s="37" t="n"/>
      <c r="N31" s="37" t="n"/>
    </row>
    <row r="32">
      <c r="A32" s="37" t="n"/>
      <c r="B32" s="24" t="inlineStr">
        <is>
          <t>WARM-UP</t>
        </is>
      </c>
      <c r="C32" s="48" t="n">
        <v>0</v>
      </c>
      <c r="D32" s="48" t="n">
        <v>20</v>
      </c>
      <c r="E32" s="49">
        <f>IF($B32="","",$E31+$D31+$C32)</f>
        <v/>
      </c>
      <c r="F32" s="24" t="inlineStr">
        <is>
          <t>Team + liaisons</t>
        </is>
      </c>
      <c r="G32" s="24" t="inlineStr">
        <is>
          <t>WARM-UP ROOM</t>
        </is>
      </c>
      <c r="H32" s="48" t="n">
        <v>2</v>
      </c>
      <c r="I32" s="48" t="inlineStr">
        <is>
          <t>Y</t>
        </is>
      </c>
      <c r="J32" s="49">
        <f>IF($B32="","",$E32+$D32)</f>
        <v/>
      </c>
      <c r="K32" s="24" t="inlineStr">
        <is>
          <t>IU Auditorium</t>
        </is>
      </c>
      <c r="L32" s="24" t="inlineStr">
        <is>
          <t>Warm-Up Room</t>
        </is>
      </c>
      <c r="M32" s="37" t="n"/>
      <c r="N32" s="37" t="n"/>
    </row>
    <row r="33">
      <c r="A33" s="37" t="n"/>
      <c r="B33" s="24" t="inlineStr">
        <is>
          <t>Dressing / Costume</t>
        </is>
      </c>
      <c r="C33" s="48" t="n">
        <v>0</v>
      </c>
      <c r="D33" s="48" t="n">
        <v>10</v>
      </c>
      <c r="E33" s="49">
        <f>IF($B33="","",$E32+$D32+$C33)</f>
        <v/>
      </c>
      <c r="F33" s="24" t="inlineStr">
        <is>
          <t>Team + liaisons</t>
        </is>
      </c>
      <c r="G33" s="24" t="inlineStr">
        <is>
          <t>DRESSING ROOM</t>
        </is>
      </c>
      <c r="H33" s="48" t="n">
        <v>2</v>
      </c>
      <c r="I33" s="48" t="n"/>
      <c r="J33" s="49">
        <f>IF($B33="","",$E33+$D33)</f>
        <v/>
      </c>
      <c r="K33" s="24" t="inlineStr">
        <is>
          <t>IU Auditorium</t>
        </is>
      </c>
      <c r="L33" s="24" t="inlineStr">
        <is>
          <t>Dressing Room</t>
        </is>
      </c>
      <c r="M33" s="37" t="n"/>
      <c r="N33" s="37" t="n"/>
    </row>
    <row r="34">
      <c r="A34" s="37" t="n"/>
      <c r="B34" s="24" t="inlineStr">
        <is>
          <t>Pre-Prop</t>
        </is>
      </c>
      <c r="C34" s="48" t="n">
        <v>0</v>
      </c>
      <c r="D34" s="48" t="n">
        <v>10</v>
      </c>
      <c r="E34" s="49">
        <f>IF($B34="","",$E33+$D33+$C34)</f>
        <v/>
      </c>
      <c r="F34" s="24" t="inlineStr">
        <is>
          <t>Team + liaisons</t>
        </is>
      </c>
      <c r="G34" s="24" t="inlineStr">
        <is>
          <t>PRE-PROP</t>
        </is>
      </c>
      <c r="H34" s="48" t="n">
        <v>2</v>
      </c>
      <c r="I34" s="48" t="n"/>
      <c r="J34" s="49">
        <f>IF($B34="","",$E34+$D34)</f>
        <v/>
      </c>
      <c r="K34" s="24" t="inlineStr">
        <is>
          <t>IU Auditorium</t>
        </is>
      </c>
      <c r="L34" s="24" t="inlineStr">
        <is>
          <t>Pre-Prop</t>
        </is>
      </c>
      <c r="M34" s="37" t="n"/>
      <c r="N34" s="37" t="n"/>
    </row>
    <row r="35">
      <c r="A35" s="37" t="n"/>
      <c r="B35" s="24" t="inlineStr">
        <is>
          <t>ON STAGE</t>
        </is>
      </c>
      <c r="C35" s="48" t="n">
        <v>0</v>
      </c>
      <c r="D35" s="48" t="n">
        <v>10</v>
      </c>
      <c r="E35" s="49">
        <f>IF($B35="","",$E34+$D34+$C35)</f>
        <v/>
      </c>
      <c r="F35" s="24" t="inlineStr">
        <is>
          <t>Team</t>
        </is>
      </c>
      <c r="G35" s="24" t="inlineStr">
        <is>
          <t>SHOW STAGE</t>
        </is>
      </c>
      <c r="H35" s="48" t="n">
        <v>1</v>
      </c>
      <c r="I35" s="48" t="n"/>
      <c r="J35" s="49">
        <f>IF($B35="","",$E35+$D35)</f>
        <v/>
      </c>
      <c r="K35" s="24" t="inlineStr">
        <is>
          <t>IU Auditorium</t>
        </is>
      </c>
      <c r="L35" s="24" t="inlineStr">
        <is>
          <t>Stage</t>
        </is>
      </c>
      <c r="M35" s="37" t="n"/>
      <c r="N35" s="37" t="n"/>
    </row>
    <row r="36">
      <c r="A36" s="37" t="n"/>
      <c r="B36" s="24" t="inlineStr">
        <is>
          <t>Post-Prop to Audience</t>
        </is>
      </c>
      <c r="C36" s="48" t="n">
        <v>0</v>
      </c>
      <c r="D36" s="48" t="n">
        <v>10</v>
      </c>
      <c r="E36" s="49">
        <f>IF($B36="","",$E35+$D35+$C36)</f>
        <v/>
      </c>
      <c r="F36" s="24" t="inlineStr">
        <is>
          <t>Team + liaisons</t>
        </is>
      </c>
      <c r="G36" s="24" t="inlineStr">
        <is>
          <t>POST-PROP</t>
        </is>
      </c>
      <c r="H36" s="48" t="n">
        <v>2</v>
      </c>
      <c r="I36" s="48" t="n"/>
      <c r="J36" s="49">
        <f>IF($B36="","",$E36+$D36)</f>
        <v/>
      </c>
      <c r="K36" s="24" t="inlineStr">
        <is>
          <t>IU Auditorium</t>
        </is>
      </c>
      <c r="L36" s="24" t="inlineStr">
        <is>
          <t>Post-Prop</t>
        </is>
      </c>
      <c r="M36" s="37" t="n"/>
      <c r="N36" s="37" t="n"/>
    </row>
    <row r="37">
      <c r="A37" s="37" t="n"/>
      <c r="B37" s="21" t="n"/>
      <c r="C37" s="21" t="n"/>
      <c r="D37" s="21" t="n"/>
      <c r="E37" s="49">
        <f>IF($B37="","",$E36+$D36+$C37)</f>
        <v/>
      </c>
      <c r="F37" s="21" t="n"/>
      <c r="G37" s="21" t="n"/>
      <c r="H37" s="21" t="n"/>
      <c r="I37" s="21" t="n"/>
      <c r="J37" s="49">
        <f>IF($B37="","",$E37+$D37)</f>
        <v/>
      </c>
      <c r="K37" s="21" t="n"/>
      <c r="L37" s="21" t="n"/>
      <c r="M37" s="37" t="n"/>
      <c r="N37" s="37" t="n"/>
    </row>
    <row r="38">
      <c r="A38" s="37" t="n"/>
      <c r="B38" s="21" t="n"/>
      <c r="C38" s="21" t="n"/>
      <c r="D38" s="21" t="n"/>
      <c r="E38" s="49">
        <f>IF($B38="","",$E37+$D37+$C38)</f>
        <v/>
      </c>
      <c r="F38" s="21" t="n"/>
      <c r="G38" s="21" t="n"/>
      <c r="H38" s="21" t="n"/>
      <c r="I38" s="21" t="n"/>
      <c r="J38" s="49">
        <f>IF($B38="","",$E38+$D38)</f>
        <v/>
      </c>
      <c r="K38" s="21" t="n"/>
      <c r="L38" s="21" t="n"/>
      <c r="M38" s="37" t="n"/>
      <c r="N38" s="37" t="n"/>
    </row>
    <row r="39">
      <c r="A39" s="37" t="n"/>
      <c r="B39" s="21" t="n"/>
      <c r="C39" s="21" t="n"/>
      <c r="D39" s="21" t="n"/>
      <c r="E39" s="49">
        <f>IF($B39="","",$E38+$D38+$C39)</f>
        <v/>
      </c>
      <c r="F39" s="21" t="n"/>
      <c r="G39" s="21" t="n"/>
      <c r="H39" s="21" t="n"/>
      <c r="I39" s="21" t="n"/>
      <c r="J39" s="49">
        <f>IF($B39="","",$E39+$D39)</f>
        <v/>
      </c>
      <c r="K39" s="21" t="n"/>
      <c r="L39" s="21" t="n"/>
      <c r="M39" s="37" t="n"/>
      <c r="N39" s="37" t="n"/>
    </row>
    <row r="40">
      <c r="A40" s="37" t="n"/>
      <c r="B40" s="21" t="n"/>
      <c r="C40" s="21" t="n"/>
      <c r="D40" s="21" t="n"/>
      <c r="E40" s="49">
        <f>IF($B40="","",$E39+$D39+$C40)</f>
        <v/>
      </c>
      <c r="F40" s="21" t="n"/>
      <c r="G40" s="21" t="n"/>
      <c r="H40" s="21" t="n"/>
      <c r="I40" s="21" t="n"/>
      <c r="J40" s="49">
        <f>IF($B40="","",$E40+$D40)</f>
        <v/>
      </c>
      <c r="K40" s="21" t="n"/>
      <c r="L40" s="21" t="n"/>
      <c r="M40" s="37" t="n"/>
      <c r="N40" s="37" t="n"/>
    </row>
    <row r="41">
      <c r="A41" s="37" t="n"/>
      <c r="B41" s="21" t="n"/>
      <c r="C41" s="21" t="n"/>
      <c r="D41" s="21" t="n"/>
      <c r="E41" s="49">
        <f>IF($B41="","",$E40+$D40+$C41)</f>
        <v/>
      </c>
      <c r="F41" s="21" t="n"/>
      <c r="G41" s="21" t="n"/>
      <c r="H41" s="21" t="n"/>
      <c r="I41" s="21" t="n"/>
      <c r="J41" s="49">
        <f>IF($B41="","",$E41+$D41)</f>
        <v/>
      </c>
      <c r="K41" s="21" t="n"/>
      <c r="L41" s="21" t="n"/>
      <c r="M41" s="37" t="n"/>
      <c r="N41" s="37" t="n"/>
    </row>
    <row r="42">
      <c r="A42" s="37" t="n"/>
      <c r="B42" s="21" t="n"/>
      <c r="C42" s="21" t="n"/>
      <c r="D42" s="21" t="n"/>
      <c r="E42" s="49">
        <f>IF($B42="","",$E41+$D41+$C42)</f>
        <v/>
      </c>
      <c r="F42" s="21" t="n"/>
      <c r="G42" s="21" t="n"/>
      <c r="H42" s="21" t="n"/>
      <c r="I42" s="21" t="n"/>
      <c r="J42" s="49">
        <f>IF($B42="","",$E42+$D42)</f>
        <v/>
      </c>
      <c r="K42" s="21" t="n"/>
      <c r="L42" s="21" t="n"/>
      <c r="M42" s="37" t="n"/>
      <c r="N42" s="37" t="n"/>
    </row>
    <row r="43">
      <c r="A43" s="38" t="n"/>
      <c r="B43" s="21" t="n"/>
      <c r="C43" s="21" t="n"/>
      <c r="D43" s="21" t="n"/>
      <c r="E43" s="49">
        <f>IF($B43="","",$E42+$D42+$C43)</f>
        <v/>
      </c>
      <c r="F43" s="21" t="n"/>
      <c r="G43" s="21" t="n"/>
      <c r="H43" s="21" t="n"/>
      <c r="I43" s="21" t="n"/>
      <c r="J43" s="49">
        <f>IF($B43="","",$E43+$D43)</f>
        <v/>
      </c>
      <c r="K43" s="21" t="n"/>
      <c r="L43" s="21" t="n"/>
      <c r="M43" s="38" t="n"/>
      <c r="N43" s="38" t="n"/>
    </row>
    <row r="45">
      <c r="A45" s="23" t="inlineStr">
        <is>
          <t>Offset and Ends-at are CALCULATED. Each step starts when the one before it ends.</t>
        </is>
      </c>
    </row>
    <row r="46">
      <c r="A46" s="23" t="inlineStr">
        <is>
          <t>Shared space — name the room only if teams have to take turns in it. How many fit says how many teams can be in there at once. The Checks tab uses both to warn you.</t>
        </is>
      </c>
    </row>
    <row r="47">
      <c r="A47" s="23" t="inlineStr">
        <is>
          <t>Break? — mark Y on steps that are a genuine rest. The Checks tab counts them per team.</t>
        </is>
      </c>
    </row>
  </sheetData>
  <mergeCells count="9">
    <mergeCell ref="A30:A43"/>
    <mergeCell ref="A16:A29"/>
    <mergeCell ref="M16:M29"/>
    <mergeCell ref="M30:M43"/>
    <mergeCell ref="N30:N43"/>
    <mergeCell ref="N16:N29"/>
    <mergeCell ref="M2:M15"/>
    <mergeCell ref="A2:A15"/>
    <mergeCell ref="N2:N15"/>
  </mergeCells>
  <dataValidations count="2">
    <dataValidation sqref="F2:F43" showDropDown="0" showInputMessage="0" showErrorMessage="0" allowBlank="1" type="list">
      <formula1>"Team,Team + liaisons"</formula1>
    </dataValidation>
    <dataValidation sqref="I2:I43" showDropDown="0" showInputMessage="0" showErrorMessage="0" allowBlank="1" type="list">
      <formula1>"Y"</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 customWidth="1" min="2" max="2"/>
    <col width="13" customWidth="1" min="3" max="3"/>
    <col width="12" customWidth="1" min="4" max="4"/>
    <col width="13" customWidth="1" min="5" max="5"/>
    <col width="9" customWidth="1" min="6" max="6"/>
    <col width="10" customWidth="1" min="7" max="7"/>
    <col width="15" customWidth="1" min="8" max="8"/>
    <col width="25" customWidth="1" min="9" max="9"/>
  </cols>
  <sheetData>
    <row r="1">
      <c r="A1" s="18" t="inlineStr">
        <is>
          <t>Sequence</t>
        </is>
      </c>
      <c r="B1" s="18" t="inlineStr">
        <is>
          <t>Slot</t>
        </is>
      </c>
      <c r="C1" s="18" t="inlineStr">
        <is>
          <t>Anchor</t>
        </is>
      </c>
      <c r="D1" s="18" t="inlineStr">
        <is>
          <t>Gap before</t>
        </is>
      </c>
      <c r="E1" s="18" t="inlineStr">
        <is>
          <t>Float before</t>
        </is>
      </c>
      <c r="F1" s="18" t="inlineStr">
        <is>
          <t>Adjust</t>
        </is>
      </c>
      <c r="G1" s="47" t="inlineStr">
        <is>
          <t>Real gap</t>
        </is>
      </c>
      <c r="H1" s="47" t="inlineStr">
        <is>
          <t>Reference time</t>
        </is>
      </c>
      <c r="I1" s="18" t="inlineStr">
        <is>
          <t>Team (from the draw)</t>
        </is>
      </c>
    </row>
    <row r="2">
      <c r="A2" s="41" t="inlineStr">
        <is>
          <t>Saturday Practice</t>
        </is>
      </c>
      <c r="B2" s="51" t="n">
        <v>1</v>
      </c>
      <c r="C2" s="52" t="n">
        <v>0.3020833333333333</v>
      </c>
      <c r="D2" s="53" t="n"/>
      <c r="E2" s="53" t="n"/>
      <c r="F2" s="25" t="n"/>
      <c r="G2" s="53" t="n"/>
      <c r="H2" s="54">
        <f>IF($C2="","",$C2+$F2/1440)</f>
        <v/>
      </c>
      <c r="I2" s="55">
        <f>IFERROR(INDEX(Teams!$B$2:$B$9,MATCH($B2,Teams!$D$2:$D$9,0)),"(not drawn)")</f>
        <v/>
      </c>
    </row>
    <row r="3">
      <c r="A3" s="37" t="n"/>
      <c r="B3" s="51" t="n">
        <v>2</v>
      </c>
      <c r="C3" s="53" t="n"/>
      <c r="D3" s="25" t="n">
        <v>30</v>
      </c>
      <c r="E3" s="25" t="n"/>
      <c r="F3" s="25" t="n"/>
      <c r="G3" s="49">
        <f>IF($D3="","",$D3+IF($E3="",0,$E3))</f>
        <v/>
      </c>
      <c r="H3" s="54">
        <f>IF(OR($H2="",$D3=""),"",$H2+($G3+IF($F3="",0,$F3))/1440)</f>
        <v/>
      </c>
      <c r="I3" s="55">
        <f>IFERROR(INDEX(Teams!$B$2:$B$9,MATCH($B3,Teams!$D$2:$D$9,0)),"(not drawn)")</f>
        <v/>
      </c>
    </row>
    <row r="4">
      <c r="A4" s="37" t="n"/>
      <c r="B4" s="51" t="n">
        <v>3</v>
      </c>
      <c r="C4" s="53" t="n"/>
      <c r="D4" s="25" t="n">
        <v>30</v>
      </c>
      <c r="E4" s="25" t="n">
        <v>15</v>
      </c>
      <c r="F4" s="25" t="n"/>
      <c r="G4" s="49">
        <f>IF($D4="","",$D4+IF($E4="",0,$E4))</f>
        <v/>
      </c>
      <c r="H4" s="54">
        <f>IF(OR($H3="",$D4=""),"",$H3+($G4+IF($F4="",0,$F4))/1440)</f>
        <v/>
      </c>
      <c r="I4" s="55">
        <f>IFERROR(INDEX(Teams!$B$2:$B$9,MATCH($B4,Teams!$D$2:$D$9,0)),"(not drawn)")</f>
        <v/>
      </c>
    </row>
    <row r="5">
      <c r="A5" s="37" t="n"/>
      <c r="B5" s="51" t="n">
        <v>4</v>
      </c>
      <c r="C5" s="53" t="n"/>
      <c r="D5" s="25" t="n">
        <v>30</v>
      </c>
      <c r="E5" s="25" t="n"/>
      <c r="F5" s="25" t="n"/>
      <c r="G5" s="49">
        <f>IF($D5="","",$D5+IF($E5="",0,$E5))</f>
        <v/>
      </c>
      <c r="H5" s="54">
        <f>IF(OR($H4="",$D5=""),"",$H4+($G5+IF($F5="",0,$F5))/1440)</f>
        <v/>
      </c>
      <c r="I5" s="55">
        <f>IFERROR(INDEX(Teams!$B$2:$B$9,MATCH($B5,Teams!$D$2:$D$9,0)),"(not drawn)")</f>
        <v/>
      </c>
    </row>
    <row r="6">
      <c r="A6" s="37" t="n"/>
      <c r="B6" s="51" t="n">
        <v>5</v>
      </c>
      <c r="C6" s="53" t="n"/>
      <c r="D6" s="25" t="n">
        <v>30</v>
      </c>
      <c r="E6" s="25" t="n">
        <v>25</v>
      </c>
      <c r="F6" s="25" t="n"/>
      <c r="G6" s="49">
        <f>IF($D6="","",$D6+IF($E6="",0,$E6))</f>
        <v/>
      </c>
      <c r="H6" s="54">
        <f>IF(OR($H5="",$D6=""),"",$H5+($G6+IF($F6="",0,$F6))/1440)</f>
        <v/>
      </c>
      <c r="I6" s="55">
        <f>IFERROR(INDEX(Teams!$B$2:$B$9,MATCH($B6,Teams!$D$2:$D$9,0)),"(not drawn)")</f>
        <v/>
      </c>
    </row>
    <row r="7">
      <c r="A7" s="37" t="n"/>
      <c r="B7" s="51" t="n">
        <v>6</v>
      </c>
      <c r="C7" s="53" t="n"/>
      <c r="D7" s="25" t="n">
        <v>30</v>
      </c>
      <c r="E7" s="25" t="n"/>
      <c r="F7" s="25" t="n"/>
      <c r="G7" s="49">
        <f>IF($D7="","",$D7+IF($E7="",0,$E7))</f>
        <v/>
      </c>
      <c r="H7" s="54">
        <f>IF(OR($H6="",$D7=""),"",$H6+($G7+IF($F7="",0,$F7))/1440)</f>
        <v/>
      </c>
      <c r="I7" s="55">
        <f>IFERROR(INDEX(Teams!$B$2:$B$9,MATCH($B7,Teams!$D$2:$D$9,0)),"(not drawn)")</f>
        <v/>
      </c>
    </row>
    <row r="8">
      <c r="A8" s="37" t="n"/>
      <c r="B8" s="51" t="n">
        <v>7</v>
      </c>
      <c r="C8" s="53" t="n"/>
      <c r="D8" s="25" t="n">
        <v>30</v>
      </c>
      <c r="E8" s="25" t="n">
        <v>15</v>
      </c>
      <c r="F8" s="25" t="n"/>
      <c r="G8" s="49">
        <f>IF($D8="","",$D8+IF($E8="",0,$E8))</f>
        <v/>
      </c>
      <c r="H8" s="54">
        <f>IF(OR($H7="",$D8=""),"",$H7+($G8+IF($F8="",0,$F8))/1440)</f>
        <v/>
      </c>
      <c r="I8" s="55">
        <f>IFERROR(INDEX(Teams!$B$2:$B$9,MATCH($B8,Teams!$D$2:$D$9,0)),"(not drawn)")</f>
        <v/>
      </c>
    </row>
    <row r="9">
      <c r="A9" s="38" t="n"/>
      <c r="B9" s="51" t="n">
        <v>8</v>
      </c>
      <c r="C9" s="53" t="n"/>
      <c r="D9" s="25" t="n">
        <v>30</v>
      </c>
      <c r="E9" s="25" t="n"/>
      <c r="F9" s="25" t="n"/>
      <c r="G9" s="49">
        <f>IF($D9="","",$D9+IF($E9="",0,$E9))</f>
        <v/>
      </c>
      <c r="H9" s="54">
        <f>IF(OR($H8="",$D9=""),"",$H8+($G9+IF($F9="",0,$F9))/1440)</f>
        <v/>
      </c>
      <c r="I9" s="55">
        <f>IFERROR(INDEX(Teams!$B$2:$B$9,MATCH($B9,Teams!$D$2:$D$9,0)),"(not drawn)")</f>
        <v/>
      </c>
    </row>
    <row r="10">
      <c r="A10" s="41" t="inlineStr">
        <is>
          <t>Saturday Photos</t>
        </is>
      </c>
      <c r="B10" s="51" t="n">
        <v>1</v>
      </c>
      <c r="C10" s="52" t="n">
        <v>0.59375</v>
      </c>
      <c r="D10" s="53" t="n"/>
      <c r="E10" s="53" t="n"/>
      <c r="F10" s="25" t="n"/>
      <c r="G10" s="53" t="n"/>
      <c r="H10" s="54">
        <f>IF($C10="","",$C10+$F10/1440)</f>
        <v/>
      </c>
      <c r="I10" s="55">
        <f>IFERROR(INDEX(Teams!$B$2:$B$9,MATCH($B10,Teams!$D$2:$D$9,0)),"(not drawn)")</f>
        <v/>
      </c>
    </row>
    <row r="11">
      <c r="A11" s="37" t="n"/>
      <c r="B11" s="51" t="n">
        <v>2</v>
      </c>
      <c r="C11" s="53" t="n"/>
      <c r="D11" s="25" t="n">
        <v>10</v>
      </c>
      <c r="E11" s="25" t="n"/>
      <c r="F11" s="25" t="n"/>
      <c r="G11" s="49">
        <f>IF($D11="","",$D11+IF($E11="",0,$E11))</f>
        <v/>
      </c>
      <c r="H11" s="54">
        <f>IF(OR($H10="",$D11=""),"",$H10+($G11+IF($F11="",0,$F11))/1440)</f>
        <v/>
      </c>
      <c r="I11" s="55">
        <f>IFERROR(INDEX(Teams!$B$2:$B$9,MATCH($B11,Teams!$D$2:$D$9,0)),"(not drawn)")</f>
        <v/>
      </c>
    </row>
    <row r="12">
      <c r="A12" s="37" t="n"/>
      <c r="B12" s="51" t="n">
        <v>3</v>
      </c>
      <c r="C12" s="53" t="n"/>
      <c r="D12" s="25" t="n">
        <v>10</v>
      </c>
      <c r="E12" s="25" t="n"/>
      <c r="F12" s="25" t="n"/>
      <c r="G12" s="49">
        <f>IF($D12="","",$D12+IF($E12="",0,$E12))</f>
        <v/>
      </c>
      <c r="H12" s="54">
        <f>IF(OR($H11="",$D12=""),"",$H11+($G12+IF($F12="",0,$F12))/1440)</f>
        <v/>
      </c>
      <c r="I12" s="55">
        <f>IFERROR(INDEX(Teams!$B$2:$B$9,MATCH($B12,Teams!$D$2:$D$9,0)),"(not drawn)")</f>
        <v/>
      </c>
    </row>
    <row r="13">
      <c r="A13" s="37" t="n"/>
      <c r="B13" s="51" t="n">
        <v>4</v>
      </c>
      <c r="C13" s="53" t="n"/>
      <c r="D13" s="25" t="n">
        <v>10</v>
      </c>
      <c r="E13" s="25" t="n"/>
      <c r="F13" s="25" t="n"/>
      <c r="G13" s="49">
        <f>IF($D13="","",$D13+IF($E13="",0,$E13))</f>
        <v/>
      </c>
      <c r="H13" s="54">
        <f>IF(OR($H12="",$D13=""),"",$H12+($G13+IF($F13="",0,$F13))/1440)</f>
        <v/>
      </c>
      <c r="I13" s="55">
        <f>IFERROR(INDEX(Teams!$B$2:$B$9,MATCH($B13,Teams!$D$2:$D$9,0)),"(not drawn)")</f>
        <v/>
      </c>
    </row>
    <row r="14">
      <c r="A14" s="37" t="n"/>
      <c r="B14" s="51" t="n">
        <v>5</v>
      </c>
      <c r="C14" s="53" t="n"/>
      <c r="D14" s="25" t="n">
        <v>10</v>
      </c>
      <c r="E14" s="25" t="n"/>
      <c r="F14" s="25" t="n"/>
      <c r="G14" s="49">
        <f>IF($D14="","",$D14+IF($E14="",0,$E14))</f>
        <v/>
      </c>
      <c r="H14" s="54">
        <f>IF(OR($H13="",$D14=""),"",$H13+($G14+IF($F14="",0,$F14))/1440)</f>
        <v/>
      </c>
      <c r="I14" s="55">
        <f>IFERROR(INDEX(Teams!$B$2:$B$9,MATCH($B14,Teams!$D$2:$D$9,0)),"(not drawn)")</f>
        <v/>
      </c>
    </row>
    <row r="15">
      <c r="A15" s="37" t="n"/>
      <c r="B15" s="51" t="n">
        <v>6</v>
      </c>
      <c r="C15" s="53" t="n"/>
      <c r="D15" s="25" t="n">
        <v>10</v>
      </c>
      <c r="E15" s="25" t="n"/>
      <c r="F15" s="25" t="n"/>
      <c r="G15" s="49">
        <f>IF($D15="","",$D15+IF($E15="",0,$E15))</f>
        <v/>
      </c>
      <c r="H15" s="54">
        <f>IF(OR($H14="",$D15=""),"",$H14+($G15+IF($F15="",0,$F15))/1440)</f>
        <v/>
      </c>
      <c r="I15" s="55">
        <f>IFERROR(INDEX(Teams!$B$2:$B$9,MATCH($B15,Teams!$D$2:$D$9,0)),"(not drawn)")</f>
        <v/>
      </c>
    </row>
    <row r="16">
      <c r="A16" s="37" t="n"/>
      <c r="B16" s="51" t="n">
        <v>7</v>
      </c>
      <c r="C16" s="53" t="n"/>
      <c r="D16" s="25" t="n">
        <v>10</v>
      </c>
      <c r="E16" s="25" t="n"/>
      <c r="F16" s="25" t="n"/>
      <c r="G16" s="49">
        <f>IF($D16="","",$D16+IF($E16="",0,$E16))</f>
        <v/>
      </c>
      <c r="H16" s="54">
        <f>IF(OR($H15="",$D16=""),"",$H15+($G16+IF($F16="",0,$F16))/1440)</f>
        <v/>
      </c>
      <c r="I16" s="55">
        <f>IFERROR(INDEX(Teams!$B$2:$B$9,MATCH($B16,Teams!$D$2:$D$9,0)),"(not drawn)")</f>
        <v/>
      </c>
    </row>
    <row r="17">
      <c r="A17" s="38" t="n"/>
      <c r="B17" s="51" t="n">
        <v>8</v>
      </c>
      <c r="C17" s="53" t="n"/>
      <c r="D17" s="25" t="n">
        <v>10</v>
      </c>
      <c r="E17" s="25" t="n"/>
      <c r="F17" s="25" t="n"/>
      <c r="G17" s="49">
        <f>IF($D17="","",$D17+IF($E17="",0,$E17))</f>
        <v/>
      </c>
      <c r="H17" s="54">
        <f>IF(OR($H16="",$D17=""),"",$H16+($G17+IF($F17="",0,$F17))/1440)</f>
        <v/>
      </c>
      <c r="I17" s="55">
        <f>IFERROR(INDEX(Teams!$B$2:$B$9,MATCH($B17,Teams!$D$2:$D$9,0)),"(not drawn)")</f>
        <v/>
      </c>
    </row>
    <row r="18">
      <c r="A18" s="41" t="inlineStr">
        <is>
          <t>Show Backstage</t>
        </is>
      </c>
      <c r="B18" s="51" t="n">
        <v>1</v>
      </c>
      <c r="C18" s="54">
        <f>Checks!$B$4</f>
        <v/>
      </c>
      <c r="D18" s="53" t="n"/>
      <c r="E18" s="53" t="n"/>
      <c r="F18" s="25" t="n"/>
      <c r="G18" s="53" t="n"/>
      <c r="H18" s="54">
        <f>IF($C18="","",$C18+$F18/1440)</f>
        <v/>
      </c>
      <c r="I18" s="55">
        <f>IFERROR(INDEX(Teams!$B$2:$B$9,MATCH($B18,Teams!$D$2:$D$9,0)),"(not drawn)")</f>
        <v/>
      </c>
    </row>
    <row r="19">
      <c r="A19" s="37" t="n"/>
      <c r="B19" s="51" t="n">
        <v>2</v>
      </c>
      <c r="C19" s="53" t="n"/>
      <c r="D19" s="25" t="n">
        <v>10</v>
      </c>
      <c r="E19" s="25" t="n"/>
      <c r="F19" s="25" t="n"/>
      <c r="G19" s="49">
        <f>IF($D19="","",$D19+IF($E19="",0,$E19))</f>
        <v/>
      </c>
      <c r="H19" s="54">
        <f>IF(OR($H18="",$D19=""),"",$H18+($G19+IF($F19="",0,$F19))/1440)</f>
        <v/>
      </c>
      <c r="I19" s="55">
        <f>IFERROR(INDEX(Teams!$B$2:$B$9,MATCH($B19,Teams!$D$2:$D$9,0)),"(not drawn)")</f>
        <v/>
      </c>
    </row>
    <row r="20">
      <c r="A20" s="37" t="n"/>
      <c r="B20" s="51" t="n">
        <v>3</v>
      </c>
      <c r="C20" s="53" t="n"/>
      <c r="D20" s="25" t="n">
        <v>10</v>
      </c>
      <c r="E20" s="25" t="n"/>
      <c r="F20" s="25" t="n"/>
      <c r="G20" s="49">
        <f>IF($D20="","",$D20+IF($E20="",0,$E20))</f>
        <v/>
      </c>
      <c r="H20" s="54">
        <f>IF(OR($H19="",$D20=""),"",$H19+($G20+IF($F20="",0,$F20))/1440)</f>
        <v/>
      </c>
      <c r="I20" s="55">
        <f>IFERROR(INDEX(Teams!$B$2:$B$9,MATCH($B20,Teams!$D$2:$D$9,0)),"(not drawn)")</f>
        <v/>
      </c>
    </row>
    <row r="21">
      <c r="A21" s="37" t="n"/>
      <c r="B21" s="51" t="n">
        <v>4</v>
      </c>
      <c r="C21" s="53" t="n"/>
      <c r="D21" s="25" t="n">
        <v>10</v>
      </c>
      <c r="E21" s="25" t="n"/>
      <c r="F21" s="25" t="n"/>
      <c r="G21" s="49">
        <f>IF($D21="","",$D21+IF($E21="",0,$E21))</f>
        <v/>
      </c>
      <c r="H21" s="54">
        <f>IF(OR($H20="",$D21=""),"",$H20+($G21+IF($F21="",0,$F21))/1440)</f>
        <v/>
      </c>
      <c r="I21" s="55">
        <f>IFERROR(INDEX(Teams!$B$2:$B$9,MATCH($B21,Teams!$D$2:$D$9,0)),"(not drawn)")</f>
        <v/>
      </c>
    </row>
    <row r="22">
      <c r="A22" s="37" t="n"/>
      <c r="B22" s="51" t="n">
        <v>5</v>
      </c>
      <c r="C22" s="53" t="n"/>
      <c r="D22" s="25" t="n">
        <v>10</v>
      </c>
      <c r="E22" s="25" t="n">
        <v>30</v>
      </c>
      <c r="F22" s="25" t="n"/>
      <c r="G22" s="49">
        <f>IF($D22="","",$D22+IF($E22="",0,$E22))</f>
        <v/>
      </c>
      <c r="H22" s="54">
        <f>IF(OR($H21="",$D22=""),"",$H21+($G22+IF($F22="",0,$F22))/1440)</f>
        <v/>
      </c>
      <c r="I22" s="55">
        <f>IFERROR(INDEX(Teams!$B$2:$B$9,MATCH($B22,Teams!$D$2:$D$9,0)),"(not drawn)")</f>
        <v/>
      </c>
    </row>
    <row r="23">
      <c r="A23" s="37" t="n"/>
      <c r="B23" s="51" t="n">
        <v>6</v>
      </c>
      <c r="C23" s="53" t="n"/>
      <c r="D23" s="25" t="n">
        <v>10</v>
      </c>
      <c r="E23" s="25" t="n"/>
      <c r="F23" s="25" t="n"/>
      <c r="G23" s="49">
        <f>IF($D23="","",$D23+IF($E23="",0,$E23))</f>
        <v/>
      </c>
      <c r="H23" s="54">
        <f>IF(OR($H22="",$D23=""),"",$H22+($G23+IF($F23="",0,$F23))/1440)</f>
        <v/>
      </c>
      <c r="I23" s="55">
        <f>IFERROR(INDEX(Teams!$B$2:$B$9,MATCH($B23,Teams!$D$2:$D$9,0)),"(not drawn)")</f>
        <v/>
      </c>
    </row>
    <row r="24">
      <c r="A24" s="37" t="n"/>
      <c r="B24" s="51" t="n">
        <v>7</v>
      </c>
      <c r="C24" s="53" t="n"/>
      <c r="D24" s="25" t="n">
        <v>10</v>
      </c>
      <c r="E24" s="25" t="n"/>
      <c r="F24" s="25" t="n"/>
      <c r="G24" s="49">
        <f>IF($D24="","",$D24+IF($E24="",0,$E24))</f>
        <v/>
      </c>
      <c r="H24" s="54">
        <f>IF(OR($H23="",$D24=""),"",$H23+($G24+IF($F24="",0,$F24))/1440)</f>
        <v/>
      </c>
      <c r="I24" s="55">
        <f>IFERROR(INDEX(Teams!$B$2:$B$9,MATCH($B24,Teams!$D$2:$D$9,0)),"(not drawn)")</f>
        <v/>
      </c>
    </row>
    <row r="25">
      <c r="A25" s="38" t="n"/>
      <c r="B25" s="51" t="n">
        <v>8</v>
      </c>
      <c r="C25" s="53" t="n"/>
      <c r="D25" s="25" t="n">
        <v>10</v>
      </c>
      <c r="E25" s="25" t="n"/>
      <c r="F25" s="25" t="n"/>
      <c r="G25" s="49">
        <f>IF($D25="","",$D25+IF($E25="",0,$E25))</f>
        <v/>
      </c>
      <c r="H25" s="54">
        <f>IF(OR($H24="",$D25=""),"",$H24+($G25+IF($F25="",0,$F25))/1440)</f>
        <v/>
      </c>
      <c r="I25" s="55">
        <f>IFERROR(INDEX(Teams!$B$2:$B$9,MATCH($B25,Teams!$D$2:$D$9,0)),"(not drawn)")</f>
        <v/>
      </c>
    </row>
    <row r="27">
      <c r="A27" s="23" t="inlineStr">
        <is>
          <t>Gap before is the normal spacing between teams. Float before is DELIBERATE SPARE TIME — it is how the day absorbs a team running long. Do not delete floats to save time; they are the reason a single overrun does not wreck the afternoon.</t>
        </is>
      </c>
    </row>
    <row r="28">
      <c r="A28" s="23" t="inlineStr">
        <is>
          <t>If the day runs on time, a float just becomes a longer break. Nothing is wasted.</t>
        </is>
      </c>
    </row>
    <row r="29">
      <c r="A29" s="23" t="inlineStr">
        <is>
          <t>Show Backstage has no typed anchor — it comes from the curtain time on the Checks tab.</t>
        </is>
      </c>
    </row>
    <row r="30">
      <c r="A30" s="23" t="inlineStr">
        <is>
          <t>RUNNING LATE?  Everyone — change the Anchor. One team ran long — raise the Float before the NEXT slot. Only one team — use its Adjust box.</t>
        </is>
      </c>
    </row>
  </sheetData>
  <mergeCells count="3">
    <mergeCell ref="A2:A9"/>
    <mergeCell ref="A10:A17"/>
    <mergeCell ref="A18:A2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2"/>
  <sheetViews>
    <sheetView workbookViewId="0">
      <pane ySplit="1" topLeftCell="A2" activePane="bottomLeft" state="frozen"/>
      <selection pane="bottomLeft" activeCell="A1" sqref="A1"/>
    </sheetView>
  </sheetViews>
  <sheetFormatPr baseColWidth="8" defaultRowHeight="15"/>
  <cols>
    <col width="6" customWidth="1" min="1" max="1"/>
    <col width="24" customWidth="1" min="2" max="2"/>
    <col width="22" customWidth="1" min="3" max="3"/>
    <col width="16" customWidth="1" min="4" max="4"/>
    <col width="12" customWidth="1" min="5" max="5"/>
    <col width="12" customWidth="1" min="6" max="6"/>
    <col width="10" customWidth="1" min="7" max="7"/>
    <col width="11" customWidth="1" min="8" max="8"/>
    <col width="13" customWidth="1" min="9" max="9"/>
  </cols>
  <sheetData>
    <row r="1">
      <c r="A1" s="18" t="inlineStr">
        <is>
          <t>Slot</t>
        </is>
      </c>
      <c r="B1" s="18" t="inlineStr">
        <is>
          <t>Team</t>
        </is>
      </c>
      <c r="C1" s="18" t="inlineStr">
        <is>
          <t>Leg</t>
        </is>
      </c>
      <c r="D1" s="18" t="inlineStr">
        <is>
          <t>Vehicle</t>
        </is>
      </c>
      <c r="E1" s="18" t="inlineStr">
        <is>
          <t>Starts</t>
        </is>
      </c>
      <c r="F1" s="18" t="inlineStr">
        <is>
          <t>Ends</t>
        </is>
      </c>
      <c r="G1" s="18" t="inlineStr">
        <is>
          <t>Clashes</t>
        </is>
      </c>
      <c r="H1" s="18" t="inlineStr">
        <is>
          <t>Too close</t>
        </is>
      </c>
      <c r="I1" s="18" t="inlineStr">
        <is>
          <t>Status</t>
        </is>
      </c>
    </row>
    <row r="2">
      <c r="A2" s="56" t="n">
        <v>1</v>
      </c>
      <c r="B2" s="55">
        <f>'Slot Times'!$I$2</f>
        <v/>
      </c>
      <c r="C2" s="57" t="inlineStr">
        <is>
          <t>Hotel -&gt; Venue</t>
        </is>
      </c>
      <c r="D2" s="58" t="inlineStr">
        <is>
          <t>SUV pair A</t>
        </is>
      </c>
      <c r="E2" s="59">
        <f>IF('Slot Times'!$H$2="","",'Slot Times'!$H$2+Sequences!$E$4/1440)</f>
        <v/>
      </c>
      <c r="F2" s="59">
        <f>IF($E2="","",$E2+Sequences!$D$4/1440)</f>
        <v/>
      </c>
      <c r="G2" s="56">
        <f>SUMPRODUCT(($D$2:$D$17=$D2)*($E$2:$E$17&lt;$F2)*($F$2:$F$17&gt;$E2))-1</f>
        <v/>
      </c>
      <c r="H2" s="56">
        <f>SUMPRODUCT(($D$2:$D$17=$D2)*($E$2:$E$17&lt;$F2+Checks!$B$6/1440)*($F$2:$F$17&gt;$E2))-1</f>
        <v/>
      </c>
      <c r="I2" s="51">
        <f>IF($G2&gt;0,"CLASH",IF($H2&gt;0,"TIGHT","OK"))</f>
        <v/>
      </c>
    </row>
    <row r="3">
      <c r="A3" s="56" t="n">
        <v>2</v>
      </c>
      <c r="B3" s="55">
        <f>'Slot Times'!$I$3</f>
        <v/>
      </c>
      <c r="C3" s="57" t="inlineStr">
        <is>
          <t>Hotel -&gt; Venue</t>
        </is>
      </c>
      <c r="D3" s="58" t="inlineStr">
        <is>
          <t>SUV pair B</t>
        </is>
      </c>
      <c r="E3" s="59">
        <f>IF('Slot Times'!$H$3="","",'Slot Times'!$H$3+Sequences!$E$4/1440)</f>
        <v/>
      </c>
      <c r="F3" s="59">
        <f>IF($E3="","",$E3+Sequences!$D$4/1440)</f>
        <v/>
      </c>
      <c r="G3" s="56">
        <f>SUMPRODUCT(($D$2:$D$17=$D3)*($E$2:$E$17&lt;$F3)*($F$2:$F$17&gt;$E3))-1</f>
        <v/>
      </c>
      <c r="H3" s="56">
        <f>SUMPRODUCT(($D$2:$D$17=$D3)*($E$2:$E$17&lt;$F3+Checks!$B$6/1440)*($F$2:$F$17&gt;$E3))-1</f>
        <v/>
      </c>
      <c r="I3" s="51">
        <f>IF($G3&gt;0,"CLASH",IF($H3&gt;0,"TIGHT","OK"))</f>
        <v/>
      </c>
    </row>
    <row r="4">
      <c r="A4" s="56" t="n">
        <v>3</v>
      </c>
      <c r="B4" s="55">
        <f>'Slot Times'!$I$4</f>
        <v/>
      </c>
      <c r="C4" s="57" t="inlineStr">
        <is>
          <t>Hotel -&gt; Venue</t>
        </is>
      </c>
      <c r="D4" s="58" t="inlineStr">
        <is>
          <t>SUV pair A</t>
        </is>
      </c>
      <c r="E4" s="59">
        <f>IF('Slot Times'!$H$4="","",'Slot Times'!$H$4+Sequences!$E$4/1440)</f>
        <v/>
      </c>
      <c r="F4" s="59">
        <f>IF($E4="","",$E4+Sequences!$D$4/1440)</f>
        <v/>
      </c>
      <c r="G4" s="56">
        <f>SUMPRODUCT(($D$2:$D$17=$D4)*($E$2:$E$17&lt;$F4)*($F$2:$F$17&gt;$E4))-1</f>
        <v/>
      </c>
      <c r="H4" s="56">
        <f>SUMPRODUCT(($D$2:$D$17=$D4)*($E$2:$E$17&lt;$F4+Checks!$B$6/1440)*($F$2:$F$17&gt;$E4))-1</f>
        <v/>
      </c>
      <c r="I4" s="51">
        <f>IF($G4&gt;0,"CLASH",IF($H4&gt;0,"TIGHT","OK"))</f>
        <v/>
      </c>
    </row>
    <row r="5">
      <c r="A5" s="56" t="n">
        <v>4</v>
      </c>
      <c r="B5" s="55">
        <f>'Slot Times'!$I$5</f>
        <v/>
      </c>
      <c r="C5" s="57" t="inlineStr">
        <is>
          <t>Hotel -&gt; Venue</t>
        </is>
      </c>
      <c r="D5" s="58" t="inlineStr">
        <is>
          <t>SUV pair B</t>
        </is>
      </c>
      <c r="E5" s="59">
        <f>IF('Slot Times'!$H$5="","",'Slot Times'!$H$5+Sequences!$E$4/1440)</f>
        <v/>
      </c>
      <c r="F5" s="59">
        <f>IF($E5="","",$E5+Sequences!$D$4/1440)</f>
        <v/>
      </c>
      <c r="G5" s="56">
        <f>SUMPRODUCT(($D$2:$D$17=$D5)*($E$2:$E$17&lt;$F5)*($F$2:$F$17&gt;$E5))-1</f>
        <v/>
      </c>
      <c r="H5" s="56">
        <f>SUMPRODUCT(($D$2:$D$17=$D5)*($E$2:$E$17&lt;$F5+Checks!$B$6/1440)*($F$2:$F$17&gt;$E5))-1</f>
        <v/>
      </c>
      <c r="I5" s="51">
        <f>IF($G5&gt;0,"CLASH",IF($H5&gt;0,"TIGHT","OK"))</f>
        <v/>
      </c>
    </row>
    <row r="6">
      <c r="A6" s="56" t="n">
        <v>5</v>
      </c>
      <c r="B6" s="55">
        <f>'Slot Times'!$I$6</f>
        <v/>
      </c>
      <c r="C6" s="57" t="inlineStr">
        <is>
          <t>Hotel -&gt; Venue</t>
        </is>
      </c>
      <c r="D6" s="58" t="inlineStr">
        <is>
          <t>SUV pair A</t>
        </is>
      </c>
      <c r="E6" s="59">
        <f>IF('Slot Times'!$H$6="","",'Slot Times'!$H$6+Sequences!$E$4/1440)</f>
        <v/>
      </c>
      <c r="F6" s="59">
        <f>IF($E6="","",$E6+Sequences!$D$4/1440)</f>
        <v/>
      </c>
      <c r="G6" s="56">
        <f>SUMPRODUCT(($D$2:$D$17=$D6)*($E$2:$E$17&lt;$F6)*($F$2:$F$17&gt;$E6))-1</f>
        <v/>
      </c>
      <c r="H6" s="56">
        <f>SUMPRODUCT(($D$2:$D$17=$D6)*($E$2:$E$17&lt;$F6+Checks!$B$6/1440)*($F$2:$F$17&gt;$E6))-1</f>
        <v/>
      </c>
      <c r="I6" s="51">
        <f>IF($G6&gt;0,"CLASH",IF($H6&gt;0,"TIGHT","OK"))</f>
        <v/>
      </c>
    </row>
    <row r="7">
      <c r="A7" s="56" t="n">
        <v>6</v>
      </c>
      <c r="B7" s="55">
        <f>'Slot Times'!$I$7</f>
        <v/>
      </c>
      <c r="C7" s="57" t="inlineStr">
        <is>
          <t>Hotel -&gt; Venue</t>
        </is>
      </c>
      <c r="D7" s="58" t="inlineStr">
        <is>
          <t>SUV pair B</t>
        </is>
      </c>
      <c r="E7" s="59">
        <f>IF('Slot Times'!$H$7="","",'Slot Times'!$H$7+Sequences!$E$4/1440)</f>
        <v/>
      </c>
      <c r="F7" s="59">
        <f>IF($E7="","",$E7+Sequences!$D$4/1440)</f>
        <v/>
      </c>
      <c r="G7" s="56">
        <f>SUMPRODUCT(($D$2:$D$17=$D7)*($E$2:$E$17&lt;$F7)*($F$2:$F$17&gt;$E7))-1</f>
        <v/>
      </c>
      <c r="H7" s="56">
        <f>SUMPRODUCT(($D$2:$D$17=$D7)*($E$2:$E$17&lt;$F7+Checks!$B$6/1440)*($F$2:$F$17&gt;$E7))-1</f>
        <v/>
      </c>
      <c r="I7" s="51">
        <f>IF($G7&gt;0,"CLASH",IF($H7&gt;0,"TIGHT","OK"))</f>
        <v/>
      </c>
    </row>
    <row r="8">
      <c r="A8" s="56" t="n">
        <v>7</v>
      </c>
      <c r="B8" s="55">
        <f>'Slot Times'!$I$8</f>
        <v/>
      </c>
      <c r="C8" s="57" t="inlineStr">
        <is>
          <t>Hotel -&gt; Venue</t>
        </is>
      </c>
      <c r="D8" s="58" t="inlineStr">
        <is>
          <t>SUV pair A</t>
        </is>
      </c>
      <c r="E8" s="59">
        <f>IF('Slot Times'!$H$8="","",'Slot Times'!$H$8+Sequences!$E$4/1440)</f>
        <v/>
      </c>
      <c r="F8" s="59">
        <f>IF($E8="","",$E8+Sequences!$D$4/1440)</f>
        <v/>
      </c>
      <c r="G8" s="56">
        <f>SUMPRODUCT(($D$2:$D$17=$D8)*($E$2:$E$17&lt;$F8)*($F$2:$F$17&gt;$E8))-1</f>
        <v/>
      </c>
      <c r="H8" s="56">
        <f>SUMPRODUCT(($D$2:$D$17=$D8)*($E$2:$E$17&lt;$F8+Checks!$B$6/1440)*($F$2:$F$17&gt;$E8))-1</f>
        <v/>
      </c>
      <c r="I8" s="51">
        <f>IF($G8&gt;0,"CLASH",IF($H8&gt;0,"TIGHT","OK"))</f>
        <v/>
      </c>
    </row>
    <row r="9">
      <c r="A9" s="56" t="n">
        <v>8</v>
      </c>
      <c r="B9" s="55">
        <f>'Slot Times'!$I$9</f>
        <v/>
      </c>
      <c r="C9" s="57" t="inlineStr">
        <is>
          <t>Hotel -&gt; Venue</t>
        </is>
      </c>
      <c r="D9" s="58" t="inlineStr">
        <is>
          <t>SUV pair B</t>
        </is>
      </c>
      <c r="E9" s="59">
        <f>IF('Slot Times'!$H$9="","",'Slot Times'!$H$9+Sequences!$E$4/1440)</f>
        <v/>
      </c>
      <c r="F9" s="59">
        <f>IF($E9="","",$E9+Sequences!$D$4/1440)</f>
        <v/>
      </c>
      <c r="G9" s="56">
        <f>SUMPRODUCT(($D$2:$D$17=$D9)*($E$2:$E$17&lt;$F9)*($F$2:$F$17&gt;$E9))-1</f>
        <v/>
      </c>
      <c r="H9" s="56">
        <f>SUMPRODUCT(($D$2:$D$17=$D9)*($E$2:$E$17&lt;$F9+Checks!$B$6/1440)*($F$2:$F$17&gt;$E9))-1</f>
        <v/>
      </c>
      <c r="I9" s="51">
        <f>IF($G9&gt;0,"CLASH",IF($H9&gt;0,"TIGHT","OK"))</f>
        <v/>
      </c>
    </row>
    <row r="10">
      <c r="A10" s="56" t="n">
        <v>1</v>
      </c>
      <c r="B10" s="55">
        <f>'Slot Times'!$I$2</f>
        <v/>
      </c>
      <c r="C10" s="57" t="inlineStr">
        <is>
          <t>Fieldhouse -&gt; Hotel</t>
        </is>
      </c>
      <c r="D10" s="60">
        <f>$D$2</f>
        <v/>
      </c>
      <c r="E10" s="59">
        <f>IF('Slot Times'!$H$2="","",'Slot Times'!$H$2+Sequences!$E$12/1440)</f>
        <v/>
      </c>
      <c r="F10" s="59">
        <f>IF($E10="","",$E10+Sequences!$D$12/1440)</f>
        <v/>
      </c>
      <c r="G10" s="56">
        <f>SUMPRODUCT(($D$2:$D$17=$D10)*($E$2:$E$17&lt;$F10)*($F$2:$F$17&gt;$E10))-1</f>
        <v/>
      </c>
      <c r="H10" s="56">
        <f>SUMPRODUCT(($D$2:$D$17=$D10)*($E$2:$E$17&lt;$F10+Checks!$B$6/1440)*($F$2:$F$17&gt;$E10))-1</f>
        <v/>
      </c>
      <c r="I10" s="51">
        <f>IF($G10&gt;0,"CLASH",IF($H10&gt;0,"TIGHT","OK"))</f>
        <v/>
      </c>
    </row>
    <row r="11">
      <c r="A11" s="56" t="n">
        <v>2</v>
      </c>
      <c r="B11" s="55">
        <f>'Slot Times'!$I$3</f>
        <v/>
      </c>
      <c r="C11" s="57" t="inlineStr">
        <is>
          <t>Fieldhouse -&gt; Hotel</t>
        </is>
      </c>
      <c r="D11" s="60">
        <f>$D$3</f>
        <v/>
      </c>
      <c r="E11" s="59">
        <f>IF('Slot Times'!$H$3="","",'Slot Times'!$H$3+Sequences!$E$12/1440)</f>
        <v/>
      </c>
      <c r="F11" s="59">
        <f>IF($E11="","",$E11+Sequences!$D$12/1440)</f>
        <v/>
      </c>
      <c r="G11" s="56">
        <f>SUMPRODUCT(($D$2:$D$17=$D11)*($E$2:$E$17&lt;$F11)*($F$2:$F$17&gt;$E11))-1</f>
        <v/>
      </c>
      <c r="H11" s="56">
        <f>SUMPRODUCT(($D$2:$D$17=$D11)*($E$2:$E$17&lt;$F11+Checks!$B$6/1440)*($F$2:$F$17&gt;$E11))-1</f>
        <v/>
      </c>
      <c r="I11" s="51">
        <f>IF($G11&gt;0,"CLASH",IF($H11&gt;0,"TIGHT","OK"))</f>
        <v/>
      </c>
    </row>
    <row r="12">
      <c r="A12" s="56" t="n">
        <v>3</v>
      </c>
      <c r="B12" s="55">
        <f>'Slot Times'!$I$4</f>
        <v/>
      </c>
      <c r="C12" s="57" t="inlineStr">
        <is>
          <t>Fieldhouse -&gt; Hotel</t>
        </is>
      </c>
      <c r="D12" s="60">
        <f>$D$4</f>
        <v/>
      </c>
      <c r="E12" s="59">
        <f>IF('Slot Times'!$H$4="","",'Slot Times'!$H$4+Sequences!$E$12/1440)</f>
        <v/>
      </c>
      <c r="F12" s="59">
        <f>IF($E12="","",$E12+Sequences!$D$12/1440)</f>
        <v/>
      </c>
      <c r="G12" s="56">
        <f>SUMPRODUCT(($D$2:$D$17=$D12)*($E$2:$E$17&lt;$F12)*($F$2:$F$17&gt;$E12))-1</f>
        <v/>
      </c>
      <c r="H12" s="56">
        <f>SUMPRODUCT(($D$2:$D$17=$D12)*($E$2:$E$17&lt;$F12+Checks!$B$6/1440)*($F$2:$F$17&gt;$E12))-1</f>
        <v/>
      </c>
      <c r="I12" s="51">
        <f>IF($G12&gt;0,"CLASH",IF($H12&gt;0,"TIGHT","OK"))</f>
        <v/>
      </c>
    </row>
    <row r="13">
      <c r="A13" s="56" t="n">
        <v>4</v>
      </c>
      <c r="B13" s="55">
        <f>'Slot Times'!$I$5</f>
        <v/>
      </c>
      <c r="C13" s="57" t="inlineStr">
        <is>
          <t>Fieldhouse -&gt; Hotel</t>
        </is>
      </c>
      <c r="D13" s="60">
        <f>$D$5</f>
        <v/>
      </c>
      <c r="E13" s="59">
        <f>IF('Slot Times'!$H$5="","",'Slot Times'!$H$5+Sequences!$E$12/1440)</f>
        <v/>
      </c>
      <c r="F13" s="59">
        <f>IF($E13="","",$E13+Sequences!$D$12/1440)</f>
        <v/>
      </c>
      <c r="G13" s="56">
        <f>SUMPRODUCT(($D$2:$D$17=$D13)*($E$2:$E$17&lt;$F13)*($F$2:$F$17&gt;$E13))-1</f>
        <v/>
      </c>
      <c r="H13" s="56">
        <f>SUMPRODUCT(($D$2:$D$17=$D13)*($E$2:$E$17&lt;$F13+Checks!$B$6/1440)*($F$2:$F$17&gt;$E13))-1</f>
        <v/>
      </c>
      <c r="I13" s="51">
        <f>IF($G13&gt;0,"CLASH",IF($H13&gt;0,"TIGHT","OK"))</f>
        <v/>
      </c>
    </row>
    <row r="14">
      <c r="A14" s="56" t="n">
        <v>5</v>
      </c>
      <c r="B14" s="55">
        <f>'Slot Times'!$I$6</f>
        <v/>
      </c>
      <c r="C14" s="57" t="inlineStr">
        <is>
          <t>Fieldhouse -&gt; Hotel</t>
        </is>
      </c>
      <c r="D14" s="60">
        <f>$D$6</f>
        <v/>
      </c>
      <c r="E14" s="59">
        <f>IF('Slot Times'!$H$6="","",'Slot Times'!$H$6+Sequences!$E$12/1440)</f>
        <v/>
      </c>
      <c r="F14" s="59">
        <f>IF($E14="","",$E14+Sequences!$D$12/1440)</f>
        <v/>
      </c>
      <c r="G14" s="56">
        <f>SUMPRODUCT(($D$2:$D$17=$D14)*($E$2:$E$17&lt;$F14)*($F$2:$F$17&gt;$E14))-1</f>
        <v/>
      </c>
      <c r="H14" s="56">
        <f>SUMPRODUCT(($D$2:$D$17=$D14)*($E$2:$E$17&lt;$F14+Checks!$B$6/1440)*($F$2:$F$17&gt;$E14))-1</f>
        <v/>
      </c>
      <c r="I14" s="51">
        <f>IF($G14&gt;0,"CLASH",IF($H14&gt;0,"TIGHT","OK"))</f>
        <v/>
      </c>
    </row>
    <row r="15">
      <c r="A15" s="56" t="n">
        <v>6</v>
      </c>
      <c r="B15" s="55">
        <f>'Slot Times'!$I$7</f>
        <v/>
      </c>
      <c r="C15" s="57" t="inlineStr">
        <is>
          <t>Fieldhouse -&gt; Hotel</t>
        </is>
      </c>
      <c r="D15" s="60">
        <f>$D$7</f>
        <v/>
      </c>
      <c r="E15" s="59">
        <f>IF('Slot Times'!$H$7="","",'Slot Times'!$H$7+Sequences!$E$12/1440)</f>
        <v/>
      </c>
      <c r="F15" s="59">
        <f>IF($E15="","",$E15+Sequences!$D$12/1440)</f>
        <v/>
      </c>
      <c r="G15" s="56">
        <f>SUMPRODUCT(($D$2:$D$17=$D15)*($E$2:$E$17&lt;$F15)*($F$2:$F$17&gt;$E15))-1</f>
        <v/>
      </c>
      <c r="H15" s="56">
        <f>SUMPRODUCT(($D$2:$D$17=$D15)*($E$2:$E$17&lt;$F15+Checks!$B$6/1440)*($F$2:$F$17&gt;$E15))-1</f>
        <v/>
      </c>
      <c r="I15" s="51">
        <f>IF($G15&gt;0,"CLASH",IF($H15&gt;0,"TIGHT","OK"))</f>
        <v/>
      </c>
    </row>
    <row r="16">
      <c r="A16" s="56" t="n">
        <v>7</v>
      </c>
      <c r="B16" s="55">
        <f>'Slot Times'!$I$8</f>
        <v/>
      </c>
      <c r="C16" s="57" t="inlineStr">
        <is>
          <t>Fieldhouse -&gt; Hotel</t>
        </is>
      </c>
      <c r="D16" s="60">
        <f>$D$8</f>
        <v/>
      </c>
      <c r="E16" s="59">
        <f>IF('Slot Times'!$H$8="","",'Slot Times'!$H$8+Sequences!$E$12/1440)</f>
        <v/>
      </c>
      <c r="F16" s="59">
        <f>IF($E16="","",$E16+Sequences!$D$12/1440)</f>
        <v/>
      </c>
      <c r="G16" s="56">
        <f>SUMPRODUCT(($D$2:$D$17=$D16)*($E$2:$E$17&lt;$F16)*($F$2:$F$17&gt;$E16))-1</f>
        <v/>
      </c>
      <c r="H16" s="56">
        <f>SUMPRODUCT(($D$2:$D$17=$D16)*($E$2:$E$17&lt;$F16+Checks!$B$6/1440)*($F$2:$F$17&gt;$E16))-1</f>
        <v/>
      </c>
      <c r="I16" s="51">
        <f>IF($G16&gt;0,"CLASH",IF($H16&gt;0,"TIGHT","OK"))</f>
        <v/>
      </c>
    </row>
    <row r="17">
      <c r="A17" s="56" t="n">
        <v>8</v>
      </c>
      <c r="B17" s="55">
        <f>'Slot Times'!$I$9</f>
        <v/>
      </c>
      <c r="C17" s="57" t="inlineStr">
        <is>
          <t>Fieldhouse -&gt; Hotel</t>
        </is>
      </c>
      <c r="D17" s="60">
        <f>$D$9</f>
        <v/>
      </c>
      <c r="E17" s="59">
        <f>IF('Slot Times'!$H$9="","",'Slot Times'!$H$9+Sequences!$E$12/1440)</f>
        <v/>
      </c>
      <c r="F17" s="59">
        <f>IF($E17="","",$E17+Sequences!$D$12/1440)</f>
        <v/>
      </c>
      <c r="G17" s="56">
        <f>SUMPRODUCT(($D$2:$D$17=$D17)*($E$2:$E$17&lt;$F17)*($F$2:$F$17&gt;$E17))-1</f>
        <v/>
      </c>
      <c r="H17" s="56">
        <f>SUMPRODUCT(($D$2:$D$17=$D17)*($E$2:$E$17&lt;$F17+Checks!$B$6/1440)*($F$2:$F$17&gt;$E17))-1</f>
        <v/>
      </c>
      <c r="I17" s="51">
        <f>IF($G17&gt;0,"CLASH",IF($H17&gt;0,"TIGHT","OK"))</f>
        <v/>
      </c>
    </row>
    <row r="19">
      <c r="A19" s="23" t="inlineStr">
        <is>
          <t>Two rows per team — the run out and the run back. A van drops a team and is free again; it is not tied up all morning.</t>
        </is>
      </c>
    </row>
    <row r="20">
      <c r="A20" s="23" t="inlineStr">
        <is>
          <t>Type the vehicle on the outbound row. The return row follows it unless you change it.</t>
        </is>
      </c>
    </row>
    <row r="21">
      <c r="A21" s="23" t="inlineStr">
        <is>
          <t>CLASH means that vehicle is booked to be in two places at once. TIGHT means it makes it, but with less than the turnaround you set on Checks.</t>
        </is>
      </c>
    </row>
    <row r="22">
      <c r="A22" s="23" t="inlineStr">
        <is>
          <t>A late van delays a team that did nothing wrong. Keep these green.</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4"/>
  <sheetViews>
    <sheetView workbookViewId="0">
      <pane ySplit="1" topLeftCell="A2" activePane="bottomLeft" state="frozen"/>
      <selection pane="bottomLeft" activeCell="A1" sqref="A1"/>
    </sheetView>
  </sheetViews>
  <sheetFormatPr baseColWidth="8" defaultRowHeight="15"/>
  <cols>
    <col width="11" customWidth="1" min="1" max="1"/>
    <col width="22" customWidth="1" min="2" max="2"/>
    <col width="24" customWidth="1" min="3" max="3"/>
    <col width="11" customWidth="1" min="4" max="4"/>
    <col width="11" customWidth="1" min="5" max="5"/>
    <col width="24" customWidth="1" min="6" max="6"/>
    <col width="20" customWidth="1" min="7" max="7"/>
    <col width="36" customWidth="1" min="8" max="8"/>
  </cols>
  <sheetData>
    <row r="1">
      <c r="A1" s="18" t="inlineStr">
        <is>
          <t>Day</t>
        </is>
      </c>
      <c r="B1" s="18" t="inlineStr">
        <is>
          <t>Window</t>
        </is>
      </c>
      <c r="C1" s="18" t="inlineStr">
        <is>
          <t>Assigned Team/Person</t>
        </is>
      </c>
      <c r="D1" s="18" t="inlineStr">
        <is>
          <t>Opens</t>
        </is>
      </c>
      <c r="E1" s="18" t="inlineStr">
        <is>
          <t>Closes</t>
        </is>
      </c>
      <c r="F1" s="18" t="inlineStr">
        <is>
          <t>Venue</t>
        </is>
      </c>
      <c r="G1" s="18" t="inlineStr">
        <is>
          <t>Sub-location</t>
        </is>
      </c>
      <c r="H1" s="18" t="inlineStr">
        <is>
          <t>Notes</t>
        </is>
      </c>
    </row>
    <row r="2">
      <c r="A2" s="24" t="inlineStr">
        <is>
          <t>Saturday</t>
        </is>
      </c>
      <c r="B2" s="24" t="inlineStr">
        <is>
          <t>Breakfast</t>
        </is>
      </c>
      <c r="C2" s="24" t="inlineStr">
        <is>
          <t>Role: Dancer</t>
        </is>
      </c>
      <c r="D2" s="61" t="n">
        <v>0.25</v>
      </c>
      <c r="E2" s="61" t="n">
        <v>0.4166666666666667</v>
      </c>
      <c r="F2" s="24" t="inlineStr">
        <is>
          <t>Courtyard Marriott</t>
        </is>
      </c>
      <c r="G2" s="24" t="inlineStr">
        <is>
          <t>Breakfast Room</t>
        </is>
      </c>
      <c r="H2" s="24" t="inlineStr">
        <is>
          <t>Grab-and-go from 6:00 for the early slots</t>
        </is>
      </c>
    </row>
    <row r="3">
      <c r="A3" s="24" t="inlineStr">
        <is>
          <t>Saturday</t>
        </is>
      </c>
      <c r="B3" s="24" t="inlineStr">
        <is>
          <t>Lunch</t>
        </is>
      </c>
      <c r="C3" s="24" t="inlineStr">
        <is>
          <t>Role: Dancer</t>
        </is>
      </c>
      <c r="D3" s="61" t="n">
        <v>0.4583333333333333</v>
      </c>
      <c r="E3" s="61" t="n">
        <v>0.625</v>
      </c>
      <c r="F3" s="24" t="inlineStr">
        <is>
          <t>Courtyard Marriott</t>
        </is>
      </c>
      <c r="G3" s="24" t="inlineStr">
        <is>
          <t>Lobby</t>
        </is>
      </c>
      <c r="H3" s="24" t="inlineStr">
        <is>
          <t>Eat when your team gets back from practice</t>
        </is>
      </c>
    </row>
    <row r="4">
      <c r="A4" s="24" t="inlineStr">
        <is>
          <t>Saturday</t>
        </is>
      </c>
      <c r="B4" s="24" t="inlineStr">
        <is>
          <t>Pre-show snack</t>
        </is>
      </c>
      <c r="C4" s="24" t="inlineStr">
        <is>
          <t>Role: Dancer</t>
        </is>
      </c>
      <c r="D4" s="61" t="n">
        <v>0.6458333333333334</v>
      </c>
      <c r="E4" s="61" t="n">
        <v>0.6875</v>
      </c>
      <c r="F4" s="24" t="inlineStr">
        <is>
          <t>IU Auditorium</t>
        </is>
      </c>
      <c r="G4" s="24" t="inlineStr">
        <is>
          <t>Green Room</t>
        </is>
      </c>
      <c r="H4" s="24" t="inlineStr">
        <is>
          <t>Light only. You are in costume</t>
        </is>
      </c>
    </row>
    <row r="5">
      <c r="A5" s="24" t="inlineStr">
        <is>
          <t>Saturday</t>
        </is>
      </c>
      <c r="B5" s="24" t="inlineStr">
        <is>
          <t>Post-show food</t>
        </is>
      </c>
      <c r="C5" s="24" t="inlineStr">
        <is>
          <t>Role: Dancer</t>
        </is>
      </c>
      <c r="D5" s="61" t="n">
        <v>0.8541666666666666</v>
      </c>
      <c r="E5" s="61" t="n">
        <v>0.9166666666666666</v>
      </c>
      <c r="F5" s="24" t="inlineStr">
        <is>
          <t>Courtyard Marriott</t>
        </is>
      </c>
      <c r="G5" s="24" t="inlineStr">
        <is>
          <t>Lobby</t>
        </is>
      </c>
      <c r="H5" s="24" t="inlineStr"/>
    </row>
    <row r="6">
      <c r="A6" s="24" t="inlineStr">
        <is>
          <t>Friday</t>
        </is>
      </c>
      <c r="B6" s="24" t="inlineStr">
        <is>
          <t>Dinner</t>
        </is>
      </c>
      <c r="C6" s="24" t="inlineStr">
        <is>
          <t>Role: Dancer</t>
        </is>
      </c>
      <c r="D6" s="61" t="n">
        <v>0.6666666666666666</v>
      </c>
      <c r="E6" s="61" t="n">
        <v>0.7083333333333334</v>
      </c>
      <c r="F6" s="24" t="inlineStr">
        <is>
          <t>Monroe Convention Center</t>
        </is>
      </c>
      <c r="G6" s="24" t="inlineStr"/>
      <c r="H6" s="24" t="inlineStr">
        <is>
          <t>Pizza — eat at your convenience</t>
        </is>
      </c>
    </row>
    <row r="7">
      <c r="A7" s="21" t="n"/>
      <c r="B7" s="22" t="n"/>
      <c r="C7" s="22" t="n"/>
      <c r="D7" s="22" t="n"/>
      <c r="E7" s="22" t="n"/>
      <c r="F7" s="22" t="n"/>
      <c r="G7" s="22" t="n"/>
      <c r="H7" s="22" t="n"/>
    </row>
    <row r="8">
      <c r="A8" s="22" t="n"/>
      <c r="B8" s="22" t="n"/>
      <c r="C8" s="22" t="n"/>
      <c r="D8" s="22" t="n"/>
      <c r="E8" s="22" t="n"/>
      <c r="F8" s="22" t="n"/>
      <c r="G8" s="22" t="n"/>
      <c r="H8" s="22" t="n"/>
    </row>
    <row r="9">
      <c r="A9" s="22" t="n"/>
      <c r="B9" s="22" t="n"/>
      <c r="C9" s="22" t="n"/>
      <c r="D9" s="22" t="n"/>
      <c r="E9" s="22" t="n"/>
      <c r="F9" s="22" t="n"/>
      <c r="G9" s="22" t="n"/>
      <c r="H9" s="22" t="n"/>
    </row>
    <row r="10">
      <c r="A10" s="22" t="n"/>
      <c r="B10" s="22" t="n"/>
      <c r="C10" s="22" t="n"/>
      <c r="D10" s="22" t="n"/>
      <c r="E10" s="22" t="n"/>
      <c r="F10" s="22" t="n"/>
      <c r="G10" s="22" t="n"/>
      <c r="H10" s="22" t="n"/>
    </row>
    <row r="11">
      <c r="A11" s="22" t="n"/>
      <c r="B11" s="22" t="n"/>
      <c r="C11" s="22" t="n"/>
      <c r="D11" s="22" t="n"/>
      <c r="E11" s="22" t="n"/>
      <c r="F11" s="22" t="n"/>
      <c r="G11" s="22" t="n"/>
      <c r="H11" s="22" t="n"/>
    </row>
    <row r="12">
      <c r="A12" s="22" t="n"/>
      <c r="B12" s="22" t="n"/>
      <c r="C12" s="22" t="n"/>
      <c r="D12" s="22" t="n"/>
      <c r="E12" s="22" t="n"/>
      <c r="F12" s="22" t="n"/>
      <c r="G12" s="22" t="n"/>
      <c r="H12" s="22" t="n"/>
    </row>
    <row r="13">
      <c r="A13" s="22" t="n"/>
      <c r="B13" s="22" t="n"/>
      <c r="C13" s="22" t="n"/>
      <c r="D13" s="22" t="n"/>
      <c r="E13" s="22" t="n"/>
      <c r="F13" s="22" t="n"/>
      <c r="G13" s="22" t="n"/>
      <c r="H13" s="22" t="n"/>
    </row>
    <row r="14">
      <c r="A14" s="22" t="n"/>
      <c r="B14" s="22" t="n"/>
      <c r="C14" s="22" t="n"/>
      <c r="D14" s="22" t="n"/>
      <c r="E14" s="22" t="n"/>
      <c r="F14" s="22" t="n"/>
      <c r="G14" s="22" t="n"/>
      <c r="H14" s="22" t="n"/>
    </row>
    <row r="15">
      <c r="A15" s="22" t="n"/>
      <c r="B15" s="22" t="n"/>
      <c r="C15" s="22" t="n"/>
      <c r="D15" s="22" t="n"/>
      <c r="E15" s="22" t="n"/>
      <c r="F15" s="22" t="n"/>
      <c r="G15" s="22" t="n"/>
      <c r="H15" s="22" t="n"/>
    </row>
    <row r="16">
      <c r="A16" s="22" t="n"/>
      <c r="B16" s="22" t="n"/>
      <c r="C16" s="22" t="n"/>
      <c r="D16" s="22" t="n"/>
      <c r="E16" s="22" t="n"/>
      <c r="F16" s="22" t="n"/>
      <c r="G16" s="22" t="n"/>
      <c r="H16" s="22" t="n"/>
    </row>
    <row r="17">
      <c r="A17" s="22" t="n"/>
      <c r="B17" s="22" t="n"/>
      <c r="C17" s="22" t="n"/>
      <c r="D17" s="22" t="n"/>
      <c r="E17" s="22" t="n"/>
      <c r="F17" s="22" t="n"/>
      <c r="G17" s="22" t="n"/>
      <c r="H17" s="22" t="n"/>
    </row>
    <row r="18">
      <c r="A18" s="22" t="n"/>
      <c r="B18" s="22" t="n"/>
      <c r="C18" s="22" t="n"/>
      <c r="D18" s="22" t="n"/>
      <c r="E18" s="22" t="n"/>
      <c r="F18" s="22" t="n"/>
      <c r="G18" s="22" t="n"/>
      <c r="H18" s="22" t="n"/>
    </row>
    <row r="19">
      <c r="A19" s="22" t="n"/>
      <c r="B19" s="22" t="n"/>
      <c r="C19" s="22" t="n"/>
      <c r="D19" s="22" t="n"/>
      <c r="E19" s="22" t="n"/>
      <c r="F19" s="22" t="n"/>
      <c r="G19" s="22" t="n"/>
      <c r="H19" s="22" t="n"/>
    </row>
    <row r="20">
      <c r="A20" s="22" t="n"/>
      <c r="B20" s="22" t="n"/>
      <c r="C20" s="22" t="n"/>
      <c r="D20" s="22" t="n"/>
      <c r="E20" s="22" t="n"/>
      <c r="F20" s="22" t="n"/>
      <c r="G20" s="22" t="n"/>
      <c r="H20" s="22" t="n"/>
    </row>
    <row r="21">
      <c r="A21" s="22" t="n"/>
      <c r="B21" s="22" t="n"/>
      <c r="C21" s="22" t="n"/>
      <c r="D21" s="22" t="n"/>
      <c r="E21" s="22" t="n"/>
      <c r="F21" s="22" t="n"/>
      <c r="G21" s="22" t="n"/>
      <c r="H21" s="22" t="n"/>
    </row>
    <row r="23">
      <c r="A23" s="23" t="inlineStr">
        <is>
          <t>A window is a range you may use, not an appointment. Dancers see "Lunch 11:00 - 3:00" and eat when their team is free.</t>
        </is>
      </c>
    </row>
    <row r="24">
      <c r="A24" s="23" t="inlineStr">
        <is>
          <t>Assigned uses the app's wording: "Role: Dancer", "Team: &lt;name&gt;" or "Person: &lt;name&gt;".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06"/>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24" customWidth="1" min="4" max="4"/>
    <col width="20" customWidth="1" min="5" max="5"/>
    <col width="34" customWidth="1" min="6" max="6"/>
    <col width="26" customWidth="1" min="7" max="7"/>
    <col width="30" customWidth="1" min="8" max="8"/>
    <col width="14" customWidth="1" min="9" max="9"/>
  </cols>
  <sheetData>
    <row r="1">
      <c r="A1" s="18" t="inlineStr">
        <is>
          <t>Day</t>
        </is>
      </c>
      <c r="B1" s="18" t="inlineStr">
        <is>
          <t>Start</t>
        </is>
      </c>
      <c r="C1" s="18" t="inlineStr">
        <is>
          <t>End</t>
        </is>
      </c>
      <c r="D1" s="18" t="inlineStr">
        <is>
          <t>Venue</t>
        </is>
      </c>
      <c r="E1" s="18" t="inlineStr">
        <is>
          <t>Sub-location</t>
        </is>
      </c>
      <c r="F1" s="18" t="inlineStr">
        <is>
          <t>Activity</t>
        </is>
      </c>
      <c r="G1" s="18" t="inlineStr">
        <is>
          <t>Assigned Team/Person</t>
        </is>
      </c>
      <c r="H1" s="18" t="inlineStr">
        <is>
          <t>Notes</t>
        </is>
      </c>
      <c r="I1" s="18" t="inlineStr">
        <is>
          <t>ID</t>
        </is>
      </c>
    </row>
    <row r="2">
      <c r="A2" s="19" t="inlineStr">
        <is>
          <t>Friday</t>
        </is>
      </c>
      <c r="B2" s="62" t="n">
        <v>0.375</v>
      </c>
      <c r="C2" s="62" t="n">
        <v>0.3958333333333333</v>
      </c>
      <c r="D2" s="19" t="inlineStr">
        <is>
          <t>Courtyard Marriott</t>
        </is>
      </c>
      <c r="E2" s="19" t="inlineStr">
        <is>
          <t>Registration Room</t>
        </is>
      </c>
      <c r="F2" s="19" t="inlineStr">
        <is>
          <t>Board briefing</t>
        </is>
      </c>
      <c r="G2" s="19" t="inlineStr">
        <is>
          <t>Person: Example Director</t>
        </is>
      </c>
      <c r="H2" s="19" t="inlineStr">
        <is>
          <t>Delete this example row</t>
        </is>
      </c>
      <c r="I2" s="19" t="inlineStr">
        <is>
          <t>MAN-001</t>
        </is>
      </c>
    </row>
    <row r="3">
      <c r="A3" s="21" t="n"/>
      <c r="B3" s="22" t="n"/>
      <c r="C3" s="22" t="n"/>
      <c r="D3" s="22" t="n"/>
      <c r="E3" s="22" t="n"/>
      <c r="F3" s="22" t="n"/>
      <c r="G3" s="22" t="n"/>
      <c r="H3" s="22" t="n"/>
      <c r="I3" s="22" t="n"/>
    </row>
    <row r="4">
      <c r="A4" s="21" t="n"/>
      <c r="B4" s="22" t="n"/>
      <c r="C4" s="22" t="n"/>
      <c r="D4" s="22" t="n"/>
      <c r="E4" s="22" t="n"/>
      <c r="F4" s="22" t="n"/>
      <c r="G4" s="22" t="n"/>
      <c r="H4" s="22" t="n"/>
      <c r="I4" s="22" t="n"/>
    </row>
    <row r="5">
      <c r="A5" s="21" t="n"/>
      <c r="B5" s="22" t="n"/>
      <c r="C5" s="22" t="n"/>
      <c r="D5" s="22" t="n"/>
      <c r="E5" s="22" t="n"/>
      <c r="F5" s="22" t="n"/>
      <c r="G5" s="22" t="n"/>
      <c r="H5" s="22" t="n"/>
      <c r="I5" s="22" t="n"/>
    </row>
    <row r="6">
      <c r="A6" s="21" t="n"/>
      <c r="B6" s="22" t="n"/>
      <c r="C6" s="22" t="n"/>
      <c r="D6" s="22" t="n"/>
      <c r="E6" s="22" t="n"/>
      <c r="F6" s="22" t="n"/>
      <c r="G6" s="22" t="n"/>
      <c r="H6" s="22" t="n"/>
      <c r="I6" s="22" t="n"/>
    </row>
    <row r="7">
      <c r="A7" s="21" t="n"/>
      <c r="B7" s="22" t="n"/>
      <c r="C7" s="22" t="n"/>
      <c r="D7" s="22" t="n"/>
      <c r="E7" s="22" t="n"/>
      <c r="F7" s="22" t="n"/>
      <c r="G7" s="22" t="n"/>
      <c r="H7" s="22" t="n"/>
      <c r="I7" s="22" t="n"/>
    </row>
    <row r="8">
      <c r="A8" s="21" t="n"/>
      <c r="B8" s="22" t="n"/>
      <c r="C8" s="22" t="n"/>
      <c r="D8" s="22" t="n"/>
      <c r="E8" s="22" t="n"/>
      <c r="F8" s="22" t="n"/>
      <c r="G8" s="22" t="n"/>
      <c r="H8" s="22" t="n"/>
      <c r="I8" s="22" t="n"/>
    </row>
    <row r="9">
      <c r="A9" s="21" t="n"/>
      <c r="B9" s="22" t="n"/>
      <c r="C9" s="22" t="n"/>
      <c r="D9" s="22" t="n"/>
      <c r="E9" s="22" t="n"/>
      <c r="F9" s="22" t="n"/>
      <c r="G9" s="22" t="n"/>
      <c r="H9" s="22" t="n"/>
      <c r="I9" s="22" t="n"/>
    </row>
    <row r="10">
      <c r="A10" s="21" t="n"/>
      <c r="B10" s="22" t="n"/>
      <c r="C10" s="22" t="n"/>
      <c r="D10" s="22" t="n"/>
      <c r="E10" s="22" t="n"/>
      <c r="F10" s="22" t="n"/>
      <c r="G10" s="22" t="n"/>
      <c r="H10" s="22" t="n"/>
      <c r="I10" s="22" t="n"/>
    </row>
    <row r="11">
      <c r="A11" s="21" t="n"/>
      <c r="B11" s="22" t="n"/>
      <c r="C11" s="22" t="n"/>
      <c r="D11" s="22" t="n"/>
      <c r="E11" s="22" t="n"/>
      <c r="F11" s="22" t="n"/>
      <c r="G11" s="22" t="n"/>
      <c r="H11" s="22" t="n"/>
      <c r="I11" s="22" t="n"/>
    </row>
    <row r="12">
      <c r="A12" s="21" t="n"/>
      <c r="B12" s="22" t="n"/>
      <c r="C12" s="22" t="n"/>
      <c r="D12" s="22" t="n"/>
      <c r="E12" s="22" t="n"/>
      <c r="F12" s="22" t="n"/>
      <c r="G12" s="22" t="n"/>
      <c r="H12" s="22" t="n"/>
      <c r="I12" s="22" t="n"/>
    </row>
    <row r="13">
      <c r="A13" s="21" t="n"/>
      <c r="B13" s="22" t="n"/>
      <c r="C13" s="22" t="n"/>
      <c r="D13" s="22" t="n"/>
      <c r="E13" s="22" t="n"/>
      <c r="F13" s="22" t="n"/>
      <c r="G13" s="22" t="n"/>
      <c r="H13" s="22" t="n"/>
      <c r="I13" s="22" t="n"/>
    </row>
    <row r="14">
      <c r="A14" s="21" t="n"/>
      <c r="B14" s="22" t="n"/>
      <c r="C14" s="22" t="n"/>
      <c r="D14" s="22" t="n"/>
      <c r="E14" s="22" t="n"/>
      <c r="F14" s="22" t="n"/>
      <c r="G14" s="22" t="n"/>
      <c r="H14" s="22" t="n"/>
      <c r="I14" s="22" t="n"/>
    </row>
    <row r="15">
      <c r="A15" s="21" t="n"/>
      <c r="B15" s="22" t="n"/>
      <c r="C15" s="22" t="n"/>
      <c r="D15" s="22" t="n"/>
      <c r="E15" s="22" t="n"/>
      <c r="F15" s="22" t="n"/>
      <c r="G15" s="22" t="n"/>
      <c r="H15" s="22" t="n"/>
      <c r="I15" s="22" t="n"/>
    </row>
    <row r="16">
      <c r="A16" s="21" t="n"/>
      <c r="B16" s="22" t="n"/>
      <c r="C16" s="22" t="n"/>
      <c r="D16" s="22" t="n"/>
      <c r="E16" s="22" t="n"/>
      <c r="F16" s="22" t="n"/>
      <c r="G16" s="22" t="n"/>
      <c r="H16" s="22" t="n"/>
      <c r="I16" s="22" t="n"/>
    </row>
    <row r="17">
      <c r="A17" s="21" t="n"/>
      <c r="B17" s="22" t="n"/>
      <c r="C17" s="22" t="n"/>
      <c r="D17" s="22" t="n"/>
      <c r="E17" s="22" t="n"/>
      <c r="F17" s="22" t="n"/>
      <c r="G17" s="22" t="n"/>
      <c r="H17" s="22" t="n"/>
      <c r="I17" s="22" t="n"/>
    </row>
    <row r="18">
      <c r="A18" s="21" t="n"/>
      <c r="B18" s="22" t="n"/>
      <c r="C18" s="22" t="n"/>
      <c r="D18" s="22" t="n"/>
      <c r="E18" s="22" t="n"/>
      <c r="F18" s="22" t="n"/>
      <c r="G18" s="22" t="n"/>
      <c r="H18" s="22" t="n"/>
      <c r="I18" s="22" t="n"/>
    </row>
    <row r="19">
      <c r="A19" s="21" t="n"/>
      <c r="B19" s="22" t="n"/>
      <c r="C19" s="22" t="n"/>
      <c r="D19" s="22" t="n"/>
      <c r="E19" s="22" t="n"/>
      <c r="F19" s="22" t="n"/>
      <c r="G19" s="22" t="n"/>
      <c r="H19" s="22" t="n"/>
      <c r="I19" s="22" t="n"/>
    </row>
    <row r="20">
      <c r="A20" s="21" t="n"/>
      <c r="B20" s="22" t="n"/>
      <c r="C20" s="22" t="n"/>
      <c r="D20" s="22" t="n"/>
      <c r="E20" s="22" t="n"/>
      <c r="F20" s="22" t="n"/>
      <c r="G20" s="22" t="n"/>
      <c r="H20" s="22" t="n"/>
      <c r="I20" s="22" t="n"/>
    </row>
    <row r="21">
      <c r="A21" s="21" t="n"/>
      <c r="B21" s="22" t="n"/>
      <c r="C21" s="22" t="n"/>
      <c r="D21" s="22" t="n"/>
      <c r="E21" s="22" t="n"/>
      <c r="F21" s="22" t="n"/>
      <c r="G21" s="22" t="n"/>
      <c r="H21" s="22" t="n"/>
      <c r="I21" s="22" t="n"/>
    </row>
    <row r="22">
      <c r="A22" s="21" t="n"/>
      <c r="B22" s="22" t="n"/>
      <c r="C22" s="22" t="n"/>
      <c r="D22" s="22" t="n"/>
      <c r="E22" s="22" t="n"/>
      <c r="F22" s="22" t="n"/>
      <c r="G22" s="22" t="n"/>
      <c r="H22" s="22" t="n"/>
      <c r="I22" s="22" t="n"/>
    </row>
    <row r="23">
      <c r="A23" s="21" t="n"/>
      <c r="B23" s="22" t="n"/>
      <c r="C23" s="22" t="n"/>
      <c r="D23" s="22" t="n"/>
      <c r="E23" s="22" t="n"/>
      <c r="F23" s="22" t="n"/>
      <c r="G23" s="22" t="n"/>
      <c r="H23" s="22" t="n"/>
      <c r="I23" s="22" t="n"/>
    </row>
    <row r="24">
      <c r="A24" s="21" t="n"/>
      <c r="B24" s="22" t="n"/>
      <c r="C24" s="22" t="n"/>
      <c r="D24" s="22" t="n"/>
      <c r="E24" s="22" t="n"/>
      <c r="F24" s="22" t="n"/>
      <c r="G24" s="22" t="n"/>
      <c r="H24" s="22" t="n"/>
      <c r="I24" s="22" t="n"/>
    </row>
    <row r="25">
      <c r="A25" s="21" t="n"/>
      <c r="B25" s="22" t="n"/>
      <c r="C25" s="22" t="n"/>
      <c r="D25" s="22" t="n"/>
      <c r="E25" s="22" t="n"/>
      <c r="F25" s="22" t="n"/>
      <c r="G25" s="22" t="n"/>
      <c r="H25" s="22" t="n"/>
      <c r="I25" s="22" t="n"/>
    </row>
    <row r="26">
      <c r="A26" s="21" t="n"/>
      <c r="B26" s="22" t="n"/>
      <c r="C26" s="22" t="n"/>
      <c r="D26" s="22" t="n"/>
      <c r="E26" s="22" t="n"/>
      <c r="F26" s="22" t="n"/>
      <c r="G26" s="22" t="n"/>
      <c r="H26" s="22" t="n"/>
      <c r="I26" s="22" t="n"/>
    </row>
    <row r="27">
      <c r="A27" s="21" t="n"/>
      <c r="B27" s="22" t="n"/>
      <c r="C27" s="22" t="n"/>
      <c r="D27" s="22" t="n"/>
      <c r="E27" s="22" t="n"/>
      <c r="F27" s="22" t="n"/>
      <c r="G27" s="22" t="n"/>
      <c r="H27" s="22" t="n"/>
      <c r="I27" s="22" t="n"/>
    </row>
    <row r="28">
      <c r="A28" s="21" t="n"/>
      <c r="B28" s="22" t="n"/>
      <c r="C28" s="22" t="n"/>
      <c r="D28" s="22" t="n"/>
      <c r="E28" s="22" t="n"/>
      <c r="F28" s="22" t="n"/>
      <c r="G28" s="22" t="n"/>
      <c r="H28" s="22" t="n"/>
      <c r="I28" s="22" t="n"/>
    </row>
    <row r="29">
      <c r="A29" s="21" t="n"/>
      <c r="B29" s="22" t="n"/>
      <c r="C29" s="22" t="n"/>
      <c r="D29" s="22" t="n"/>
      <c r="E29" s="22" t="n"/>
      <c r="F29" s="22" t="n"/>
      <c r="G29" s="22" t="n"/>
      <c r="H29" s="22" t="n"/>
      <c r="I29" s="22" t="n"/>
    </row>
    <row r="30">
      <c r="A30" s="21" t="n"/>
      <c r="B30" s="22" t="n"/>
      <c r="C30" s="22" t="n"/>
      <c r="D30" s="22" t="n"/>
      <c r="E30" s="22" t="n"/>
      <c r="F30" s="22" t="n"/>
      <c r="G30" s="22" t="n"/>
      <c r="H30" s="22" t="n"/>
      <c r="I30" s="22" t="n"/>
    </row>
    <row r="31">
      <c r="A31" s="21" t="n"/>
      <c r="B31" s="22" t="n"/>
      <c r="C31" s="22" t="n"/>
      <c r="D31" s="22" t="n"/>
      <c r="E31" s="22" t="n"/>
      <c r="F31" s="22" t="n"/>
      <c r="G31" s="22" t="n"/>
      <c r="H31" s="22" t="n"/>
      <c r="I31" s="22" t="n"/>
    </row>
    <row r="32">
      <c r="A32" s="21" t="n"/>
      <c r="B32" s="22" t="n"/>
      <c r="C32" s="22" t="n"/>
      <c r="D32" s="22" t="n"/>
      <c r="E32" s="22" t="n"/>
      <c r="F32" s="22" t="n"/>
      <c r="G32" s="22" t="n"/>
      <c r="H32" s="22" t="n"/>
      <c r="I32" s="22" t="n"/>
    </row>
    <row r="33">
      <c r="A33" s="21" t="n"/>
      <c r="B33" s="22" t="n"/>
      <c r="C33" s="22" t="n"/>
      <c r="D33" s="22" t="n"/>
      <c r="E33" s="22" t="n"/>
      <c r="F33" s="22" t="n"/>
      <c r="G33" s="22" t="n"/>
      <c r="H33" s="22" t="n"/>
      <c r="I33" s="22" t="n"/>
    </row>
    <row r="34">
      <c r="A34" s="21" t="n"/>
      <c r="B34" s="22" t="n"/>
      <c r="C34" s="22" t="n"/>
      <c r="D34" s="22" t="n"/>
      <c r="E34" s="22" t="n"/>
      <c r="F34" s="22" t="n"/>
      <c r="G34" s="22" t="n"/>
      <c r="H34" s="22" t="n"/>
      <c r="I34" s="22" t="n"/>
    </row>
    <row r="35">
      <c r="A35" s="21" t="n"/>
      <c r="B35" s="22" t="n"/>
      <c r="C35" s="22" t="n"/>
      <c r="D35" s="22" t="n"/>
      <c r="E35" s="22" t="n"/>
      <c r="F35" s="22" t="n"/>
      <c r="G35" s="22" t="n"/>
      <c r="H35" s="22" t="n"/>
      <c r="I35" s="22" t="n"/>
    </row>
    <row r="36">
      <c r="A36" s="21" t="n"/>
      <c r="B36" s="22" t="n"/>
      <c r="C36" s="22" t="n"/>
      <c r="D36" s="22" t="n"/>
      <c r="E36" s="22" t="n"/>
      <c r="F36" s="22" t="n"/>
      <c r="G36" s="22" t="n"/>
      <c r="H36" s="22" t="n"/>
      <c r="I36" s="22" t="n"/>
    </row>
    <row r="37">
      <c r="A37" s="21" t="n"/>
      <c r="B37" s="22" t="n"/>
      <c r="C37" s="22" t="n"/>
      <c r="D37" s="22" t="n"/>
      <c r="E37" s="22" t="n"/>
      <c r="F37" s="22" t="n"/>
      <c r="G37" s="22" t="n"/>
      <c r="H37" s="22" t="n"/>
      <c r="I37" s="22" t="n"/>
    </row>
    <row r="38">
      <c r="A38" s="21" t="n"/>
      <c r="B38" s="22" t="n"/>
      <c r="C38" s="22" t="n"/>
      <c r="D38" s="22" t="n"/>
      <c r="E38" s="22" t="n"/>
      <c r="F38" s="22" t="n"/>
      <c r="G38" s="22" t="n"/>
      <c r="H38" s="22" t="n"/>
      <c r="I38" s="22" t="n"/>
    </row>
    <row r="39">
      <c r="A39" s="21" t="n"/>
      <c r="B39" s="22" t="n"/>
      <c r="C39" s="22" t="n"/>
      <c r="D39" s="22" t="n"/>
      <c r="E39" s="22" t="n"/>
      <c r="F39" s="22" t="n"/>
      <c r="G39" s="22" t="n"/>
      <c r="H39" s="22" t="n"/>
      <c r="I39" s="22" t="n"/>
    </row>
    <row r="40">
      <c r="A40" s="21" t="n"/>
      <c r="B40" s="22" t="n"/>
      <c r="C40" s="22" t="n"/>
      <c r="D40" s="22" t="n"/>
      <c r="E40" s="22" t="n"/>
      <c r="F40" s="22" t="n"/>
      <c r="G40" s="22" t="n"/>
      <c r="H40" s="22" t="n"/>
      <c r="I40" s="22" t="n"/>
    </row>
    <row r="41">
      <c r="A41" s="21" t="n"/>
      <c r="B41" s="22" t="n"/>
      <c r="C41" s="22" t="n"/>
      <c r="D41" s="22" t="n"/>
      <c r="E41" s="22" t="n"/>
      <c r="F41" s="22" t="n"/>
      <c r="G41" s="22" t="n"/>
      <c r="H41" s="22" t="n"/>
      <c r="I41" s="22" t="n"/>
    </row>
    <row r="42">
      <c r="A42" s="21" t="n"/>
      <c r="B42" s="22" t="n"/>
      <c r="C42" s="22" t="n"/>
      <c r="D42" s="22" t="n"/>
      <c r="E42" s="22" t="n"/>
      <c r="F42" s="22" t="n"/>
      <c r="G42" s="22" t="n"/>
      <c r="H42" s="22" t="n"/>
      <c r="I42" s="22" t="n"/>
    </row>
    <row r="43">
      <c r="A43" s="21" t="n"/>
      <c r="B43" s="22" t="n"/>
      <c r="C43" s="22" t="n"/>
      <c r="D43" s="22" t="n"/>
      <c r="E43" s="22" t="n"/>
      <c r="F43" s="22" t="n"/>
      <c r="G43" s="22" t="n"/>
      <c r="H43" s="22" t="n"/>
      <c r="I43" s="22" t="n"/>
    </row>
    <row r="44">
      <c r="A44" s="21" t="n"/>
      <c r="B44" s="22" t="n"/>
      <c r="C44" s="22" t="n"/>
      <c r="D44" s="22" t="n"/>
      <c r="E44" s="22" t="n"/>
      <c r="F44" s="22" t="n"/>
      <c r="G44" s="22" t="n"/>
      <c r="H44" s="22" t="n"/>
      <c r="I44" s="22" t="n"/>
    </row>
    <row r="45">
      <c r="A45" s="21" t="n"/>
      <c r="B45" s="22" t="n"/>
      <c r="C45" s="22" t="n"/>
      <c r="D45" s="22" t="n"/>
      <c r="E45" s="22" t="n"/>
      <c r="F45" s="22" t="n"/>
      <c r="G45" s="22" t="n"/>
      <c r="H45" s="22" t="n"/>
      <c r="I45" s="22" t="n"/>
    </row>
    <row r="46">
      <c r="A46" s="21" t="n"/>
      <c r="B46" s="22" t="n"/>
      <c r="C46" s="22" t="n"/>
      <c r="D46" s="22" t="n"/>
      <c r="E46" s="22" t="n"/>
      <c r="F46" s="22" t="n"/>
      <c r="G46" s="22" t="n"/>
      <c r="H46" s="22" t="n"/>
      <c r="I46" s="22" t="n"/>
    </row>
    <row r="47">
      <c r="A47" s="21" t="n"/>
      <c r="B47" s="22" t="n"/>
      <c r="C47" s="22" t="n"/>
      <c r="D47" s="22" t="n"/>
      <c r="E47" s="22" t="n"/>
      <c r="F47" s="22" t="n"/>
      <c r="G47" s="22" t="n"/>
      <c r="H47" s="22" t="n"/>
      <c r="I47" s="22" t="n"/>
    </row>
    <row r="48">
      <c r="A48" s="21" t="n"/>
      <c r="B48" s="22" t="n"/>
      <c r="C48" s="22" t="n"/>
      <c r="D48" s="22" t="n"/>
      <c r="E48" s="22" t="n"/>
      <c r="F48" s="22" t="n"/>
      <c r="G48" s="22" t="n"/>
      <c r="H48" s="22" t="n"/>
      <c r="I48" s="22" t="n"/>
    </row>
    <row r="49">
      <c r="A49" s="21" t="n"/>
      <c r="B49" s="22" t="n"/>
      <c r="C49" s="22" t="n"/>
      <c r="D49" s="22" t="n"/>
      <c r="E49" s="22" t="n"/>
      <c r="F49" s="22" t="n"/>
      <c r="G49" s="22" t="n"/>
      <c r="H49" s="22" t="n"/>
      <c r="I49" s="22" t="n"/>
    </row>
    <row r="50">
      <c r="A50" s="21" t="n"/>
      <c r="B50" s="22" t="n"/>
      <c r="C50" s="22" t="n"/>
      <c r="D50" s="22" t="n"/>
      <c r="E50" s="22" t="n"/>
      <c r="F50" s="22" t="n"/>
      <c r="G50" s="22" t="n"/>
      <c r="H50" s="22" t="n"/>
      <c r="I50" s="22" t="n"/>
    </row>
    <row r="51">
      <c r="A51" s="21" t="n"/>
      <c r="B51" s="22" t="n"/>
      <c r="C51" s="22" t="n"/>
      <c r="D51" s="22" t="n"/>
      <c r="E51" s="22" t="n"/>
      <c r="F51" s="22" t="n"/>
      <c r="G51" s="22" t="n"/>
      <c r="H51" s="22" t="n"/>
      <c r="I51" s="22" t="n"/>
    </row>
    <row r="52">
      <c r="A52" s="21" t="n"/>
      <c r="B52" s="22" t="n"/>
      <c r="C52" s="22" t="n"/>
      <c r="D52" s="22" t="n"/>
      <c r="E52" s="22" t="n"/>
      <c r="F52" s="22" t="n"/>
      <c r="G52" s="22" t="n"/>
      <c r="H52" s="22" t="n"/>
      <c r="I52" s="22" t="n"/>
    </row>
    <row r="53">
      <c r="A53" s="21" t="n"/>
      <c r="B53" s="22" t="n"/>
      <c r="C53" s="22" t="n"/>
      <c r="D53" s="22" t="n"/>
      <c r="E53" s="22" t="n"/>
      <c r="F53" s="22" t="n"/>
      <c r="G53" s="22" t="n"/>
      <c r="H53" s="22" t="n"/>
      <c r="I53" s="22" t="n"/>
    </row>
    <row r="54">
      <c r="A54" s="21" t="n"/>
      <c r="B54" s="22" t="n"/>
      <c r="C54" s="22" t="n"/>
      <c r="D54" s="22" t="n"/>
      <c r="E54" s="22" t="n"/>
      <c r="F54" s="22" t="n"/>
      <c r="G54" s="22" t="n"/>
      <c r="H54" s="22" t="n"/>
      <c r="I54" s="22" t="n"/>
    </row>
    <row r="55">
      <c r="A55" s="21" t="n"/>
      <c r="B55" s="22" t="n"/>
      <c r="C55" s="22" t="n"/>
      <c r="D55" s="22" t="n"/>
      <c r="E55" s="22" t="n"/>
      <c r="F55" s="22" t="n"/>
      <c r="G55" s="22" t="n"/>
      <c r="H55" s="22" t="n"/>
      <c r="I55" s="22" t="n"/>
    </row>
    <row r="56">
      <c r="A56" s="21" t="n"/>
      <c r="B56" s="22" t="n"/>
      <c r="C56" s="22" t="n"/>
      <c r="D56" s="22" t="n"/>
      <c r="E56" s="22" t="n"/>
      <c r="F56" s="22" t="n"/>
      <c r="G56" s="22" t="n"/>
      <c r="H56" s="22" t="n"/>
      <c r="I56" s="22" t="n"/>
    </row>
    <row r="57">
      <c r="A57" s="21" t="n"/>
      <c r="B57" s="22" t="n"/>
      <c r="C57" s="22" t="n"/>
      <c r="D57" s="22" t="n"/>
      <c r="E57" s="22" t="n"/>
      <c r="F57" s="22" t="n"/>
      <c r="G57" s="22" t="n"/>
      <c r="H57" s="22" t="n"/>
      <c r="I57" s="22" t="n"/>
    </row>
    <row r="58">
      <c r="A58" s="21" t="n"/>
      <c r="B58" s="22" t="n"/>
      <c r="C58" s="22" t="n"/>
      <c r="D58" s="22" t="n"/>
      <c r="E58" s="22" t="n"/>
      <c r="F58" s="22" t="n"/>
      <c r="G58" s="22" t="n"/>
      <c r="H58" s="22" t="n"/>
      <c r="I58" s="22" t="n"/>
    </row>
    <row r="59">
      <c r="A59" s="21" t="n"/>
      <c r="B59" s="22" t="n"/>
      <c r="C59" s="22" t="n"/>
      <c r="D59" s="22" t="n"/>
      <c r="E59" s="22" t="n"/>
      <c r="F59" s="22" t="n"/>
      <c r="G59" s="22" t="n"/>
      <c r="H59" s="22" t="n"/>
      <c r="I59" s="22" t="n"/>
    </row>
    <row r="60">
      <c r="A60" s="21" t="n"/>
      <c r="B60" s="22" t="n"/>
      <c r="C60" s="22" t="n"/>
      <c r="D60" s="22" t="n"/>
      <c r="E60" s="22" t="n"/>
      <c r="F60" s="22" t="n"/>
      <c r="G60" s="22" t="n"/>
      <c r="H60" s="22" t="n"/>
      <c r="I60" s="22" t="n"/>
    </row>
    <row r="61">
      <c r="A61" s="21" t="n"/>
      <c r="B61" s="22" t="n"/>
      <c r="C61" s="22" t="n"/>
      <c r="D61" s="22" t="n"/>
      <c r="E61" s="22" t="n"/>
      <c r="F61" s="22" t="n"/>
      <c r="G61" s="22" t="n"/>
      <c r="H61" s="22" t="n"/>
      <c r="I61" s="22" t="n"/>
    </row>
    <row r="62">
      <c r="A62" s="21" t="n"/>
      <c r="B62" s="22" t="n"/>
      <c r="C62" s="22" t="n"/>
      <c r="D62" s="22" t="n"/>
      <c r="E62" s="22" t="n"/>
      <c r="F62" s="22" t="n"/>
      <c r="G62" s="22" t="n"/>
      <c r="H62" s="22" t="n"/>
      <c r="I62" s="22" t="n"/>
    </row>
    <row r="63">
      <c r="A63" s="21" t="n"/>
      <c r="B63" s="22" t="n"/>
      <c r="C63" s="22" t="n"/>
      <c r="D63" s="22" t="n"/>
      <c r="E63" s="22" t="n"/>
      <c r="F63" s="22" t="n"/>
      <c r="G63" s="22" t="n"/>
      <c r="H63" s="22" t="n"/>
      <c r="I63" s="22" t="n"/>
    </row>
    <row r="64">
      <c r="A64" s="21" t="n"/>
      <c r="B64" s="22" t="n"/>
      <c r="C64" s="22" t="n"/>
      <c r="D64" s="22" t="n"/>
      <c r="E64" s="22" t="n"/>
      <c r="F64" s="22" t="n"/>
      <c r="G64" s="22" t="n"/>
      <c r="H64" s="22" t="n"/>
      <c r="I64" s="22" t="n"/>
    </row>
    <row r="65">
      <c r="A65" s="21" t="n"/>
      <c r="B65" s="22" t="n"/>
      <c r="C65" s="22" t="n"/>
      <c r="D65" s="22" t="n"/>
      <c r="E65" s="22" t="n"/>
      <c r="F65" s="22" t="n"/>
      <c r="G65" s="22" t="n"/>
      <c r="H65" s="22" t="n"/>
      <c r="I65" s="22" t="n"/>
    </row>
    <row r="66">
      <c r="A66" s="21" t="n"/>
      <c r="B66" s="22" t="n"/>
      <c r="C66" s="22" t="n"/>
      <c r="D66" s="22" t="n"/>
      <c r="E66" s="22" t="n"/>
      <c r="F66" s="22" t="n"/>
      <c r="G66" s="22" t="n"/>
      <c r="H66" s="22" t="n"/>
      <c r="I66" s="22" t="n"/>
    </row>
    <row r="67">
      <c r="A67" s="21" t="n"/>
      <c r="B67" s="22" t="n"/>
      <c r="C67" s="22" t="n"/>
      <c r="D67" s="22" t="n"/>
      <c r="E67" s="22" t="n"/>
      <c r="F67" s="22" t="n"/>
      <c r="G67" s="22" t="n"/>
      <c r="H67" s="22" t="n"/>
      <c r="I67" s="22" t="n"/>
    </row>
    <row r="68">
      <c r="A68" s="21" t="n"/>
      <c r="B68" s="22" t="n"/>
      <c r="C68" s="22" t="n"/>
      <c r="D68" s="22" t="n"/>
      <c r="E68" s="22" t="n"/>
      <c r="F68" s="22" t="n"/>
      <c r="G68" s="22" t="n"/>
      <c r="H68" s="22" t="n"/>
      <c r="I68" s="22" t="n"/>
    </row>
    <row r="69">
      <c r="A69" s="21" t="n"/>
      <c r="B69" s="22" t="n"/>
      <c r="C69" s="22" t="n"/>
      <c r="D69" s="22" t="n"/>
      <c r="E69" s="22" t="n"/>
      <c r="F69" s="22" t="n"/>
      <c r="G69" s="22" t="n"/>
      <c r="H69" s="22" t="n"/>
      <c r="I69" s="22" t="n"/>
    </row>
    <row r="70">
      <c r="A70" s="21" t="n"/>
      <c r="B70" s="22" t="n"/>
      <c r="C70" s="22" t="n"/>
      <c r="D70" s="22" t="n"/>
      <c r="E70" s="22" t="n"/>
      <c r="F70" s="22" t="n"/>
      <c r="G70" s="22" t="n"/>
      <c r="H70" s="22" t="n"/>
      <c r="I70" s="22" t="n"/>
    </row>
    <row r="71">
      <c r="A71" s="21" t="n"/>
      <c r="B71" s="22" t="n"/>
      <c r="C71" s="22" t="n"/>
      <c r="D71" s="22" t="n"/>
      <c r="E71" s="22" t="n"/>
      <c r="F71" s="22" t="n"/>
      <c r="G71" s="22" t="n"/>
      <c r="H71" s="22" t="n"/>
      <c r="I71" s="22" t="n"/>
    </row>
    <row r="72">
      <c r="A72" s="21" t="n"/>
      <c r="B72" s="22" t="n"/>
      <c r="C72" s="22" t="n"/>
      <c r="D72" s="22" t="n"/>
      <c r="E72" s="22" t="n"/>
      <c r="F72" s="22" t="n"/>
      <c r="G72" s="22" t="n"/>
      <c r="H72" s="22" t="n"/>
      <c r="I72" s="22" t="n"/>
    </row>
    <row r="73">
      <c r="A73" s="21" t="n"/>
      <c r="B73" s="22" t="n"/>
      <c r="C73" s="22" t="n"/>
      <c r="D73" s="22" t="n"/>
      <c r="E73" s="22" t="n"/>
      <c r="F73" s="22" t="n"/>
      <c r="G73" s="22" t="n"/>
      <c r="H73" s="22" t="n"/>
      <c r="I73" s="22" t="n"/>
    </row>
    <row r="74">
      <c r="A74" s="21" t="n"/>
      <c r="B74" s="22" t="n"/>
      <c r="C74" s="22" t="n"/>
      <c r="D74" s="22" t="n"/>
      <c r="E74" s="22" t="n"/>
      <c r="F74" s="22" t="n"/>
      <c r="G74" s="22" t="n"/>
      <c r="H74" s="22" t="n"/>
      <c r="I74" s="22" t="n"/>
    </row>
    <row r="75">
      <c r="A75" s="21" t="n"/>
      <c r="B75" s="22" t="n"/>
      <c r="C75" s="22" t="n"/>
      <c r="D75" s="22" t="n"/>
      <c r="E75" s="22" t="n"/>
      <c r="F75" s="22" t="n"/>
      <c r="G75" s="22" t="n"/>
      <c r="H75" s="22" t="n"/>
      <c r="I75" s="22" t="n"/>
    </row>
    <row r="76">
      <c r="A76" s="21" t="n"/>
      <c r="B76" s="22" t="n"/>
      <c r="C76" s="22" t="n"/>
      <c r="D76" s="22" t="n"/>
      <c r="E76" s="22" t="n"/>
      <c r="F76" s="22" t="n"/>
      <c r="G76" s="22" t="n"/>
      <c r="H76" s="22" t="n"/>
      <c r="I76" s="22" t="n"/>
    </row>
    <row r="77">
      <c r="A77" s="21" t="n"/>
      <c r="B77" s="22" t="n"/>
      <c r="C77" s="22" t="n"/>
      <c r="D77" s="22" t="n"/>
      <c r="E77" s="22" t="n"/>
      <c r="F77" s="22" t="n"/>
      <c r="G77" s="22" t="n"/>
      <c r="H77" s="22" t="n"/>
      <c r="I77" s="22" t="n"/>
    </row>
    <row r="78">
      <c r="A78" s="21" t="n"/>
      <c r="B78" s="22" t="n"/>
      <c r="C78" s="22" t="n"/>
      <c r="D78" s="22" t="n"/>
      <c r="E78" s="22" t="n"/>
      <c r="F78" s="22" t="n"/>
      <c r="G78" s="22" t="n"/>
      <c r="H78" s="22" t="n"/>
      <c r="I78" s="22" t="n"/>
    </row>
    <row r="79">
      <c r="A79" s="21" t="n"/>
      <c r="B79" s="22" t="n"/>
      <c r="C79" s="22" t="n"/>
      <c r="D79" s="22" t="n"/>
      <c r="E79" s="22" t="n"/>
      <c r="F79" s="22" t="n"/>
      <c r="G79" s="22" t="n"/>
      <c r="H79" s="22" t="n"/>
      <c r="I79" s="22" t="n"/>
    </row>
    <row r="80">
      <c r="A80" s="21" t="n"/>
      <c r="B80" s="22" t="n"/>
      <c r="C80" s="22" t="n"/>
      <c r="D80" s="22" t="n"/>
      <c r="E80" s="22" t="n"/>
      <c r="F80" s="22" t="n"/>
      <c r="G80" s="22" t="n"/>
      <c r="H80" s="22" t="n"/>
      <c r="I80" s="22" t="n"/>
    </row>
    <row r="81">
      <c r="A81" s="21" t="n"/>
      <c r="B81" s="22" t="n"/>
      <c r="C81" s="22" t="n"/>
      <c r="D81" s="22" t="n"/>
      <c r="E81" s="22" t="n"/>
      <c r="F81" s="22" t="n"/>
      <c r="G81" s="22" t="n"/>
      <c r="H81" s="22" t="n"/>
      <c r="I81" s="22" t="n"/>
    </row>
    <row r="82">
      <c r="A82" s="21" t="n"/>
      <c r="B82" s="22" t="n"/>
      <c r="C82" s="22" t="n"/>
      <c r="D82" s="22" t="n"/>
      <c r="E82" s="22" t="n"/>
      <c r="F82" s="22" t="n"/>
      <c r="G82" s="22" t="n"/>
      <c r="H82" s="22" t="n"/>
      <c r="I82" s="22" t="n"/>
    </row>
    <row r="83">
      <c r="A83" s="21" t="n"/>
      <c r="B83" s="22" t="n"/>
      <c r="C83" s="22" t="n"/>
      <c r="D83" s="22" t="n"/>
      <c r="E83" s="22" t="n"/>
      <c r="F83" s="22" t="n"/>
      <c r="G83" s="22" t="n"/>
      <c r="H83" s="22" t="n"/>
      <c r="I83" s="22" t="n"/>
    </row>
    <row r="84">
      <c r="A84" s="21" t="n"/>
      <c r="B84" s="22" t="n"/>
      <c r="C84" s="22" t="n"/>
      <c r="D84" s="22" t="n"/>
      <c r="E84" s="22" t="n"/>
      <c r="F84" s="22" t="n"/>
      <c r="G84" s="22" t="n"/>
      <c r="H84" s="22" t="n"/>
      <c r="I84" s="22" t="n"/>
    </row>
    <row r="85">
      <c r="A85" s="21" t="n"/>
      <c r="B85" s="22" t="n"/>
      <c r="C85" s="22" t="n"/>
      <c r="D85" s="22" t="n"/>
      <c r="E85" s="22" t="n"/>
      <c r="F85" s="22" t="n"/>
      <c r="G85" s="22" t="n"/>
      <c r="H85" s="22" t="n"/>
      <c r="I85" s="22" t="n"/>
    </row>
    <row r="86">
      <c r="A86" s="21" t="n"/>
      <c r="B86" s="22" t="n"/>
      <c r="C86" s="22" t="n"/>
      <c r="D86" s="22" t="n"/>
      <c r="E86" s="22" t="n"/>
      <c r="F86" s="22" t="n"/>
      <c r="G86" s="22" t="n"/>
      <c r="H86" s="22" t="n"/>
      <c r="I86" s="22" t="n"/>
    </row>
    <row r="87">
      <c r="A87" s="21" t="n"/>
      <c r="B87" s="22" t="n"/>
      <c r="C87" s="22" t="n"/>
      <c r="D87" s="22" t="n"/>
      <c r="E87" s="22" t="n"/>
      <c r="F87" s="22" t="n"/>
      <c r="G87" s="22" t="n"/>
      <c r="H87" s="22" t="n"/>
      <c r="I87" s="22" t="n"/>
    </row>
    <row r="88">
      <c r="A88" s="21" t="n"/>
      <c r="B88" s="22" t="n"/>
      <c r="C88" s="22" t="n"/>
      <c r="D88" s="22" t="n"/>
      <c r="E88" s="22" t="n"/>
      <c r="F88" s="22" t="n"/>
      <c r="G88" s="22" t="n"/>
      <c r="H88" s="22" t="n"/>
      <c r="I88" s="22" t="n"/>
    </row>
    <row r="89">
      <c r="A89" s="21" t="n"/>
      <c r="B89" s="22" t="n"/>
      <c r="C89" s="22" t="n"/>
      <c r="D89" s="22" t="n"/>
      <c r="E89" s="22" t="n"/>
      <c r="F89" s="22" t="n"/>
      <c r="G89" s="22" t="n"/>
      <c r="H89" s="22" t="n"/>
      <c r="I89" s="22" t="n"/>
    </row>
    <row r="90">
      <c r="A90" s="21" t="n"/>
      <c r="B90" s="22" t="n"/>
      <c r="C90" s="22" t="n"/>
      <c r="D90" s="22" t="n"/>
      <c r="E90" s="22" t="n"/>
      <c r="F90" s="22" t="n"/>
      <c r="G90" s="22" t="n"/>
      <c r="H90" s="22" t="n"/>
      <c r="I90" s="22" t="n"/>
    </row>
    <row r="91">
      <c r="A91" s="21" t="n"/>
      <c r="B91" s="22" t="n"/>
      <c r="C91" s="22" t="n"/>
      <c r="D91" s="22" t="n"/>
      <c r="E91" s="22" t="n"/>
      <c r="F91" s="22" t="n"/>
      <c r="G91" s="22" t="n"/>
      <c r="H91" s="22" t="n"/>
      <c r="I91" s="22" t="n"/>
    </row>
    <row r="92">
      <c r="A92" s="21" t="n"/>
      <c r="B92" s="22" t="n"/>
      <c r="C92" s="22" t="n"/>
      <c r="D92" s="22" t="n"/>
      <c r="E92" s="22" t="n"/>
      <c r="F92" s="22" t="n"/>
      <c r="G92" s="22" t="n"/>
      <c r="H92" s="22" t="n"/>
      <c r="I92" s="22" t="n"/>
    </row>
    <row r="93">
      <c r="A93" s="21" t="n"/>
      <c r="B93" s="22" t="n"/>
      <c r="C93" s="22" t="n"/>
      <c r="D93" s="22" t="n"/>
      <c r="E93" s="22" t="n"/>
      <c r="F93" s="22" t="n"/>
      <c r="G93" s="22" t="n"/>
      <c r="H93" s="22" t="n"/>
      <c r="I93" s="22" t="n"/>
    </row>
    <row r="94">
      <c r="A94" s="21" t="n"/>
      <c r="B94" s="22" t="n"/>
      <c r="C94" s="22" t="n"/>
      <c r="D94" s="22" t="n"/>
      <c r="E94" s="22" t="n"/>
      <c r="F94" s="22" t="n"/>
      <c r="G94" s="22" t="n"/>
      <c r="H94" s="22" t="n"/>
      <c r="I94" s="22" t="n"/>
    </row>
    <row r="95">
      <c r="A95" s="21" t="n"/>
      <c r="B95" s="22" t="n"/>
      <c r="C95" s="22" t="n"/>
      <c r="D95" s="22" t="n"/>
      <c r="E95" s="22" t="n"/>
      <c r="F95" s="22" t="n"/>
      <c r="G95" s="22" t="n"/>
      <c r="H95" s="22" t="n"/>
      <c r="I95" s="22" t="n"/>
    </row>
    <row r="96">
      <c r="A96" s="21" t="n"/>
      <c r="B96" s="22" t="n"/>
      <c r="C96" s="22" t="n"/>
      <c r="D96" s="22" t="n"/>
      <c r="E96" s="22" t="n"/>
      <c r="F96" s="22" t="n"/>
      <c r="G96" s="22" t="n"/>
      <c r="H96" s="22" t="n"/>
      <c r="I96" s="22" t="n"/>
    </row>
    <row r="97">
      <c r="A97" s="21" t="n"/>
      <c r="B97" s="22" t="n"/>
      <c r="C97" s="22" t="n"/>
      <c r="D97" s="22" t="n"/>
      <c r="E97" s="22" t="n"/>
      <c r="F97" s="22" t="n"/>
      <c r="G97" s="22" t="n"/>
      <c r="H97" s="22" t="n"/>
      <c r="I97" s="22" t="n"/>
    </row>
    <row r="98">
      <c r="A98" s="21" t="n"/>
      <c r="B98" s="22" t="n"/>
      <c r="C98" s="22" t="n"/>
      <c r="D98" s="22" t="n"/>
      <c r="E98" s="22" t="n"/>
      <c r="F98" s="22" t="n"/>
      <c r="G98" s="22" t="n"/>
      <c r="H98" s="22" t="n"/>
      <c r="I98" s="22" t="n"/>
    </row>
    <row r="99">
      <c r="A99" s="21" t="n"/>
      <c r="B99" s="22" t="n"/>
      <c r="C99" s="22" t="n"/>
      <c r="D99" s="22" t="n"/>
      <c r="E99" s="22" t="n"/>
      <c r="F99" s="22" t="n"/>
      <c r="G99" s="22" t="n"/>
      <c r="H99" s="22" t="n"/>
      <c r="I99" s="22" t="n"/>
    </row>
    <row r="100">
      <c r="A100" s="21" t="n"/>
      <c r="B100" s="22" t="n"/>
      <c r="C100" s="22" t="n"/>
      <c r="D100" s="22" t="n"/>
      <c r="E100" s="22" t="n"/>
      <c r="F100" s="22" t="n"/>
      <c r="G100" s="22" t="n"/>
      <c r="H100" s="22" t="n"/>
      <c r="I100" s="22" t="n"/>
    </row>
    <row r="101">
      <c r="A101" s="21" t="n"/>
      <c r="B101" s="22" t="n"/>
      <c r="C101" s="22" t="n"/>
      <c r="D101" s="22" t="n"/>
      <c r="E101" s="22" t="n"/>
      <c r="F101" s="22" t="n"/>
      <c r="G101" s="22" t="n"/>
      <c r="H101" s="22" t="n"/>
      <c r="I101" s="22" t="n"/>
    </row>
    <row r="102">
      <c r="A102" s="21" t="n"/>
      <c r="B102" s="22" t="n"/>
      <c r="C102" s="22" t="n"/>
      <c r="D102" s="22" t="n"/>
      <c r="E102" s="22" t="n"/>
      <c r="F102" s="22" t="n"/>
      <c r="G102" s="22" t="n"/>
      <c r="H102" s="22" t="n"/>
      <c r="I102" s="22" t="n"/>
    </row>
    <row r="103">
      <c r="A103" s="21" t="n"/>
      <c r="B103" s="22" t="n"/>
      <c r="C103" s="22" t="n"/>
      <c r="D103" s="22" t="n"/>
      <c r="E103" s="22" t="n"/>
      <c r="F103" s="22" t="n"/>
      <c r="G103" s="22" t="n"/>
      <c r="H103" s="22" t="n"/>
      <c r="I103" s="22" t="n"/>
    </row>
    <row r="104">
      <c r="A104" s="21" t="n"/>
      <c r="B104" s="22" t="n"/>
      <c r="C104" s="22" t="n"/>
      <c r="D104" s="22" t="n"/>
      <c r="E104" s="22" t="n"/>
      <c r="F104" s="22" t="n"/>
      <c r="G104" s="22" t="n"/>
      <c r="H104" s="22" t="n"/>
      <c r="I104" s="22" t="n"/>
    </row>
    <row r="105">
      <c r="A105" s="21" t="n"/>
      <c r="B105" s="22" t="n"/>
      <c r="C105" s="22" t="n"/>
      <c r="D105" s="22" t="n"/>
      <c r="E105" s="22" t="n"/>
      <c r="F105" s="22" t="n"/>
      <c r="G105" s="22" t="n"/>
      <c r="H105" s="22" t="n"/>
      <c r="I105" s="22" t="n"/>
    </row>
    <row r="106">
      <c r="A106" s="21" t="n"/>
      <c r="B106" s="22" t="n"/>
      <c r="C106" s="22" t="n"/>
      <c r="D106" s="22" t="n"/>
      <c r="E106" s="22" t="n"/>
      <c r="F106" s="22" t="n"/>
      <c r="G106" s="22" t="n"/>
      <c r="H106" s="22" t="n"/>
      <c r="I106" s="22" t="n"/>
    </row>
    <row r="107">
      <c r="A107" s="21" t="n"/>
      <c r="B107" s="22" t="n"/>
      <c r="C107" s="22" t="n"/>
      <c r="D107" s="22" t="n"/>
      <c r="E107" s="22" t="n"/>
      <c r="F107" s="22" t="n"/>
      <c r="G107" s="22" t="n"/>
      <c r="H107" s="22" t="n"/>
      <c r="I107" s="22" t="n"/>
    </row>
    <row r="108">
      <c r="A108" s="21" t="n"/>
      <c r="B108" s="22" t="n"/>
      <c r="C108" s="22" t="n"/>
      <c r="D108" s="22" t="n"/>
      <c r="E108" s="22" t="n"/>
      <c r="F108" s="22" t="n"/>
      <c r="G108" s="22" t="n"/>
      <c r="H108" s="22" t="n"/>
      <c r="I108" s="22" t="n"/>
    </row>
    <row r="109">
      <c r="A109" s="21" t="n"/>
      <c r="B109" s="22" t="n"/>
      <c r="C109" s="22" t="n"/>
      <c r="D109" s="22" t="n"/>
      <c r="E109" s="22" t="n"/>
      <c r="F109" s="22" t="n"/>
      <c r="G109" s="22" t="n"/>
      <c r="H109" s="22" t="n"/>
      <c r="I109" s="22" t="n"/>
    </row>
    <row r="110">
      <c r="A110" s="21" t="n"/>
      <c r="B110" s="22" t="n"/>
      <c r="C110" s="22" t="n"/>
      <c r="D110" s="22" t="n"/>
      <c r="E110" s="22" t="n"/>
      <c r="F110" s="22" t="n"/>
      <c r="G110" s="22" t="n"/>
      <c r="H110" s="22" t="n"/>
      <c r="I110" s="22" t="n"/>
    </row>
    <row r="111">
      <c r="A111" s="21" t="n"/>
      <c r="B111" s="22" t="n"/>
      <c r="C111" s="22" t="n"/>
      <c r="D111" s="22" t="n"/>
      <c r="E111" s="22" t="n"/>
      <c r="F111" s="22" t="n"/>
      <c r="G111" s="22" t="n"/>
      <c r="H111" s="22" t="n"/>
      <c r="I111" s="22" t="n"/>
    </row>
    <row r="112">
      <c r="A112" s="21" t="n"/>
      <c r="B112" s="22" t="n"/>
      <c r="C112" s="22" t="n"/>
      <c r="D112" s="22" t="n"/>
      <c r="E112" s="22" t="n"/>
      <c r="F112" s="22" t="n"/>
      <c r="G112" s="22" t="n"/>
      <c r="H112" s="22" t="n"/>
      <c r="I112" s="22" t="n"/>
    </row>
    <row r="113">
      <c r="A113" s="21" t="n"/>
      <c r="B113" s="22" t="n"/>
      <c r="C113" s="22" t="n"/>
      <c r="D113" s="22" t="n"/>
      <c r="E113" s="22" t="n"/>
      <c r="F113" s="22" t="n"/>
      <c r="G113" s="22" t="n"/>
      <c r="H113" s="22" t="n"/>
      <c r="I113" s="22" t="n"/>
    </row>
    <row r="114">
      <c r="A114" s="21" t="n"/>
      <c r="B114" s="22" t="n"/>
      <c r="C114" s="22" t="n"/>
      <c r="D114" s="22" t="n"/>
      <c r="E114" s="22" t="n"/>
      <c r="F114" s="22" t="n"/>
      <c r="G114" s="22" t="n"/>
      <c r="H114" s="22" t="n"/>
      <c r="I114" s="22" t="n"/>
    </row>
    <row r="115">
      <c r="A115" s="21" t="n"/>
      <c r="B115" s="22" t="n"/>
      <c r="C115" s="22" t="n"/>
      <c r="D115" s="22" t="n"/>
      <c r="E115" s="22" t="n"/>
      <c r="F115" s="22" t="n"/>
      <c r="G115" s="22" t="n"/>
      <c r="H115" s="22" t="n"/>
      <c r="I115" s="22" t="n"/>
    </row>
    <row r="116">
      <c r="A116" s="21" t="n"/>
      <c r="B116" s="22" t="n"/>
      <c r="C116" s="22" t="n"/>
      <c r="D116" s="22" t="n"/>
      <c r="E116" s="22" t="n"/>
      <c r="F116" s="22" t="n"/>
      <c r="G116" s="22" t="n"/>
      <c r="H116" s="22" t="n"/>
      <c r="I116" s="22" t="n"/>
    </row>
    <row r="117">
      <c r="A117" s="21" t="n"/>
      <c r="B117" s="22" t="n"/>
      <c r="C117" s="22" t="n"/>
      <c r="D117" s="22" t="n"/>
      <c r="E117" s="22" t="n"/>
      <c r="F117" s="22" t="n"/>
      <c r="G117" s="22" t="n"/>
      <c r="H117" s="22" t="n"/>
      <c r="I117" s="22" t="n"/>
    </row>
    <row r="118">
      <c r="A118" s="21" t="n"/>
      <c r="B118" s="22" t="n"/>
      <c r="C118" s="22" t="n"/>
      <c r="D118" s="22" t="n"/>
      <c r="E118" s="22" t="n"/>
      <c r="F118" s="22" t="n"/>
      <c r="G118" s="22" t="n"/>
      <c r="H118" s="22" t="n"/>
      <c r="I118" s="22" t="n"/>
    </row>
    <row r="119">
      <c r="A119" s="21" t="n"/>
      <c r="B119" s="22" t="n"/>
      <c r="C119" s="22" t="n"/>
      <c r="D119" s="22" t="n"/>
      <c r="E119" s="22" t="n"/>
      <c r="F119" s="22" t="n"/>
      <c r="G119" s="22" t="n"/>
      <c r="H119" s="22" t="n"/>
      <c r="I119" s="22" t="n"/>
    </row>
    <row r="120">
      <c r="A120" s="21" t="n"/>
      <c r="B120" s="22" t="n"/>
      <c r="C120" s="22" t="n"/>
      <c r="D120" s="22" t="n"/>
      <c r="E120" s="22" t="n"/>
      <c r="F120" s="22" t="n"/>
      <c r="G120" s="22" t="n"/>
      <c r="H120" s="22" t="n"/>
      <c r="I120" s="22" t="n"/>
    </row>
    <row r="121">
      <c r="A121" s="21" t="n"/>
      <c r="B121" s="22" t="n"/>
      <c r="C121" s="22" t="n"/>
      <c r="D121" s="22" t="n"/>
      <c r="E121" s="22" t="n"/>
      <c r="F121" s="22" t="n"/>
      <c r="G121" s="22" t="n"/>
      <c r="H121" s="22" t="n"/>
      <c r="I121" s="22" t="n"/>
    </row>
    <row r="122">
      <c r="A122" s="21" t="n"/>
      <c r="B122" s="22" t="n"/>
      <c r="C122" s="22" t="n"/>
      <c r="D122" s="22" t="n"/>
      <c r="E122" s="22" t="n"/>
      <c r="F122" s="22" t="n"/>
      <c r="G122" s="22" t="n"/>
      <c r="H122" s="22" t="n"/>
      <c r="I122" s="22" t="n"/>
    </row>
    <row r="123">
      <c r="A123" s="21" t="n"/>
      <c r="B123" s="22" t="n"/>
      <c r="C123" s="22" t="n"/>
      <c r="D123" s="22" t="n"/>
      <c r="E123" s="22" t="n"/>
      <c r="F123" s="22" t="n"/>
      <c r="G123" s="22" t="n"/>
      <c r="H123" s="22" t="n"/>
      <c r="I123" s="22" t="n"/>
    </row>
    <row r="124">
      <c r="A124" s="21" t="n"/>
      <c r="B124" s="22" t="n"/>
      <c r="C124" s="22" t="n"/>
      <c r="D124" s="22" t="n"/>
      <c r="E124" s="22" t="n"/>
      <c r="F124" s="22" t="n"/>
      <c r="G124" s="22" t="n"/>
      <c r="H124" s="22" t="n"/>
      <c r="I124" s="22" t="n"/>
    </row>
    <row r="125">
      <c r="A125" s="21" t="n"/>
      <c r="B125" s="22" t="n"/>
      <c r="C125" s="22" t="n"/>
      <c r="D125" s="22" t="n"/>
      <c r="E125" s="22" t="n"/>
      <c r="F125" s="22" t="n"/>
      <c r="G125" s="22" t="n"/>
      <c r="H125" s="22" t="n"/>
      <c r="I125" s="22" t="n"/>
    </row>
    <row r="126">
      <c r="A126" s="21" t="n"/>
      <c r="B126" s="22" t="n"/>
      <c r="C126" s="22" t="n"/>
      <c r="D126" s="22" t="n"/>
      <c r="E126" s="22" t="n"/>
      <c r="F126" s="22" t="n"/>
      <c r="G126" s="22" t="n"/>
      <c r="H126" s="22" t="n"/>
      <c r="I126" s="22" t="n"/>
    </row>
    <row r="127">
      <c r="A127" s="21" t="n"/>
      <c r="B127" s="22" t="n"/>
      <c r="C127" s="22" t="n"/>
      <c r="D127" s="22" t="n"/>
      <c r="E127" s="22" t="n"/>
      <c r="F127" s="22" t="n"/>
      <c r="G127" s="22" t="n"/>
      <c r="H127" s="22" t="n"/>
      <c r="I127" s="22" t="n"/>
    </row>
    <row r="128">
      <c r="A128" s="21" t="n"/>
      <c r="B128" s="22" t="n"/>
      <c r="C128" s="22" t="n"/>
      <c r="D128" s="22" t="n"/>
      <c r="E128" s="22" t="n"/>
      <c r="F128" s="22" t="n"/>
      <c r="G128" s="22" t="n"/>
      <c r="H128" s="22" t="n"/>
      <c r="I128" s="22" t="n"/>
    </row>
    <row r="129">
      <c r="A129" s="21" t="n"/>
      <c r="B129" s="22" t="n"/>
      <c r="C129" s="22" t="n"/>
      <c r="D129" s="22" t="n"/>
      <c r="E129" s="22" t="n"/>
      <c r="F129" s="22" t="n"/>
      <c r="G129" s="22" t="n"/>
      <c r="H129" s="22" t="n"/>
      <c r="I129" s="22" t="n"/>
    </row>
    <row r="130">
      <c r="A130" s="21" t="n"/>
      <c r="B130" s="22" t="n"/>
      <c r="C130" s="22" t="n"/>
      <c r="D130" s="22" t="n"/>
      <c r="E130" s="22" t="n"/>
      <c r="F130" s="22" t="n"/>
      <c r="G130" s="22" t="n"/>
      <c r="H130" s="22" t="n"/>
      <c r="I130" s="22" t="n"/>
    </row>
    <row r="131">
      <c r="A131" s="21" t="n"/>
      <c r="B131" s="22" t="n"/>
      <c r="C131" s="22" t="n"/>
      <c r="D131" s="22" t="n"/>
      <c r="E131" s="22" t="n"/>
      <c r="F131" s="22" t="n"/>
      <c r="G131" s="22" t="n"/>
      <c r="H131" s="22" t="n"/>
      <c r="I131" s="22" t="n"/>
    </row>
    <row r="132">
      <c r="A132" s="21" t="n"/>
      <c r="B132" s="22" t="n"/>
      <c r="C132" s="22" t="n"/>
      <c r="D132" s="22" t="n"/>
      <c r="E132" s="22" t="n"/>
      <c r="F132" s="22" t="n"/>
      <c r="G132" s="22" t="n"/>
      <c r="H132" s="22" t="n"/>
      <c r="I132" s="22" t="n"/>
    </row>
    <row r="133">
      <c r="A133" s="21" t="n"/>
      <c r="B133" s="22" t="n"/>
      <c r="C133" s="22" t="n"/>
      <c r="D133" s="22" t="n"/>
      <c r="E133" s="22" t="n"/>
      <c r="F133" s="22" t="n"/>
      <c r="G133" s="22" t="n"/>
      <c r="H133" s="22" t="n"/>
      <c r="I133" s="22" t="n"/>
    </row>
    <row r="134">
      <c r="A134" s="21" t="n"/>
      <c r="B134" s="22" t="n"/>
      <c r="C134" s="22" t="n"/>
      <c r="D134" s="22" t="n"/>
      <c r="E134" s="22" t="n"/>
      <c r="F134" s="22" t="n"/>
      <c r="G134" s="22" t="n"/>
      <c r="H134" s="22" t="n"/>
      <c r="I134" s="22" t="n"/>
    </row>
    <row r="135">
      <c r="A135" s="21" t="n"/>
      <c r="B135" s="22" t="n"/>
      <c r="C135" s="22" t="n"/>
      <c r="D135" s="22" t="n"/>
      <c r="E135" s="22" t="n"/>
      <c r="F135" s="22" t="n"/>
      <c r="G135" s="22" t="n"/>
      <c r="H135" s="22" t="n"/>
      <c r="I135" s="22" t="n"/>
    </row>
    <row r="136">
      <c r="A136" s="21" t="n"/>
      <c r="B136" s="22" t="n"/>
      <c r="C136" s="22" t="n"/>
      <c r="D136" s="22" t="n"/>
      <c r="E136" s="22" t="n"/>
      <c r="F136" s="22" t="n"/>
      <c r="G136" s="22" t="n"/>
      <c r="H136" s="22" t="n"/>
      <c r="I136" s="22" t="n"/>
    </row>
    <row r="137">
      <c r="A137" s="21" t="n"/>
      <c r="B137" s="22" t="n"/>
      <c r="C137" s="22" t="n"/>
      <c r="D137" s="22" t="n"/>
      <c r="E137" s="22" t="n"/>
      <c r="F137" s="22" t="n"/>
      <c r="G137" s="22" t="n"/>
      <c r="H137" s="22" t="n"/>
      <c r="I137" s="22" t="n"/>
    </row>
    <row r="138">
      <c r="A138" s="21" t="n"/>
      <c r="B138" s="22" t="n"/>
      <c r="C138" s="22" t="n"/>
      <c r="D138" s="22" t="n"/>
      <c r="E138" s="22" t="n"/>
      <c r="F138" s="22" t="n"/>
      <c r="G138" s="22" t="n"/>
      <c r="H138" s="22" t="n"/>
      <c r="I138" s="22" t="n"/>
    </row>
    <row r="139">
      <c r="A139" s="21" t="n"/>
      <c r="B139" s="22" t="n"/>
      <c r="C139" s="22" t="n"/>
      <c r="D139" s="22" t="n"/>
      <c r="E139" s="22" t="n"/>
      <c r="F139" s="22" t="n"/>
      <c r="G139" s="22" t="n"/>
      <c r="H139" s="22" t="n"/>
      <c r="I139" s="22" t="n"/>
    </row>
    <row r="140">
      <c r="A140" s="21" t="n"/>
      <c r="B140" s="22" t="n"/>
      <c r="C140" s="22" t="n"/>
      <c r="D140" s="22" t="n"/>
      <c r="E140" s="22" t="n"/>
      <c r="F140" s="22" t="n"/>
      <c r="G140" s="22" t="n"/>
      <c r="H140" s="22" t="n"/>
      <c r="I140" s="22" t="n"/>
    </row>
    <row r="141">
      <c r="A141" s="21" t="n"/>
      <c r="B141" s="22" t="n"/>
      <c r="C141" s="22" t="n"/>
      <c r="D141" s="22" t="n"/>
      <c r="E141" s="22" t="n"/>
      <c r="F141" s="22" t="n"/>
      <c r="G141" s="22" t="n"/>
      <c r="H141" s="22" t="n"/>
      <c r="I141" s="22" t="n"/>
    </row>
    <row r="142">
      <c r="A142" s="21" t="n"/>
      <c r="B142" s="22" t="n"/>
      <c r="C142" s="22" t="n"/>
      <c r="D142" s="22" t="n"/>
      <c r="E142" s="22" t="n"/>
      <c r="F142" s="22" t="n"/>
      <c r="G142" s="22" t="n"/>
      <c r="H142" s="22" t="n"/>
      <c r="I142" s="22" t="n"/>
    </row>
    <row r="143">
      <c r="A143" s="21" t="n"/>
      <c r="B143" s="22" t="n"/>
      <c r="C143" s="22" t="n"/>
      <c r="D143" s="22" t="n"/>
      <c r="E143" s="22" t="n"/>
      <c r="F143" s="22" t="n"/>
      <c r="G143" s="22" t="n"/>
      <c r="H143" s="22" t="n"/>
      <c r="I143" s="22" t="n"/>
    </row>
    <row r="144">
      <c r="A144" s="21" t="n"/>
      <c r="B144" s="22" t="n"/>
      <c r="C144" s="22" t="n"/>
      <c r="D144" s="22" t="n"/>
      <c r="E144" s="22" t="n"/>
      <c r="F144" s="22" t="n"/>
      <c r="G144" s="22" t="n"/>
      <c r="H144" s="22" t="n"/>
      <c r="I144" s="22" t="n"/>
    </row>
    <row r="145">
      <c r="A145" s="21" t="n"/>
      <c r="B145" s="22" t="n"/>
      <c r="C145" s="22" t="n"/>
      <c r="D145" s="22" t="n"/>
      <c r="E145" s="22" t="n"/>
      <c r="F145" s="22" t="n"/>
      <c r="G145" s="22" t="n"/>
      <c r="H145" s="22" t="n"/>
      <c r="I145" s="22" t="n"/>
    </row>
    <row r="146">
      <c r="A146" s="21" t="n"/>
      <c r="B146" s="22" t="n"/>
      <c r="C146" s="22" t="n"/>
      <c r="D146" s="22" t="n"/>
      <c r="E146" s="22" t="n"/>
      <c r="F146" s="22" t="n"/>
      <c r="G146" s="22" t="n"/>
      <c r="H146" s="22" t="n"/>
      <c r="I146" s="22" t="n"/>
    </row>
    <row r="147">
      <c r="A147" s="21" t="n"/>
      <c r="B147" s="22" t="n"/>
      <c r="C147" s="22" t="n"/>
      <c r="D147" s="22" t="n"/>
      <c r="E147" s="22" t="n"/>
      <c r="F147" s="22" t="n"/>
      <c r="G147" s="22" t="n"/>
      <c r="H147" s="22" t="n"/>
      <c r="I147" s="22" t="n"/>
    </row>
    <row r="148">
      <c r="A148" s="21" t="n"/>
      <c r="B148" s="22" t="n"/>
      <c r="C148" s="22" t="n"/>
      <c r="D148" s="22" t="n"/>
      <c r="E148" s="22" t="n"/>
      <c r="F148" s="22" t="n"/>
      <c r="G148" s="22" t="n"/>
      <c r="H148" s="22" t="n"/>
      <c r="I148" s="22" t="n"/>
    </row>
    <row r="149">
      <c r="A149" s="21" t="n"/>
      <c r="B149" s="22" t="n"/>
      <c r="C149" s="22" t="n"/>
      <c r="D149" s="22" t="n"/>
      <c r="E149" s="22" t="n"/>
      <c r="F149" s="22" t="n"/>
      <c r="G149" s="22" t="n"/>
      <c r="H149" s="22" t="n"/>
      <c r="I149" s="22" t="n"/>
    </row>
    <row r="150">
      <c r="A150" s="21" t="n"/>
      <c r="B150" s="22" t="n"/>
      <c r="C150" s="22" t="n"/>
      <c r="D150" s="22" t="n"/>
      <c r="E150" s="22" t="n"/>
      <c r="F150" s="22" t="n"/>
      <c r="G150" s="22" t="n"/>
      <c r="H150" s="22" t="n"/>
      <c r="I150" s="22" t="n"/>
    </row>
    <row r="151">
      <c r="A151" s="21" t="n"/>
      <c r="B151" s="22" t="n"/>
      <c r="C151" s="22" t="n"/>
      <c r="D151" s="22" t="n"/>
      <c r="E151" s="22" t="n"/>
      <c r="F151" s="22" t="n"/>
      <c r="G151" s="22" t="n"/>
      <c r="H151" s="22" t="n"/>
      <c r="I151" s="22" t="n"/>
    </row>
    <row r="152">
      <c r="A152" s="21" t="n"/>
      <c r="B152" s="22" t="n"/>
      <c r="C152" s="22" t="n"/>
      <c r="D152" s="22" t="n"/>
      <c r="E152" s="22" t="n"/>
      <c r="F152" s="22" t="n"/>
      <c r="G152" s="22" t="n"/>
      <c r="H152" s="22" t="n"/>
      <c r="I152" s="22" t="n"/>
    </row>
    <row r="153">
      <c r="A153" s="21" t="n"/>
      <c r="B153" s="22" t="n"/>
      <c r="C153" s="22" t="n"/>
      <c r="D153" s="22" t="n"/>
      <c r="E153" s="22" t="n"/>
      <c r="F153" s="22" t="n"/>
      <c r="G153" s="22" t="n"/>
      <c r="H153" s="22" t="n"/>
      <c r="I153" s="22" t="n"/>
    </row>
    <row r="154">
      <c r="A154" s="21" t="n"/>
      <c r="B154" s="22" t="n"/>
      <c r="C154" s="22" t="n"/>
      <c r="D154" s="22" t="n"/>
      <c r="E154" s="22" t="n"/>
      <c r="F154" s="22" t="n"/>
      <c r="G154" s="22" t="n"/>
      <c r="H154" s="22" t="n"/>
      <c r="I154" s="22" t="n"/>
    </row>
    <row r="155">
      <c r="A155" s="21" t="n"/>
      <c r="B155" s="22" t="n"/>
      <c r="C155" s="22" t="n"/>
      <c r="D155" s="22" t="n"/>
      <c r="E155" s="22" t="n"/>
      <c r="F155" s="22" t="n"/>
      <c r="G155" s="22" t="n"/>
      <c r="H155" s="22" t="n"/>
      <c r="I155" s="22" t="n"/>
    </row>
    <row r="156">
      <c r="A156" s="21" t="n"/>
      <c r="B156" s="22" t="n"/>
      <c r="C156" s="22" t="n"/>
      <c r="D156" s="22" t="n"/>
      <c r="E156" s="22" t="n"/>
      <c r="F156" s="22" t="n"/>
      <c r="G156" s="22" t="n"/>
      <c r="H156" s="22" t="n"/>
      <c r="I156" s="22" t="n"/>
    </row>
    <row r="157">
      <c r="A157" s="21" t="n"/>
      <c r="B157" s="22" t="n"/>
      <c r="C157" s="22" t="n"/>
      <c r="D157" s="22" t="n"/>
      <c r="E157" s="22" t="n"/>
      <c r="F157" s="22" t="n"/>
      <c r="G157" s="22" t="n"/>
      <c r="H157" s="22" t="n"/>
      <c r="I157" s="22" t="n"/>
    </row>
    <row r="158">
      <c r="A158" s="21" t="n"/>
      <c r="B158" s="22" t="n"/>
      <c r="C158" s="22" t="n"/>
      <c r="D158" s="22" t="n"/>
      <c r="E158" s="22" t="n"/>
      <c r="F158" s="22" t="n"/>
      <c r="G158" s="22" t="n"/>
      <c r="H158" s="22" t="n"/>
      <c r="I158" s="22" t="n"/>
    </row>
    <row r="159">
      <c r="A159" s="21" t="n"/>
      <c r="B159" s="22" t="n"/>
      <c r="C159" s="22" t="n"/>
      <c r="D159" s="22" t="n"/>
      <c r="E159" s="22" t="n"/>
      <c r="F159" s="22" t="n"/>
      <c r="G159" s="22" t="n"/>
      <c r="H159" s="22" t="n"/>
      <c r="I159" s="22" t="n"/>
    </row>
    <row r="160">
      <c r="A160" s="21" t="n"/>
      <c r="B160" s="22" t="n"/>
      <c r="C160" s="22" t="n"/>
      <c r="D160" s="22" t="n"/>
      <c r="E160" s="22" t="n"/>
      <c r="F160" s="22" t="n"/>
      <c r="G160" s="22" t="n"/>
      <c r="H160" s="22" t="n"/>
      <c r="I160" s="22" t="n"/>
    </row>
    <row r="161">
      <c r="A161" s="21" t="n"/>
      <c r="B161" s="22" t="n"/>
      <c r="C161" s="22" t="n"/>
      <c r="D161" s="22" t="n"/>
      <c r="E161" s="22" t="n"/>
      <c r="F161" s="22" t="n"/>
      <c r="G161" s="22" t="n"/>
      <c r="H161" s="22" t="n"/>
      <c r="I161" s="22" t="n"/>
    </row>
    <row r="162">
      <c r="A162" s="21" t="n"/>
      <c r="B162" s="22" t="n"/>
      <c r="C162" s="22" t="n"/>
      <c r="D162" s="22" t="n"/>
      <c r="E162" s="22" t="n"/>
      <c r="F162" s="22" t="n"/>
      <c r="G162" s="22" t="n"/>
      <c r="H162" s="22" t="n"/>
      <c r="I162" s="22" t="n"/>
    </row>
    <row r="163">
      <c r="A163" s="21" t="n"/>
      <c r="B163" s="22" t="n"/>
      <c r="C163" s="22" t="n"/>
      <c r="D163" s="22" t="n"/>
      <c r="E163" s="22" t="n"/>
      <c r="F163" s="22" t="n"/>
      <c r="G163" s="22" t="n"/>
      <c r="H163" s="22" t="n"/>
      <c r="I163" s="22" t="n"/>
    </row>
    <row r="164">
      <c r="A164" s="21" t="n"/>
      <c r="B164" s="22" t="n"/>
      <c r="C164" s="22" t="n"/>
      <c r="D164" s="22" t="n"/>
      <c r="E164" s="22" t="n"/>
      <c r="F164" s="22" t="n"/>
      <c r="G164" s="22" t="n"/>
      <c r="H164" s="22" t="n"/>
      <c r="I164" s="22" t="n"/>
    </row>
    <row r="165">
      <c r="A165" s="21" t="n"/>
      <c r="B165" s="22" t="n"/>
      <c r="C165" s="22" t="n"/>
      <c r="D165" s="22" t="n"/>
      <c r="E165" s="22" t="n"/>
      <c r="F165" s="22" t="n"/>
      <c r="G165" s="22" t="n"/>
      <c r="H165" s="22" t="n"/>
      <c r="I165" s="22" t="n"/>
    </row>
    <row r="166">
      <c r="A166" s="21" t="n"/>
      <c r="B166" s="22" t="n"/>
      <c r="C166" s="22" t="n"/>
      <c r="D166" s="22" t="n"/>
      <c r="E166" s="22" t="n"/>
      <c r="F166" s="22" t="n"/>
      <c r="G166" s="22" t="n"/>
      <c r="H166" s="22" t="n"/>
      <c r="I166" s="22" t="n"/>
    </row>
    <row r="167">
      <c r="A167" s="21" t="n"/>
      <c r="B167" s="22" t="n"/>
      <c r="C167" s="22" t="n"/>
      <c r="D167" s="22" t="n"/>
      <c r="E167" s="22" t="n"/>
      <c r="F167" s="22" t="n"/>
      <c r="G167" s="22" t="n"/>
      <c r="H167" s="22" t="n"/>
      <c r="I167" s="22" t="n"/>
    </row>
    <row r="168">
      <c r="A168" s="21" t="n"/>
      <c r="B168" s="22" t="n"/>
      <c r="C168" s="22" t="n"/>
      <c r="D168" s="22" t="n"/>
      <c r="E168" s="22" t="n"/>
      <c r="F168" s="22" t="n"/>
      <c r="G168" s="22" t="n"/>
      <c r="H168" s="22" t="n"/>
      <c r="I168" s="22" t="n"/>
    </row>
    <row r="169">
      <c r="A169" s="21" t="n"/>
      <c r="B169" s="22" t="n"/>
      <c r="C169" s="22" t="n"/>
      <c r="D169" s="22" t="n"/>
      <c r="E169" s="22" t="n"/>
      <c r="F169" s="22" t="n"/>
      <c r="G169" s="22" t="n"/>
      <c r="H169" s="22" t="n"/>
      <c r="I169" s="22" t="n"/>
    </row>
    <row r="170">
      <c r="A170" s="21" t="n"/>
      <c r="B170" s="22" t="n"/>
      <c r="C170" s="22" t="n"/>
      <c r="D170" s="22" t="n"/>
      <c r="E170" s="22" t="n"/>
      <c r="F170" s="22" t="n"/>
      <c r="G170" s="22" t="n"/>
      <c r="H170" s="22" t="n"/>
      <c r="I170" s="22" t="n"/>
    </row>
    <row r="171">
      <c r="A171" s="21" t="n"/>
      <c r="B171" s="22" t="n"/>
      <c r="C171" s="22" t="n"/>
      <c r="D171" s="22" t="n"/>
      <c r="E171" s="22" t="n"/>
      <c r="F171" s="22" t="n"/>
      <c r="G171" s="22" t="n"/>
      <c r="H171" s="22" t="n"/>
      <c r="I171" s="22" t="n"/>
    </row>
    <row r="172">
      <c r="A172" s="21" t="n"/>
      <c r="B172" s="22" t="n"/>
      <c r="C172" s="22" t="n"/>
      <c r="D172" s="22" t="n"/>
      <c r="E172" s="22" t="n"/>
      <c r="F172" s="22" t="n"/>
      <c r="G172" s="22" t="n"/>
      <c r="H172" s="22" t="n"/>
      <c r="I172" s="22" t="n"/>
    </row>
    <row r="173">
      <c r="A173" s="21" t="n"/>
      <c r="B173" s="22" t="n"/>
      <c r="C173" s="22" t="n"/>
      <c r="D173" s="22" t="n"/>
      <c r="E173" s="22" t="n"/>
      <c r="F173" s="22" t="n"/>
      <c r="G173" s="22" t="n"/>
      <c r="H173" s="22" t="n"/>
      <c r="I173" s="22" t="n"/>
    </row>
    <row r="174">
      <c r="A174" s="21" t="n"/>
      <c r="B174" s="22" t="n"/>
      <c r="C174" s="22" t="n"/>
      <c r="D174" s="22" t="n"/>
      <c r="E174" s="22" t="n"/>
      <c r="F174" s="22" t="n"/>
      <c r="G174" s="22" t="n"/>
      <c r="H174" s="22" t="n"/>
      <c r="I174" s="22" t="n"/>
    </row>
    <row r="175">
      <c r="A175" s="21" t="n"/>
      <c r="B175" s="22" t="n"/>
      <c r="C175" s="22" t="n"/>
      <c r="D175" s="22" t="n"/>
      <c r="E175" s="22" t="n"/>
      <c r="F175" s="22" t="n"/>
      <c r="G175" s="22" t="n"/>
      <c r="H175" s="22" t="n"/>
      <c r="I175" s="22" t="n"/>
    </row>
    <row r="176">
      <c r="A176" s="21" t="n"/>
      <c r="B176" s="22" t="n"/>
      <c r="C176" s="22" t="n"/>
      <c r="D176" s="22" t="n"/>
      <c r="E176" s="22" t="n"/>
      <c r="F176" s="22" t="n"/>
      <c r="G176" s="22" t="n"/>
      <c r="H176" s="22" t="n"/>
      <c r="I176" s="22" t="n"/>
    </row>
    <row r="177">
      <c r="A177" s="21" t="n"/>
      <c r="B177" s="22" t="n"/>
      <c r="C177" s="22" t="n"/>
      <c r="D177" s="22" t="n"/>
      <c r="E177" s="22" t="n"/>
      <c r="F177" s="22" t="n"/>
      <c r="G177" s="22" t="n"/>
      <c r="H177" s="22" t="n"/>
      <c r="I177" s="22" t="n"/>
    </row>
    <row r="178">
      <c r="A178" s="21" t="n"/>
      <c r="B178" s="22" t="n"/>
      <c r="C178" s="22" t="n"/>
      <c r="D178" s="22" t="n"/>
      <c r="E178" s="22" t="n"/>
      <c r="F178" s="22" t="n"/>
      <c r="G178" s="22" t="n"/>
      <c r="H178" s="22" t="n"/>
      <c r="I178" s="22" t="n"/>
    </row>
    <row r="179">
      <c r="A179" s="21" t="n"/>
      <c r="B179" s="22" t="n"/>
      <c r="C179" s="22" t="n"/>
      <c r="D179" s="22" t="n"/>
      <c r="E179" s="22" t="n"/>
      <c r="F179" s="22" t="n"/>
      <c r="G179" s="22" t="n"/>
      <c r="H179" s="22" t="n"/>
      <c r="I179" s="22" t="n"/>
    </row>
    <row r="180">
      <c r="A180" s="21" t="n"/>
      <c r="B180" s="22" t="n"/>
      <c r="C180" s="22" t="n"/>
      <c r="D180" s="22" t="n"/>
      <c r="E180" s="22" t="n"/>
      <c r="F180" s="22" t="n"/>
      <c r="G180" s="22" t="n"/>
      <c r="H180" s="22" t="n"/>
      <c r="I180" s="22" t="n"/>
    </row>
    <row r="181">
      <c r="A181" s="21" t="n"/>
      <c r="B181" s="22" t="n"/>
      <c r="C181" s="22" t="n"/>
      <c r="D181" s="22" t="n"/>
      <c r="E181" s="22" t="n"/>
      <c r="F181" s="22" t="n"/>
      <c r="G181" s="22" t="n"/>
      <c r="H181" s="22" t="n"/>
      <c r="I181" s="22" t="n"/>
    </row>
    <row r="182">
      <c r="A182" s="21" t="n"/>
      <c r="B182" s="22" t="n"/>
      <c r="C182" s="22" t="n"/>
      <c r="D182" s="22" t="n"/>
      <c r="E182" s="22" t="n"/>
      <c r="F182" s="22" t="n"/>
      <c r="G182" s="22" t="n"/>
      <c r="H182" s="22" t="n"/>
      <c r="I182" s="22" t="n"/>
    </row>
    <row r="183">
      <c r="A183" s="21" t="n"/>
      <c r="B183" s="22" t="n"/>
      <c r="C183" s="22" t="n"/>
      <c r="D183" s="22" t="n"/>
      <c r="E183" s="22" t="n"/>
      <c r="F183" s="22" t="n"/>
      <c r="G183" s="22" t="n"/>
      <c r="H183" s="22" t="n"/>
      <c r="I183" s="22" t="n"/>
    </row>
    <row r="184">
      <c r="A184" s="21" t="n"/>
      <c r="B184" s="22" t="n"/>
      <c r="C184" s="22" t="n"/>
      <c r="D184" s="22" t="n"/>
      <c r="E184" s="22" t="n"/>
      <c r="F184" s="22" t="n"/>
      <c r="G184" s="22" t="n"/>
      <c r="H184" s="22" t="n"/>
      <c r="I184" s="22" t="n"/>
    </row>
    <row r="185">
      <c r="A185" s="21" t="n"/>
      <c r="B185" s="22" t="n"/>
      <c r="C185" s="22" t="n"/>
      <c r="D185" s="22" t="n"/>
      <c r="E185" s="22" t="n"/>
      <c r="F185" s="22" t="n"/>
      <c r="G185" s="22" t="n"/>
      <c r="H185" s="22" t="n"/>
      <c r="I185" s="22" t="n"/>
    </row>
    <row r="186">
      <c r="A186" s="21" t="n"/>
      <c r="B186" s="22" t="n"/>
      <c r="C186" s="22" t="n"/>
      <c r="D186" s="22" t="n"/>
      <c r="E186" s="22" t="n"/>
      <c r="F186" s="22" t="n"/>
      <c r="G186" s="22" t="n"/>
      <c r="H186" s="22" t="n"/>
      <c r="I186" s="22" t="n"/>
    </row>
    <row r="187">
      <c r="A187" s="21" t="n"/>
      <c r="B187" s="22" t="n"/>
      <c r="C187" s="22" t="n"/>
      <c r="D187" s="22" t="n"/>
      <c r="E187" s="22" t="n"/>
      <c r="F187" s="22" t="n"/>
      <c r="G187" s="22" t="n"/>
      <c r="H187" s="22" t="n"/>
      <c r="I187" s="22" t="n"/>
    </row>
    <row r="188">
      <c r="A188" s="21" t="n"/>
      <c r="B188" s="22" t="n"/>
      <c r="C188" s="22" t="n"/>
      <c r="D188" s="22" t="n"/>
      <c r="E188" s="22" t="n"/>
      <c r="F188" s="22" t="n"/>
      <c r="G188" s="22" t="n"/>
      <c r="H188" s="22" t="n"/>
      <c r="I188" s="22" t="n"/>
    </row>
    <row r="189">
      <c r="A189" s="21" t="n"/>
      <c r="B189" s="22" t="n"/>
      <c r="C189" s="22" t="n"/>
      <c r="D189" s="22" t="n"/>
      <c r="E189" s="22" t="n"/>
      <c r="F189" s="22" t="n"/>
      <c r="G189" s="22" t="n"/>
      <c r="H189" s="22" t="n"/>
      <c r="I189" s="22" t="n"/>
    </row>
    <row r="190">
      <c r="A190" s="21" t="n"/>
      <c r="B190" s="22" t="n"/>
      <c r="C190" s="22" t="n"/>
      <c r="D190" s="22" t="n"/>
      <c r="E190" s="22" t="n"/>
      <c r="F190" s="22" t="n"/>
      <c r="G190" s="22" t="n"/>
      <c r="H190" s="22" t="n"/>
      <c r="I190" s="22" t="n"/>
    </row>
    <row r="191">
      <c r="A191" s="21" t="n"/>
      <c r="B191" s="22" t="n"/>
      <c r="C191" s="22" t="n"/>
      <c r="D191" s="22" t="n"/>
      <c r="E191" s="22" t="n"/>
      <c r="F191" s="22" t="n"/>
      <c r="G191" s="22" t="n"/>
      <c r="H191" s="22" t="n"/>
      <c r="I191" s="22" t="n"/>
    </row>
    <row r="192">
      <c r="A192" s="21" t="n"/>
      <c r="B192" s="22" t="n"/>
      <c r="C192" s="22" t="n"/>
      <c r="D192" s="22" t="n"/>
      <c r="E192" s="22" t="n"/>
      <c r="F192" s="22" t="n"/>
      <c r="G192" s="22" t="n"/>
      <c r="H192" s="22" t="n"/>
      <c r="I192" s="22" t="n"/>
    </row>
    <row r="193">
      <c r="A193" s="21" t="n"/>
      <c r="B193" s="22" t="n"/>
      <c r="C193" s="22" t="n"/>
      <c r="D193" s="22" t="n"/>
      <c r="E193" s="22" t="n"/>
      <c r="F193" s="22" t="n"/>
      <c r="G193" s="22" t="n"/>
      <c r="H193" s="22" t="n"/>
      <c r="I193" s="22" t="n"/>
    </row>
    <row r="194">
      <c r="A194" s="21" t="n"/>
      <c r="B194" s="22" t="n"/>
      <c r="C194" s="22" t="n"/>
      <c r="D194" s="22" t="n"/>
      <c r="E194" s="22" t="n"/>
      <c r="F194" s="22" t="n"/>
      <c r="G194" s="22" t="n"/>
      <c r="H194" s="22" t="n"/>
      <c r="I194" s="22" t="n"/>
    </row>
    <row r="195">
      <c r="A195" s="21" t="n"/>
      <c r="B195" s="22" t="n"/>
      <c r="C195" s="22" t="n"/>
      <c r="D195" s="22" t="n"/>
      <c r="E195" s="22" t="n"/>
      <c r="F195" s="22" t="n"/>
      <c r="G195" s="22" t="n"/>
      <c r="H195" s="22" t="n"/>
      <c r="I195" s="22" t="n"/>
    </row>
    <row r="196">
      <c r="A196" s="21" t="n"/>
      <c r="B196" s="22" t="n"/>
      <c r="C196" s="22" t="n"/>
      <c r="D196" s="22" t="n"/>
      <c r="E196" s="22" t="n"/>
      <c r="F196" s="22" t="n"/>
      <c r="G196" s="22" t="n"/>
      <c r="H196" s="22" t="n"/>
      <c r="I196" s="22" t="n"/>
    </row>
    <row r="197">
      <c r="A197" s="21" t="n"/>
      <c r="B197" s="22" t="n"/>
      <c r="C197" s="22" t="n"/>
      <c r="D197" s="22" t="n"/>
      <c r="E197" s="22" t="n"/>
      <c r="F197" s="22" t="n"/>
      <c r="G197" s="22" t="n"/>
      <c r="H197" s="22" t="n"/>
      <c r="I197" s="22" t="n"/>
    </row>
    <row r="198">
      <c r="A198" s="21" t="n"/>
      <c r="B198" s="22" t="n"/>
      <c r="C198" s="22" t="n"/>
      <c r="D198" s="22" t="n"/>
      <c r="E198" s="22" t="n"/>
      <c r="F198" s="22" t="n"/>
      <c r="G198" s="22" t="n"/>
      <c r="H198" s="22" t="n"/>
      <c r="I198" s="22" t="n"/>
    </row>
    <row r="199">
      <c r="A199" s="21" t="n"/>
      <c r="B199" s="22" t="n"/>
      <c r="C199" s="22" t="n"/>
      <c r="D199" s="22" t="n"/>
      <c r="E199" s="22" t="n"/>
      <c r="F199" s="22" t="n"/>
      <c r="G199" s="22" t="n"/>
      <c r="H199" s="22" t="n"/>
      <c r="I199" s="22" t="n"/>
    </row>
    <row r="200">
      <c r="A200" s="21" t="n"/>
      <c r="B200" s="22" t="n"/>
      <c r="C200" s="22" t="n"/>
      <c r="D200" s="22" t="n"/>
      <c r="E200" s="22" t="n"/>
      <c r="F200" s="22" t="n"/>
      <c r="G200" s="22" t="n"/>
      <c r="H200" s="22" t="n"/>
      <c r="I200" s="22" t="n"/>
    </row>
    <row r="201">
      <c r="A201" s="21" t="n"/>
      <c r="B201" s="22" t="n"/>
      <c r="C201" s="22" t="n"/>
      <c r="D201" s="22" t="n"/>
      <c r="E201" s="22" t="n"/>
      <c r="F201" s="22" t="n"/>
      <c r="G201" s="22" t="n"/>
      <c r="H201" s="22" t="n"/>
      <c r="I201" s="22" t="n"/>
    </row>
    <row r="203">
      <c r="A203" s="23" t="inlineStr">
        <is>
          <t>Anything that is NOT a repeating pipeline goes here — board duties, airport runs, one-offs.</t>
        </is>
      </c>
    </row>
    <row r="204">
      <c r="A204" s="23" t="inlineStr">
        <is>
          <t>This is what reaches people's phones. The day-grid tabs are for planning and reading; only rows on this tab and the generated pipelines get imported.</t>
        </is>
      </c>
    </row>
    <row r="205">
      <c r="A205" s="23" t="inlineStr">
        <is>
          <t>Assigned uses the app's wording: "Team: &lt;name&gt;", "Person: &lt;name&gt;" or "Role: &lt;name&gt;".</t>
        </is>
      </c>
    </row>
    <row r="206">
      <c r="A206" s="23" t="inlineStr">
        <is>
          <t>ID is optional but useful — give a block a stable ID and moving it counts as a change rather than a delete plus a new one.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562"/>
  <sheetViews>
    <sheetView workbookViewId="0">
      <pane ySplit="1" topLeftCell="A2" activePane="bottomLeft" state="frozen"/>
      <selection pane="bottomLeft" activeCell="A1" sqref="A1"/>
    </sheetView>
  </sheetViews>
  <sheetFormatPr baseColWidth="8" defaultRowHeight="15"/>
  <cols>
    <col width="11" customWidth="1" min="1" max="1"/>
    <col width="11" customWidth="1" min="2" max="2"/>
    <col width="11" customWidth="1" min="3" max="3"/>
    <col width="24" customWidth="1" min="4" max="4"/>
    <col width="20" customWidth="1" min="5" max="5"/>
    <col width="30" customWidth="1" min="6" max="6"/>
    <col width="28" customWidth="1" min="7" max="7"/>
    <col width="30" customWidth="1" min="8" max="8"/>
    <col width="16" customWidth="1" min="9" max="9"/>
  </cols>
  <sheetData>
    <row r="1">
      <c r="A1" s="18" t="inlineStr">
        <is>
          <t>Day</t>
        </is>
      </c>
      <c r="B1" s="18" t="inlineStr">
        <is>
          <t>Start</t>
        </is>
      </c>
      <c r="C1" s="18" t="inlineStr">
        <is>
          <t>End</t>
        </is>
      </c>
      <c r="D1" s="18" t="inlineStr">
        <is>
          <t>Location</t>
        </is>
      </c>
      <c r="E1" s="18" t="inlineStr">
        <is>
          <t>Sub-location</t>
        </is>
      </c>
      <c r="F1" s="18" t="inlineStr">
        <is>
          <t>Activity</t>
        </is>
      </c>
      <c r="G1" s="18" t="inlineStr">
        <is>
          <t>Assigned Team/Person</t>
        </is>
      </c>
      <c r="H1" s="18" t="inlineStr">
        <is>
          <t>Notes</t>
        </is>
      </c>
      <c r="I1" s="18" t="inlineStr">
        <is>
          <t>ID</t>
        </is>
      </c>
    </row>
    <row r="2">
      <c r="A2" s="55">
        <f>IF(Sequences!$B$2="","",Sequences!$M$2)</f>
        <v/>
      </c>
      <c r="B2" s="63">
        <f>IF(OR(Sequences!$B$2="",'Slot Times'!$H$2=""),"",'Slot Times'!$H$2+Sequences!$E$2/1440)</f>
        <v/>
      </c>
      <c r="C2" s="63">
        <f>IF($B2="","",$B2+Sequences!$D$2/1440)</f>
        <v/>
      </c>
      <c r="D2" s="55">
        <f>IF(Sequences!$B$2="","",Sequences!$K$2)</f>
        <v/>
      </c>
      <c r="E2" s="55">
        <f>IF(Sequences!$B$2="","",Sequences!$L$2)</f>
        <v/>
      </c>
      <c r="F2" s="55">
        <f>IF(Sequences!$B$2="","",Sequences!$B$2)</f>
        <v/>
      </c>
      <c r="G2" s="55">
        <f>IF(OR(Sequences!$B$2="",'Slot Times'!$I$2=""),"","Team: "&amp;'Slot Times'!$I$2)</f>
        <v/>
      </c>
      <c r="H2" s="55">
        <f>IF(Sequences!$B$2="","",IF(Sequences!$F$2="Team + liaisons","Liaisons travel with this block",""))</f>
        <v/>
      </c>
      <c r="I2" s="55">
        <f>IF(Sequences!$B$2="","","PRAC-S"&amp;'Slot Times'!$B$2&amp;"-01")</f>
        <v/>
      </c>
    </row>
    <row r="3">
      <c r="A3" s="55">
        <f>IF(Sequences!$B$3="","",Sequences!$M$2)</f>
        <v/>
      </c>
      <c r="B3" s="63">
        <f>IF(OR(Sequences!$B$3="",'Slot Times'!$H$2=""),"",'Slot Times'!$H$2+Sequences!$E$3/1440)</f>
        <v/>
      </c>
      <c r="C3" s="63">
        <f>IF($B3="","",$B3+Sequences!$D$3/1440)</f>
        <v/>
      </c>
      <c r="D3" s="55">
        <f>IF(Sequences!$B$3="","",Sequences!$K$3)</f>
        <v/>
      </c>
      <c r="E3" s="55">
        <f>IF(Sequences!$B$3="","",Sequences!$L$3)</f>
        <v/>
      </c>
      <c r="F3" s="55">
        <f>IF(Sequences!$B$3="","",Sequences!$B$3)</f>
        <v/>
      </c>
      <c r="G3" s="55">
        <f>IF(OR(Sequences!$B$3="",'Slot Times'!$I$2=""),"","Team: "&amp;'Slot Times'!$I$2)</f>
        <v/>
      </c>
      <c r="H3" s="55">
        <f>IF(Sequences!$B$3="","",IF(Sequences!$F$3="Team + liaisons","Liaisons travel with this block",""))</f>
        <v/>
      </c>
      <c r="I3" s="55">
        <f>IF(Sequences!$B$3="","","PRAC-S"&amp;'Slot Times'!$B$2&amp;"-02")</f>
        <v/>
      </c>
    </row>
    <row r="4">
      <c r="A4" s="55">
        <f>IF(Sequences!$B$4="","",Sequences!$M$2)</f>
        <v/>
      </c>
      <c r="B4" s="63">
        <f>IF(OR(Sequences!$B$4="",'Slot Times'!$H$2=""),"",'Slot Times'!$H$2+Sequences!$E$4/1440)</f>
        <v/>
      </c>
      <c r="C4" s="63">
        <f>IF($B4="","",$B4+Sequences!$D$4/1440)</f>
        <v/>
      </c>
      <c r="D4" s="55">
        <f>IF(Sequences!$B$4="","",Sequences!$K$4)</f>
        <v/>
      </c>
      <c r="E4" s="55">
        <f>IF(Sequences!$B$4="","",Sequences!$L$4)</f>
        <v/>
      </c>
      <c r="F4" s="55">
        <f>IF(Sequences!$B$4="","",Sequences!$B$4)</f>
        <v/>
      </c>
      <c r="G4" s="55">
        <f>IF(OR(Sequences!$B$4="",'Slot Times'!$I$2=""),"","Team: "&amp;'Slot Times'!$I$2)</f>
        <v/>
      </c>
      <c r="H4" s="55">
        <f>IF(Sequences!$B$4="","",IF(Sequences!$F$4="Team + liaisons","Liaisons travel with this block",""))</f>
        <v/>
      </c>
      <c r="I4" s="55">
        <f>IF(Sequences!$B$4="","","PRAC-S"&amp;'Slot Times'!$B$2&amp;"-03")</f>
        <v/>
      </c>
    </row>
    <row r="5">
      <c r="A5" s="55">
        <f>IF(Sequences!$B$5="","",Sequences!$M$2)</f>
        <v/>
      </c>
      <c r="B5" s="63">
        <f>IF(OR(Sequences!$B$5="",'Slot Times'!$H$2=""),"",'Slot Times'!$H$2+Sequences!$E$5/1440)</f>
        <v/>
      </c>
      <c r="C5" s="63">
        <f>IF($B5="","",$B5+Sequences!$D$5/1440)</f>
        <v/>
      </c>
      <c r="D5" s="55">
        <f>IF(Sequences!$B$5="","",Sequences!$K$5)</f>
        <v/>
      </c>
      <c r="E5" s="55">
        <f>IF(Sequences!$B$5="","",Sequences!$L$5)</f>
        <v/>
      </c>
      <c r="F5" s="55">
        <f>IF(Sequences!$B$5="","",Sequences!$B$5)</f>
        <v/>
      </c>
      <c r="G5" s="55">
        <f>IF(OR(Sequences!$B$5="",'Slot Times'!$I$2=""),"","Team: "&amp;'Slot Times'!$I$2)</f>
        <v/>
      </c>
      <c r="H5" s="55">
        <f>IF(Sequences!$B$5="","",IF(Sequences!$F$5="Team + liaisons","Liaisons travel with this block",""))</f>
        <v/>
      </c>
      <c r="I5" s="55">
        <f>IF(Sequences!$B$5="","","PRAC-S"&amp;'Slot Times'!$B$2&amp;"-04")</f>
        <v/>
      </c>
    </row>
    <row r="6">
      <c r="A6" s="55">
        <f>IF(Sequences!$B$6="","",Sequences!$M$2)</f>
        <v/>
      </c>
      <c r="B6" s="63">
        <f>IF(OR(Sequences!$B$6="",'Slot Times'!$H$2=""),"",'Slot Times'!$H$2+Sequences!$E$6/1440)</f>
        <v/>
      </c>
      <c r="C6" s="63">
        <f>IF($B6="","",$B6+Sequences!$D$6/1440)</f>
        <v/>
      </c>
      <c r="D6" s="55">
        <f>IF(Sequences!$B$6="","",Sequences!$K$6)</f>
        <v/>
      </c>
      <c r="E6" s="55">
        <f>IF(Sequences!$B$6="","",Sequences!$L$6)</f>
        <v/>
      </c>
      <c r="F6" s="55">
        <f>IF(Sequences!$B$6="","",Sequences!$B$6)</f>
        <v/>
      </c>
      <c r="G6" s="55">
        <f>IF(OR(Sequences!$B$6="",'Slot Times'!$I$2=""),"","Team: "&amp;'Slot Times'!$I$2)</f>
        <v/>
      </c>
      <c r="H6" s="55">
        <f>IF(Sequences!$B$6="","",IF(Sequences!$F$6="Team + liaisons","Liaisons travel with this block",""))</f>
        <v/>
      </c>
      <c r="I6" s="55">
        <f>IF(Sequences!$B$6="","","PRAC-S"&amp;'Slot Times'!$B$2&amp;"-05")</f>
        <v/>
      </c>
    </row>
    <row r="7">
      <c r="A7" s="55">
        <f>IF(Sequences!$B$7="","",Sequences!$M$2)</f>
        <v/>
      </c>
      <c r="B7" s="63">
        <f>IF(OR(Sequences!$B$7="",'Slot Times'!$H$2=""),"",'Slot Times'!$H$2+Sequences!$E$7/1440)</f>
        <v/>
      </c>
      <c r="C7" s="63">
        <f>IF($B7="","",$B7+Sequences!$D$7/1440)</f>
        <v/>
      </c>
      <c r="D7" s="55">
        <f>IF(Sequences!$B$7="","",Sequences!$K$7)</f>
        <v/>
      </c>
      <c r="E7" s="55">
        <f>IF(Sequences!$B$7="","",Sequences!$L$7)</f>
        <v/>
      </c>
      <c r="F7" s="55">
        <f>IF(Sequences!$B$7="","",Sequences!$B$7)</f>
        <v/>
      </c>
      <c r="G7" s="55">
        <f>IF(OR(Sequences!$B$7="",'Slot Times'!$I$2=""),"","Team: "&amp;'Slot Times'!$I$2)</f>
        <v/>
      </c>
      <c r="H7" s="55">
        <f>IF(Sequences!$B$7="","",IF(Sequences!$F$7="Team + liaisons","Liaisons travel with this block",""))</f>
        <v/>
      </c>
      <c r="I7" s="55">
        <f>IF(Sequences!$B$7="","","PRAC-S"&amp;'Slot Times'!$B$2&amp;"-06")</f>
        <v/>
      </c>
    </row>
    <row r="8">
      <c r="A8" s="55">
        <f>IF(Sequences!$B$8="","",Sequences!$M$2)</f>
        <v/>
      </c>
      <c r="B8" s="63">
        <f>IF(OR(Sequences!$B$8="",'Slot Times'!$H$2=""),"",'Slot Times'!$H$2+Sequences!$E$8/1440)</f>
        <v/>
      </c>
      <c r="C8" s="63">
        <f>IF($B8="","",$B8+Sequences!$D$8/1440)</f>
        <v/>
      </c>
      <c r="D8" s="55">
        <f>IF(Sequences!$B$8="","",Sequences!$K$8)</f>
        <v/>
      </c>
      <c r="E8" s="55">
        <f>IF(Sequences!$B$8="","",Sequences!$L$8)</f>
        <v/>
      </c>
      <c r="F8" s="55">
        <f>IF(Sequences!$B$8="","",Sequences!$B$8)</f>
        <v/>
      </c>
      <c r="G8" s="55">
        <f>IF(OR(Sequences!$B$8="",'Slot Times'!$I$2=""),"","Team: "&amp;'Slot Times'!$I$2)</f>
        <v/>
      </c>
      <c r="H8" s="55">
        <f>IF(Sequences!$B$8="","",IF(Sequences!$F$8="Team + liaisons","Liaisons travel with this block",""))</f>
        <v/>
      </c>
      <c r="I8" s="55">
        <f>IF(Sequences!$B$8="","","PRAC-S"&amp;'Slot Times'!$B$2&amp;"-07")</f>
        <v/>
      </c>
    </row>
    <row r="9">
      <c r="A9" s="55">
        <f>IF(Sequences!$B$9="","",Sequences!$M$2)</f>
        <v/>
      </c>
      <c r="B9" s="63">
        <f>IF(OR(Sequences!$B$9="",'Slot Times'!$H$2=""),"",'Slot Times'!$H$2+Sequences!$E$9/1440)</f>
        <v/>
      </c>
      <c r="C9" s="63">
        <f>IF($B9="","",$B9+Sequences!$D$9/1440)</f>
        <v/>
      </c>
      <c r="D9" s="55">
        <f>IF(Sequences!$B$9="","",Sequences!$K$9)</f>
        <v/>
      </c>
      <c r="E9" s="55">
        <f>IF(Sequences!$B$9="","",Sequences!$L$9)</f>
        <v/>
      </c>
      <c r="F9" s="55">
        <f>IF(Sequences!$B$9="","",Sequences!$B$9)</f>
        <v/>
      </c>
      <c r="G9" s="55">
        <f>IF(OR(Sequences!$B$9="",'Slot Times'!$I$2=""),"","Team: "&amp;'Slot Times'!$I$2)</f>
        <v/>
      </c>
      <c r="H9" s="55">
        <f>IF(Sequences!$B$9="","",IF(Sequences!$F$9="Team + liaisons","Liaisons travel with this block",""))</f>
        <v/>
      </c>
      <c r="I9" s="55">
        <f>IF(Sequences!$B$9="","","PRAC-S"&amp;'Slot Times'!$B$2&amp;"-08")</f>
        <v/>
      </c>
    </row>
    <row r="10">
      <c r="A10" s="55">
        <f>IF(Sequences!$B$10="","",Sequences!$M$2)</f>
        <v/>
      </c>
      <c r="B10" s="63">
        <f>IF(OR(Sequences!$B$10="",'Slot Times'!$H$2=""),"",'Slot Times'!$H$2+Sequences!$E$10/1440)</f>
        <v/>
      </c>
      <c r="C10" s="63">
        <f>IF($B10="","",$B10+Sequences!$D$10/1440)</f>
        <v/>
      </c>
      <c r="D10" s="55">
        <f>IF(Sequences!$B$10="","",Sequences!$K$10)</f>
        <v/>
      </c>
      <c r="E10" s="55">
        <f>IF(Sequences!$B$10="","",Sequences!$L$10)</f>
        <v/>
      </c>
      <c r="F10" s="55">
        <f>IF(Sequences!$B$10="","",Sequences!$B$10)</f>
        <v/>
      </c>
      <c r="G10" s="55">
        <f>IF(OR(Sequences!$B$10="",'Slot Times'!$I$2=""),"","Team: "&amp;'Slot Times'!$I$2)</f>
        <v/>
      </c>
      <c r="H10" s="55">
        <f>IF(Sequences!$B$10="","",IF(Sequences!$F$10="Team + liaisons","Liaisons travel with this block",""))</f>
        <v/>
      </c>
      <c r="I10" s="55">
        <f>IF(Sequences!$B$10="","","PRAC-S"&amp;'Slot Times'!$B$2&amp;"-09")</f>
        <v/>
      </c>
    </row>
    <row r="11">
      <c r="A11" s="55">
        <f>IF(Sequences!$B$11="","",Sequences!$M$2)</f>
        <v/>
      </c>
      <c r="B11" s="63">
        <f>IF(OR(Sequences!$B$11="",'Slot Times'!$H$2=""),"",'Slot Times'!$H$2+Sequences!$E$11/1440)</f>
        <v/>
      </c>
      <c r="C11" s="63">
        <f>IF($B11="","",$B11+Sequences!$D$11/1440)</f>
        <v/>
      </c>
      <c r="D11" s="55">
        <f>IF(Sequences!$B$11="","",Sequences!$K$11)</f>
        <v/>
      </c>
      <c r="E11" s="55">
        <f>IF(Sequences!$B$11="","",Sequences!$L$11)</f>
        <v/>
      </c>
      <c r="F11" s="55">
        <f>IF(Sequences!$B$11="","",Sequences!$B$11)</f>
        <v/>
      </c>
      <c r="G11" s="55">
        <f>IF(OR(Sequences!$B$11="",'Slot Times'!$I$2=""),"","Team: "&amp;'Slot Times'!$I$2)</f>
        <v/>
      </c>
      <c r="H11" s="55">
        <f>IF(Sequences!$B$11="","",IF(Sequences!$F$11="Team + liaisons","Liaisons travel with this block",""))</f>
        <v/>
      </c>
      <c r="I11" s="55">
        <f>IF(Sequences!$B$11="","","PRAC-S"&amp;'Slot Times'!$B$2&amp;"-10")</f>
        <v/>
      </c>
    </row>
    <row r="12">
      <c r="A12" s="55">
        <f>IF(Sequences!$B$12="","",Sequences!$M$2)</f>
        <v/>
      </c>
      <c r="B12" s="63">
        <f>IF(OR(Sequences!$B$12="",'Slot Times'!$H$2=""),"",'Slot Times'!$H$2+Sequences!$E$12/1440)</f>
        <v/>
      </c>
      <c r="C12" s="63">
        <f>IF($B12="","",$B12+Sequences!$D$12/1440)</f>
        <v/>
      </c>
      <c r="D12" s="55">
        <f>IF(Sequences!$B$12="","",Sequences!$K$12)</f>
        <v/>
      </c>
      <c r="E12" s="55">
        <f>IF(Sequences!$B$12="","",Sequences!$L$12)</f>
        <v/>
      </c>
      <c r="F12" s="55">
        <f>IF(Sequences!$B$12="","",Sequences!$B$12)</f>
        <v/>
      </c>
      <c r="G12" s="55">
        <f>IF(OR(Sequences!$B$12="",'Slot Times'!$I$2=""),"","Team: "&amp;'Slot Times'!$I$2)</f>
        <v/>
      </c>
      <c r="H12" s="55">
        <f>IF(Sequences!$B$12="","",IF(Sequences!$F$12="Team + liaisons","Liaisons travel with this block",""))</f>
        <v/>
      </c>
      <c r="I12" s="55">
        <f>IF(Sequences!$B$12="","","PRAC-S"&amp;'Slot Times'!$B$2&amp;"-11")</f>
        <v/>
      </c>
    </row>
    <row r="13">
      <c r="A13" s="55">
        <f>IF(Sequences!$B$13="","",Sequences!$M$2)</f>
        <v/>
      </c>
      <c r="B13" s="63">
        <f>IF(OR(Sequences!$B$13="",'Slot Times'!$H$2=""),"",'Slot Times'!$H$2+Sequences!$E$13/1440)</f>
        <v/>
      </c>
      <c r="C13" s="63">
        <f>IF($B13="","",$B13+Sequences!$D$13/1440)</f>
        <v/>
      </c>
      <c r="D13" s="55">
        <f>IF(Sequences!$B$13="","",Sequences!$K$13)</f>
        <v/>
      </c>
      <c r="E13" s="55">
        <f>IF(Sequences!$B$13="","",Sequences!$L$13)</f>
        <v/>
      </c>
      <c r="F13" s="55">
        <f>IF(Sequences!$B$13="","",Sequences!$B$13)</f>
        <v/>
      </c>
      <c r="G13" s="55">
        <f>IF(OR(Sequences!$B$13="",'Slot Times'!$I$2=""),"","Team: "&amp;'Slot Times'!$I$2)</f>
        <v/>
      </c>
      <c r="H13" s="55">
        <f>IF(Sequences!$B$13="","",IF(Sequences!$F$13="Team + liaisons","Liaisons travel with this block",""))</f>
        <v/>
      </c>
      <c r="I13" s="55">
        <f>IF(Sequences!$B$13="","","PRAC-S"&amp;'Slot Times'!$B$2&amp;"-12")</f>
        <v/>
      </c>
    </row>
    <row r="14">
      <c r="A14" s="55">
        <f>IF(Sequences!$B$14="","",Sequences!$M$2)</f>
        <v/>
      </c>
      <c r="B14" s="63">
        <f>IF(OR(Sequences!$B$14="",'Slot Times'!$H$2=""),"",'Slot Times'!$H$2+Sequences!$E$14/1440)</f>
        <v/>
      </c>
      <c r="C14" s="63">
        <f>IF($B14="","",$B14+Sequences!$D$14/1440)</f>
        <v/>
      </c>
      <c r="D14" s="55">
        <f>IF(Sequences!$B$14="","",Sequences!$K$14)</f>
        <v/>
      </c>
      <c r="E14" s="55">
        <f>IF(Sequences!$B$14="","",Sequences!$L$14)</f>
        <v/>
      </c>
      <c r="F14" s="55">
        <f>IF(Sequences!$B$14="","",Sequences!$B$14)</f>
        <v/>
      </c>
      <c r="G14" s="55">
        <f>IF(OR(Sequences!$B$14="",'Slot Times'!$I$2=""),"","Team: "&amp;'Slot Times'!$I$2)</f>
        <v/>
      </c>
      <c r="H14" s="55">
        <f>IF(Sequences!$B$14="","",IF(Sequences!$F$14="Team + liaisons","Liaisons travel with this block",""))</f>
        <v/>
      </c>
      <c r="I14" s="55">
        <f>IF(Sequences!$B$14="","","PRAC-S"&amp;'Slot Times'!$B$2&amp;"-13")</f>
        <v/>
      </c>
    </row>
    <row r="15">
      <c r="A15" s="55">
        <f>IF(Sequences!$B$15="","",Sequences!$M$2)</f>
        <v/>
      </c>
      <c r="B15" s="63">
        <f>IF(OR(Sequences!$B$15="",'Slot Times'!$H$2=""),"",'Slot Times'!$H$2+Sequences!$E$15/1440)</f>
        <v/>
      </c>
      <c r="C15" s="63">
        <f>IF($B15="","",$B15+Sequences!$D$15/1440)</f>
        <v/>
      </c>
      <c r="D15" s="55">
        <f>IF(Sequences!$B$15="","",Sequences!$K$15)</f>
        <v/>
      </c>
      <c r="E15" s="55">
        <f>IF(Sequences!$B$15="","",Sequences!$L$15)</f>
        <v/>
      </c>
      <c r="F15" s="55">
        <f>IF(Sequences!$B$15="","",Sequences!$B$15)</f>
        <v/>
      </c>
      <c r="G15" s="55">
        <f>IF(OR(Sequences!$B$15="",'Slot Times'!$I$2=""),"","Team: "&amp;'Slot Times'!$I$2)</f>
        <v/>
      </c>
      <c r="H15" s="55">
        <f>IF(Sequences!$B$15="","",IF(Sequences!$F$15="Team + liaisons","Liaisons travel with this block",""))</f>
        <v/>
      </c>
      <c r="I15" s="55">
        <f>IF(Sequences!$B$15="","","PRAC-S"&amp;'Slot Times'!$B$2&amp;"-14")</f>
        <v/>
      </c>
    </row>
    <row r="16">
      <c r="A16" s="55">
        <f>IF(Sequences!$B$2="","",Sequences!$M$2)</f>
        <v/>
      </c>
      <c r="B16" s="63">
        <f>IF(OR(Sequences!$B$2="",'Slot Times'!$H$3=""),"",'Slot Times'!$H$3+Sequences!$E$2/1440)</f>
        <v/>
      </c>
      <c r="C16" s="63">
        <f>IF($B16="","",$B16+Sequences!$D$2/1440)</f>
        <v/>
      </c>
      <c r="D16" s="55">
        <f>IF(Sequences!$B$2="","",Sequences!$K$2)</f>
        <v/>
      </c>
      <c r="E16" s="55">
        <f>IF(Sequences!$B$2="","",Sequences!$L$2)</f>
        <v/>
      </c>
      <c r="F16" s="55">
        <f>IF(Sequences!$B$2="","",Sequences!$B$2)</f>
        <v/>
      </c>
      <c r="G16" s="55">
        <f>IF(OR(Sequences!$B$2="",'Slot Times'!$I$3=""),"","Team: "&amp;'Slot Times'!$I$3)</f>
        <v/>
      </c>
      <c r="H16" s="55">
        <f>IF(Sequences!$B$2="","",IF(Sequences!$F$2="Team + liaisons","Liaisons travel with this block",""))</f>
        <v/>
      </c>
      <c r="I16" s="55">
        <f>IF(Sequences!$B$2="","","PRAC-S"&amp;'Slot Times'!$B$3&amp;"-01")</f>
        <v/>
      </c>
    </row>
    <row r="17">
      <c r="A17" s="55">
        <f>IF(Sequences!$B$3="","",Sequences!$M$2)</f>
        <v/>
      </c>
      <c r="B17" s="63">
        <f>IF(OR(Sequences!$B$3="",'Slot Times'!$H$3=""),"",'Slot Times'!$H$3+Sequences!$E$3/1440)</f>
        <v/>
      </c>
      <c r="C17" s="63">
        <f>IF($B17="","",$B17+Sequences!$D$3/1440)</f>
        <v/>
      </c>
      <c r="D17" s="55">
        <f>IF(Sequences!$B$3="","",Sequences!$K$3)</f>
        <v/>
      </c>
      <c r="E17" s="55">
        <f>IF(Sequences!$B$3="","",Sequences!$L$3)</f>
        <v/>
      </c>
      <c r="F17" s="55">
        <f>IF(Sequences!$B$3="","",Sequences!$B$3)</f>
        <v/>
      </c>
      <c r="G17" s="55">
        <f>IF(OR(Sequences!$B$3="",'Slot Times'!$I$3=""),"","Team: "&amp;'Slot Times'!$I$3)</f>
        <v/>
      </c>
      <c r="H17" s="55">
        <f>IF(Sequences!$B$3="","",IF(Sequences!$F$3="Team + liaisons","Liaisons travel with this block",""))</f>
        <v/>
      </c>
      <c r="I17" s="55">
        <f>IF(Sequences!$B$3="","","PRAC-S"&amp;'Slot Times'!$B$3&amp;"-02")</f>
        <v/>
      </c>
    </row>
    <row r="18">
      <c r="A18" s="55">
        <f>IF(Sequences!$B$4="","",Sequences!$M$2)</f>
        <v/>
      </c>
      <c r="B18" s="63">
        <f>IF(OR(Sequences!$B$4="",'Slot Times'!$H$3=""),"",'Slot Times'!$H$3+Sequences!$E$4/1440)</f>
        <v/>
      </c>
      <c r="C18" s="63">
        <f>IF($B18="","",$B18+Sequences!$D$4/1440)</f>
        <v/>
      </c>
      <c r="D18" s="55">
        <f>IF(Sequences!$B$4="","",Sequences!$K$4)</f>
        <v/>
      </c>
      <c r="E18" s="55">
        <f>IF(Sequences!$B$4="","",Sequences!$L$4)</f>
        <v/>
      </c>
      <c r="F18" s="55">
        <f>IF(Sequences!$B$4="","",Sequences!$B$4)</f>
        <v/>
      </c>
      <c r="G18" s="55">
        <f>IF(OR(Sequences!$B$4="",'Slot Times'!$I$3=""),"","Team: "&amp;'Slot Times'!$I$3)</f>
        <v/>
      </c>
      <c r="H18" s="55">
        <f>IF(Sequences!$B$4="","",IF(Sequences!$F$4="Team + liaisons","Liaisons travel with this block",""))</f>
        <v/>
      </c>
      <c r="I18" s="55">
        <f>IF(Sequences!$B$4="","","PRAC-S"&amp;'Slot Times'!$B$3&amp;"-03")</f>
        <v/>
      </c>
    </row>
    <row r="19">
      <c r="A19" s="55">
        <f>IF(Sequences!$B$5="","",Sequences!$M$2)</f>
        <v/>
      </c>
      <c r="B19" s="63">
        <f>IF(OR(Sequences!$B$5="",'Slot Times'!$H$3=""),"",'Slot Times'!$H$3+Sequences!$E$5/1440)</f>
        <v/>
      </c>
      <c r="C19" s="63">
        <f>IF($B19="","",$B19+Sequences!$D$5/1440)</f>
        <v/>
      </c>
      <c r="D19" s="55">
        <f>IF(Sequences!$B$5="","",Sequences!$K$5)</f>
        <v/>
      </c>
      <c r="E19" s="55">
        <f>IF(Sequences!$B$5="","",Sequences!$L$5)</f>
        <v/>
      </c>
      <c r="F19" s="55">
        <f>IF(Sequences!$B$5="","",Sequences!$B$5)</f>
        <v/>
      </c>
      <c r="G19" s="55">
        <f>IF(OR(Sequences!$B$5="",'Slot Times'!$I$3=""),"","Team: "&amp;'Slot Times'!$I$3)</f>
        <v/>
      </c>
      <c r="H19" s="55">
        <f>IF(Sequences!$B$5="","",IF(Sequences!$F$5="Team + liaisons","Liaisons travel with this block",""))</f>
        <v/>
      </c>
      <c r="I19" s="55">
        <f>IF(Sequences!$B$5="","","PRAC-S"&amp;'Slot Times'!$B$3&amp;"-04")</f>
        <v/>
      </c>
    </row>
    <row r="20">
      <c r="A20" s="55">
        <f>IF(Sequences!$B$6="","",Sequences!$M$2)</f>
        <v/>
      </c>
      <c r="B20" s="63">
        <f>IF(OR(Sequences!$B$6="",'Slot Times'!$H$3=""),"",'Slot Times'!$H$3+Sequences!$E$6/1440)</f>
        <v/>
      </c>
      <c r="C20" s="63">
        <f>IF($B20="","",$B20+Sequences!$D$6/1440)</f>
        <v/>
      </c>
      <c r="D20" s="55">
        <f>IF(Sequences!$B$6="","",Sequences!$K$6)</f>
        <v/>
      </c>
      <c r="E20" s="55">
        <f>IF(Sequences!$B$6="","",Sequences!$L$6)</f>
        <v/>
      </c>
      <c r="F20" s="55">
        <f>IF(Sequences!$B$6="","",Sequences!$B$6)</f>
        <v/>
      </c>
      <c r="G20" s="55">
        <f>IF(OR(Sequences!$B$6="",'Slot Times'!$I$3=""),"","Team: "&amp;'Slot Times'!$I$3)</f>
        <v/>
      </c>
      <c r="H20" s="55">
        <f>IF(Sequences!$B$6="","",IF(Sequences!$F$6="Team + liaisons","Liaisons travel with this block",""))</f>
        <v/>
      </c>
      <c r="I20" s="55">
        <f>IF(Sequences!$B$6="","","PRAC-S"&amp;'Slot Times'!$B$3&amp;"-05")</f>
        <v/>
      </c>
    </row>
    <row r="21">
      <c r="A21" s="55">
        <f>IF(Sequences!$B$7="","",Sequences!$M$2)</f>
        <v/>
      </c>
      <c r="B21" s="63">
        <f>IF(OR(Sequences!$B$7="",'Slot Times'!$H$3=""),"",'Slot Times'!$H$3+Sequences!$E$7/1440)</f>
        <v/>
      </c>
      <c r="C21" s="63">
        <f>IF($B21="","",$B21+Sequences!$D$7/1440)</f>
        <v/>
      </c>
      <c r="D21" s="55">
        <f>IF(Sequences!$B$7="","",Sequences!$K$7)</f>
        <v/>
      </c>
      <c r="E21" s="55">
        <f>IF(Sequences!$B$7="","",Sequences!$L$7)</f>
        <v/>
      </c>
      <c r="F21" s="55">
        <f>IF(Sequences!$B$7="","",Sequences!$B$7)</f>
        <v/>
      </c>
      <c r="G21" s="55">
        <f>IF(OR(Sequences!$B$7="",'Slot Times'!$I$3=""),"","Team: "&amp;'Slot Times'!$I$3)</f>
        <v/>
      </c>
      <c r="H21" s="55">
        <f>IF(Sequences!$B$7="","",IF(Sequences!$F$7="Team + liaisons","Liaisons travel with this block",""))</f>
        <v/>
      </c>
      <c r="I21" s="55">
        <f>IF(Sequences!$B$7="","","PRAC-S"&amp;'Slot Times'!$B$3&amp;"-06")</f>
        <v/>
      </c>
    </row>
    <row r="22">
      <c r="A22" s="55">
        <f>IF(Sequences!$B$8="","",Sequences!$M$2)</f>
        <v/>
      </c>
      <c r="B22" s="63">
        <f>IF(OR(Sequences!$B$8="",'Slot Times'!$H$3=""),"",'Slot Times'!$H$3+Sequences!$E$8/1440)</f>
        <v/>
      </c>
      <c r="C22" s="63">
        <f>IF($B22="","",$B22+Sequences!$D$8/1440)</f>
        <v/>
      </c>
      <c r="D22" s="55">
        <f>IF(Sequences!$B$8="","",Sequences!$K$8)</f>
        <v/>
      </c>
      <c r="E22" s="55">
        <f>IF(Sequences!$B$8="","",Sequences!$L$8)</f>
        <v/>
      </c>
      <c r="F22" s="55">
        <f>IF(Sequences!$B$8="","",Sequences!$B$8)</f>
        <v/>
      </c>
      <c r="G22" s="55">
        <f>IF(OR(Sequences!$B$8="",'Slot Times'!$I$3=""),"","Team: "&amp;'Slot Times'!$I$3)</f>
        <v/>
      </c>
      <c r="H22" s="55">
        <f>IF(Sequences!$B$8="","",IF(Sequences!$F$8="Team + liaisons","Liaisons travel with this block",""))</f>
        <v/>
      </c>
      <c r="I22" s="55">
        <f>IF(Sequences!$B$8="","","PRAC-S"&amp;'Slot Times'!$B$3&amp;"-07")</f>
        <v/>
      </c>
    </row>
    <row r="23">
      <c r="A23" s="55">
        <f>IF(Sequences!$B$9="","",Sequences!$M$2)</f>
        <v/>
      </c>
      <c r="B23" s="63">
        <f>IF(OR(Sequences!$B$9="",'Slot Times'!$H$3=""),"",'Slot Times'!$H$3+Sequences!$E$9/1440)</f>
        <v/>
      </c>
      <c r="C23" s="63">
        <f>IF($B23="","",$B23+Sequences!$D$9/1440)</f>
        <v/>
      </c>
      <c r="D23" s="55">
        <f>IF(Sequences!$B$9="","",Sequences!$K$9)</f>
        <v/>
      </c>
      <c r="E23" s="55">
        <f>IF(Sequences!$B$9="","",Sequences!$L$9)</f>
        <v/>
      </c>
      <c r="F23" s="55">
        <f>IF(Sequences!$B$9="","",Sequences!$B$9)</f>
        <v/>
      </c>
      <c r="G23" s="55">
        <f>IF(OR(Sequences!$B$9="",'Slot Times'!$I$3=""),"","Team: "&amp;'Slot Times'!$I$3)</f>
        <v/>
      </c>
      <c r="H23" s="55">
        <f>IF(Sequences!$B$9="","",IF(Sequences!$F$9="Team + liaisons","Liaisons travel with this block",""))</f>
        <v/>
      </c>
      <c r="I23" s="55">
        <f>IF(Sequences!$B$9="","","PRAC-S"&amp;'Slot Times'!$B$3&amp;"-08")</f>
        <v/>
      </c>
    </row>
    <row r="24">
      <c r="A24" s="55">
        <f>IF(Sequences!$B$10="","",Sequences!$M$2)</f>
        <v/>
      </c>
      <c r="B24" s="63">
        <f>IF(OR(Sequences!$B$10="",'Slot Times'!$H$3=""),"",'Slot Times'!$H$3+Sequences!$E$10/1440)</f>
        <v/>
      </c>
      <c r="C24" s="63">
        <f>IF($B24="","",$B24+Sequences!$D$10/1440)</f>
        <v/>
      </c>
      <c r="D24" s="55">
        <f>IF(Sequences!$B$10="","",Sequences!$K$10)</f>
        <v/>
      </c>
      <c r="E24" s="55">
        <f>IF(Sequences!$B$10="","",Sequences!$L$10)</f>
        <v/>
      </c>
      <c r="F24" s="55">
        <f>IF(Sequences!$B$10="","",Sequences!$B$10)</f>
        <v/>
      </c>
      <c r="G24" s="55">
        <f>IF(OR(Sequences!$B$10="",'Slot Times'!$I$3=""),"","Team: "&amp;'Slot Times'!$I$3)</f>
        <v/>
      </c>
      <c r="H24" s="55">
        <f>IF(Sequences!$B$10="","",IF(Sequences!$F$10="Team + liaisons","Liaisons travel with this block",""))</f>
        <v/>
      </c>
      <c r="I24" s="55">
        <f>IF(Sequences!$B$10="","","PRAC-S"&amp;'Slot Times'!$B$3&amp;"-09")</f>
        <v/>
      </c>
    </row>
    <row r="25">
      <c r="A25" s="55">
        <f>IF(Sequences!$B$11="","",Sequences!$M$2)</f>
        <v/>
      </c>
      <c r="B25" s="63">
        <f>IF(OR(Sequences!$B$11="",'Slot Times'!$H$3=""),"",'Slot Times'!$H$3+Sequences!$E$11/1440)</f>
        <v/>
      </c>
      <c r="C25" s="63">
        <f>IF($B25="","",$B25+Sequences!$D$11/1440)</f>
        <v/>
      </c>
      <c r="D25" s="55">
        <f>IF(Sequences!$B$11="","",Sequences!$K$11)</f>
        <v/>
      </c>
      <c r="E25" s="55">
        <f>IF(Sequences!$B$11="","",Sequences!$L$11)</f>
        <v/>
      </c>
      <c r="F25" s="55">
        <f>IF(Sequences!$B$11="","",Sequences!$B$11)</f>
        <v/>
      </c>
      <c r="G25" s="55">
        <f>IF(OR(Sequences!$B$11="",'Slot Times'!$I$3=""),"","Team: "&amp;'Slot Times'!$I$3)</f>
        <v/>
      </c>
      <c r="H25" s="55">
        <f>IF(Sequences!$B$11="","",IF(Sequences!$F$11="Team + liaisons","Liaisons travel with this block",""))</f>
        <v/>
      </c>
      <c r="I25" s="55">
        <f>IF(Sequences!$B$11="","","PRAC-S"&amp;'Slot Times'!$B$3&amp;"-10")</f>
        <v/>
      </c>
    </row>
    <row r="26">
      <c r="A26" s="55">
        <f>IF(Sequences!$B$12="","",Sequences!$M$2)</f>
        <v/>
      </c>
      <c r="B26" s="63">
        <f>IF(OR(Sequences!$B$12="",'Slot Times'!$H$3=""),"",'Slot Times'!$H$3+Sequences!$E$12/1440)</f>
        <v/>
      </c>
      <c r="C26" s="63">
        <f>IF($B26="","",$B26+Sequences!$D$12/1440)</f>
        <v/>
      </c>
      <c r="D26" s="55">
        <f>IF(Sequences!$B$12="","",Sequences!$K$12)</f>
        <v/>
      </c>
      <c r="E26" s="55">
        <f>IF(Sequences!$B$12="","",Sequences!$L$12)</f>
        <v/>
      </c>
      <c r="F26" s="55">
        <f>IF(Sequences!$B$12="","",Sequences!$B$12)</f>
        <v/>
      </c>
      <c r="G26" s="55">
        <f>IF(OR(Sequences!$B$12="",'Slot Times'!$I$3=""),"","Team: "&amp;'Slot Times'!$I$3)</f>
        <v/>
      </c>
      <c r="H26" s="55">
        <f>IF(Sequences!$B$12="","",IF(Sequences!$F$12="Team + liaisons","Liaisons travel with this block",""))</f>
        <v/>
      </c>
      <c r="I26" s="55">
        <f>IF(Sequences!$B$12="","","PRAC-S"&amp;'Slot Times'!$B$3&amp;"-11")</f>
        <v/>
      </c>
    </row>
    <row r="27">
      <c r="A27" s="55">
        <f>IF(Sequences!$B$13="","",Sequences!$M$2)</f>
        <v/>
      </c>
      <c r="B27" s="63">
        <f>IF(OR(Sequences!$B$13="",'Slot Times'!$H$3=""),"",'Slot Times'!$H$3+Sequences!$E$13/1440)</f>
        <v/>
      </c>
      <c r="C27" s="63">
        <f>IF($B27="","",$B27+Sequences!$D$13/1440)</f>
        <v/>
      </c>
      <c r="D27" s="55">
        <f>IF(Sequences!$B$13="","",Sequences!$K$13)</f>
        <v/>
      </c>
      <c r="E27" s="55">
        <f>IF(Sequences!$B$13="","",Sequences!$L$13)</f>
        <v/>
      </c>
      <c r="F27" s="55">
        <f>IF(Sequences!$B$13="","",Sequences!$B$13)</f>
        <v/>
      </c>
      <c r="G27" s="55">
        <f>IF(OR(Sequences!$B$13="",'Slot Times'!$I$3=""),"","Team: "&amp;'Slot Times'!$I$3)</f>
        <v/>
      </c>
      <c r="H27" s="55">
        <f>IF(Sequences!$B$13="","",IF(Sequences!$F$13="Team + liaisons","Liaisons travel with this block",""))</f>
        <v/>
      </c>
      <c r="I27" s="55">
        <f>IF(Sequences!$B$13="","","PRAC-S"&amp;'Slot Times'!$B$3&amp;"-12")</f>
        <v/>
      </c>
    </row>
    <row r="28">
      <c r="A28" s="55">
        <f>IF(Sequences!$B$14="","",Sequences!$M$2)</f>
        <v/>
      </c>
      <c r="B28" s="63">
        <f>IF(OR(Sequences!$B$14="",'Slot Times'!$H$3=""),"",'Slot Times'!$H$3+Sequences!$E$14/1440)</f>
        <v/>
      </c>
      <c r="C28" s="63">
        <f>IF($B28="","",$B28+Sequences!$D$14/1440)</f>
        <v/>
      </c>
      <c r="D28" s="55">
        <f>IF(Sequences!$B$14="","",Sequences!$K$14)</f>
        <v/>
      </c>
      <c r="E28" s="55">
        <f>IF(Sequences!$B$14="","",Sequences!$L$14)</f>
        <v/>
      </c>
      <c r="F28" s="55">
        <f>IF(Sequences!$B$14="","",Sequences!$B$14)</f>
        <v/>
      </c>
      <c r="G28" s="55">
        <f>IF(OR(Sequences!$B$14="",'Slot Times'!$I$3=""),"","Team: "&amp;'Slot Times'!$I$3)</f>
        <v/>
      </c>
      <c r="H28" s="55">
        <f>IF(Sequences!$B$14="","",IF(Sequences!$F$14="Team + liaisons","Liaisons travel with this block",""))</f>
        <v/>
      </c>
      <c r="I28" s="55">
        <f>IF(Sequences!$B$14="","","PRAC-S"&amp;'Slot Times'!$B$3&amp;"-13")</f>
        <v/>
      </c>
    </row>
    <row r="29">
      <c r="A29" s="55">
        <f>IF(Sequences!$B$15="","",Sequences!$M$2)</f>
        <v/>
      </c>
      <c r="B29" s="63">
        <f>IF(OR(Sequences!$B$15="",'Slot Times'!$H$3=""),"",'Slot Times'!$H$3+Sequences!$E$15/1440)</f>
        <v/>
      </c>
      <c r="C29" s="63">
        <f>IF($B29="","",$B29+Sequences!$D$15/1440)</f>
        <v/>
      </c>
      <c r="D29" s="55">
        <f>IF(Sequences!$B$15="","",Sequences!$K$15)</f>
        <v/>
      </c>
      <c r="E29" s="55">
        <f>IF(Sequences!$B$15="","",Sequences!$L$15)</f>
        <v/>
      </c>
      <c r="F29" s="55">
        <f>IF(Sequences!$B$15="","",Sequences!$B$15)</f>
        <v/>
      </c>
      <c r="G29" s="55">
        <f>IF(OR(Sequences!$B$15="",'Slot Times'!$I$3=""),"","Team: "&amp;'Slot Times'!$I$3)</f>
        <v/>
      </c>
      <c r="H29" s="55">
        <f>IF(Sequences!$B$15="","",IF(Sequences!$F$15="Team + liaisons","Liaisons travel with this block",""))</f>
        <v/>
      </c>
      <c r="I29" s="55">
        <f>IF(Sequences!$B$15="","","PRAC-S"&amp;'Slot Times'!$B$3&amp;"-14")</f>
        <v/>
      </c>
    </row>
    <row r="30">
      <c r="A30" s="55">
        <f>IF(Sequences!$B$2="","",Sequences!$M$2)</f>
        <v/>
      </c>
      <c r="B30" s="63">
        <f>IF(OR(Sequences!$B$2="",'Slot Times'!$H$4=""),"",'Slot Times'!$H$4+Sequences!$E$2/1440)</f>
        <v/>
      </c>
      <c r="C30" s="63">
        <f>IF($B30="","",$B30+Sequences!$D$2/1440)</f>
        <v/>
      </c>
      <c r="D30" s="55">
        <f>IF(Sequences!$B$2="","",Sequences!$K$2)</f>
        <v/>
      </c>
      <c r="E30" s="55">
        <f>IF(Sequences!$B$2="","",Sequences!$L$2)</f>
        <v/>
      </c>
      <c r="F30" s="55">
        <f>IF(Sequences!$B$2="","",Sequences!$B$2)</f>
        <v/>
      </c>
      <c r="G30" s="55">
        <f>IF(OR(Sequences!$B$2="",'Slot Times'!$I$4=""),"","Team: "&amp;'Slot Times'!$I$4)</f>
        <v/>
      </c>
      <c r="H30" s="55">
        <f>IF(Sequences!$B$2="","",IF(Sequences!$F$2="Team + liaisons","Liaisons travel with this block",""))</f>
        <v/>
      </c>
      <c r="I30" s="55">
        <f>IF(Sequences!$B$2="","","PRAC-S"&amp;'Slot Times'!$B$4&amp;"-01")</f>
        <v/>
      </c>
    </row>
    <row r="31">
      <c r="A31" s="55">
        <f>IF(Sequences!$B$3="","",Sequences!$M$2)</f>
        <v/>
      </c>
      <c r="B31" s="63">
        <f>IF(OR(Sequences!$B$3="",'Slot Times'!$H$4=""),"",'Slot Times'!$H$4+Sequences!$E$3/1440)</f>
        <v/>
      </c>
      <c r="C31" s="63">
        <f>IF($B31="","",$B31+Sequences!$D$3/1440)</f>
        <v/>
      </c>
      <c r="D31" s="55">
        <f>IF(Sequences!$B$3="","",Sequences!$K$3)</f>
        <v/>
      </c>
      <c r="E31" s="55">
        <f>IF(Sequences!$B$3="","",Sequences!$L$3)</f>
        <v/>
      </c>
      <c r="F31" s="55">
        <f>IF(Sequences!$B$3="","",Sequences!$B$3)</f>
        <v/>
      </c>
      <c r="G31" s="55">
        <f>IF(OR(Sequences!$B$3="",'Slot Times'!$I$4=""),"","Team: "&amp;'Slot Times'!$I$4)</f>
        <v/>
      </c>
      <c r="H31" s="55">
        <f>IF(Sequences!$B$3="","",IF(Sequences!$F$3="Team + liaisons","Liaisons travel with this block",""))</f>
        <v/>
      </c>
      <c r="I31" s="55">
        <f>IF(Sequences!$B$3="","","PRAC-S"&amp;'Slot Times'!$B$4&amp;"-02")</f>
        <v/>
      </c>
    </row>
    <row r="32">
      <c r="A32" s="55">
        <f>IF(Sequences!$B$4="","",Sequences!$M$2)</f>
        <v/>
      </c>
      <c r="B32" s="63">
        <f>IF(OR(Sequences!$B$4="",'Slot Times'!$H$4=""),"",'Slot Times'!$H$4+Sequences!$E$4/1440)</f>
        <v/>
      </c>
      <c r="C32" s="63">
        <f>IF($B32="","",$B32+Sequences!$D$4/1440)</f>
        <v/>
      </c>
      <c r="D32" s="55">
        <f>IF(Sequences!$B$4="","",Sequences!$K$4)</f>
        <v/>
      </c>
      <c r="E32" s="55">
        <f>IF(Sequences!$B$4="","",Sequences!$L$4)</f>
        <v/>
      </c>
      <c r="F32" s="55">
        <f>IF(Sequences!$B$4="","",Sequences!$B$4)</f>
        <v/>
      </c>
      <c r="G32" s="55">
        <f>IF(OR(Sequences!$B$4="",'Slot Times'!$I$4=""),"","Team: "&amp;'Slot Times'!$I$4)</f>
        <v/>
      </c>
      <c r="H32" s="55">
        <f>IF(Sequences!$B$4="","",IF(Sequences!$F$4="Team + liaisons","Liaisons travel with this block",""))</f>
        <v/>
      </c>
      <c r="I32" s="55">
        <f>IF(Sequences!$B$4="","","PRAC-S"&amp;'Slot Times'!$B$4&amp;"-03")</f>
        <v/>
      </c>
    </row>
    <row r="33">
      <c r="A33" s="55">
        <f>IF(Sequences!$B$5="","",Sequences!$M$2)</f>
        <v/>
      </c>
      <c r="B33" s="63">
        <f>IF(OR(Sequences!$B$5="",'Slot Times'!$H$4=""),"",'Slot Times'!$H$4+Sequences!$E$5/1440)</f>
        <v/>
      </c>
      <c r="C33" s="63">
        <f>IF($B33="","",$B33+Sequences!$D$5/1440)</f>
        <v/>
      </c>
      <c r="D33" s="55">
        <f>IF(Sequences!$B$5="","",Sequences!$K$5)</f>
        <v/>
      </c>
      <c r="E33" s="55">
        <f>IF(Sequences!$B$5="","",Sequences!$L$5)</f>
        <v/>
      </c>
      <c r="F33" s="55">
        <f>IF(Sequences!$B$5="","",Sequences!$B$5)</f>
        <v/>
      </c>
      <c r="G33" s="55">
        <f>IF(OR(Sequences!$B$5="",'Slot Times'!$I$4=""),"","Team: "&amp;'Slot Times'!$I$4)</f>
        <v/>
      </c>
      <c r="H33" s="55">
        <f>IF(Sequences!$B$5="","",IF(Sequences!$F$5="Team + liaisons","Liaisons travel with this block",""))</f>
        <v/>
      </c>
      <c r="I33" s="55">
        <f>IF(Sequences!$B$5="","","PRAC-S"&amp;'Slot Times'!$B$4&amp;"-04")</f>
        <v/>
      </c>
    </row>
    <row r="34">
      <c r="A34" s="55">
        <f>IF(Sequences!$B$6="","",Sequences!$M$2)</f>
        <v/>
      </c>
      <c r="B34" s="63">
        <f>IF(OR(Sequences!$B$6="",'Slot Times'!$H$4=""),"",'Slot Times'!$H$4+Sequences!$E$6/1440)</f>
        <v/>
      </c>
      <c r="C34" s="63">
        <f>IF($B34="","",$B34+Sequences!$D$6/1440)</f>
        <v/>
      </c>
      <c r="D34" s="55">
        <f>IF(Sequences!$B$6="","",Sequences!$K$6)</f>
        <v/>
      </c>
      <c r="E34" s="55">
        <f>IF(Sequences!$B$6="","",Sequences!$L$6)</f>
        <v/>
      </c>
      <c r="F34" s="55">
        <f>IF(Sequences!$B$6="","",Sequences!$B$6)</f>
        <v/>
      </c>
      <c r="G34" s="55">
        <f>IF(OR(Sequences!$B$6="",'Slot Times'!$I$4=""),"","Team: "&amp;'Slot Times'!$I$4)</f>
        <v/>
      </c>
      <c r="H34" s="55">
        <f>IF(Sequences!$B$6="","",IF(Sequences!$F$6="Team + liaisons","Liaisons travel with this block",""))</f>
        <v/>
      </c>
      <c r="I34" s="55">
        <f>IF(Sequences!$B$6="","","PRAC-S"&amp;'Slot Times'!$B$4&amp;"-05")</f>
        <v/>
      </c>
    </row>
    <row r="35">
      <c r="A35" s="55">
        <f>IF(Sequences!$B$7="","",Sequences!$M$2)</f>
        <v/>
      </c>
      <c r="B35" s="63">
        <f>IF(OR(Sequences!$B$7="",'Slot Times'!$H$4=""),"",'Slot Times'!$H$4+Sequences!$E$7/1440)</f>
        <v/>
      </c>
      <c r="C35" s="63">
        <f>IF($B35="","",$B35+Sequences!$D$7/1440)</f>
        <v/>
      </c>
      <c r="D35" s="55">
        <f>IF(Sequences!$B$7="","",Sequences!$K$7)</f>
        <v/>
      </c>
      <c r="E35" s="55">
        <f>IF(Sequences!$B$7="","",Sequences!$L$7)</f>
        <v/>
      </c>
      <c r="F35" s="55">
        <f>IF(Sequences!$B$7="","",Sequences!$B$7)</f>
        <v/>
      </c>
      <c r="G35" s="55">
        <f>IF(OR(Sequences!$B$7="",'Slot Times'!$I$4=""),"","Team: "&amp;'Slot Times'!$I$4)</f>
        <v/>
      </c>
      <c r="H35" s="55">
        <f>IF(Sequences!$B$7="","",IF(Sequences!$F$7="Team + liaisons","Liaisons travel with this block",""))</f>
        <v/>
      </c>
      <c r="I35" s="55">
        <f>IF(Sequences!$B$7="","","PRAC-S"&amp;'Slot Times'!$B$4&amp;"-06")</f>
        <v/>
      </c>
    </row>
    <row r="36">
      <c r="A36" s="55">
        <f>IF(Sequences!$B$8="","",Sequences!$M$2)</f>
        <v/>
      </c>
      <c r="B36" s="63">
        <f>IF(OR(Sequences!$B$8="",'Slot Times'!$H$4=""),"",'Slot Times'!$H$4+Sequences!$E$8/1440)</f>
        <v/>
      </c>
      <c r="C36" s="63">
        <f>IF($B36="","",$B36+Sequences!$D$8/1440)</f>
        <v/>
      </c>
      <c r="D36" s="55">
        <f>IF(Sequences!$B$8="","",Sequences!$K$8)</f>
        <v/>
      </c>
      <c r="E36" s="55">
        <f>IF(Sequences!$B$8="","",Sequences!$L$8)</f>
        <v/>
      </c>
      <c r="F36" s="55">
        <f>IF(Sequences!$B$8="","",Sequences!$B$8)</f>
        <v/>
      </c>
      <c r="G36" s="55">
        <f>IF(OR(Sequences!$B$8="",'Slot Times'!$I$4=""),"","Team: "&amp;'Slot Times'!$I$4)</f>
        <v/>
      </c>
      <c r="H36" s="55">
        <f>IF(Sequences!$B$8="","",IF(Sequences!$F$8="Team + liaisons","Liaisons travel with this block",""))</f>
        <v/>
      </c>
      <c r="I36" s="55">
        <f>IF(Sequences!$B$8="","","PRAC-S"&amp;'Slot Times'!$B$4&amp;"-07")</f>
        <v/>
      </c>
    </row>
    <row r="37">
      <c r="A37" s="55">
        <f>IF(Sequences!$B$9="","",Sequences!$M$2)</f>
        <v/>
      </c>
      <c r="B37" s="63">
        <f>IF(OR(Sequences!$B$9="",'Slot Times'!$H$4=""),"",'Slot Times'!$H$4+Sequences!$E$9/1440)</f>
        <v/>
      </c>
      <c r="C37" s="63">
        <f>IF($B37="","",$B37+Sequences!$D$9/1440)</f>
        <v/>
      </c>
      <c r="D37" s="55">
        <f>IF(Sequences!$B$9="","",Sequences!$K$9)</f>
        <v/>
      </c>
      <c r="E37" s="55">
        <f>IF(Sequences!$B$9="","",Sequences!$L$9)</f>
        <v/>
      </c>
      <c r="F37" s="55">
        <f>IF(Sequences!$B$9="","",Sequences!$B$9)</f>
        <v/>
      </c>
      <c r="G37" s="55">
        <f>IF(OR(Sequences!$B$9="",'Slot Times'!$I$4=""),"","Team: "&amp;'Slot Times'!$I$4)</f>
        <v/>
      </c>
      <c r="H37" s="55">
        <f>IF(Sequences!$B$9="","",IF(Sequences!$F$9="Team + liaisons","Liaisons travel with this block",""))</f>
        <v/>
      </c>
      <c r="I37" s="55">
        <f>IF(Sequences!$B$9="","","PRAC-S"&amp;'Slot Times'!$B$4&amp;"-08")</f>
        <v/>
      </c>
    </row>
    <row r="38">
      <c r="A38" s="55">
        <f>IF(Sequences!$B$10="","",Sequences!$M$2)</f>
        <v/>
      </c>
      <c r="B38" s="63">
        <f>IF(OR(Sequences!$B$10="",'Slot Times'!$H$4=""),"",'Slot Times'!$H$4+Sequences!$E$10/1440)</f>
        <v/>
      </c>
      <c r="C38" s="63">
        <f>IF($B38="","",$B38+Sequences!$D$10/1440)</f>
        <v/>
      </c>
      <c r="D38" s="55">
        <f>IF(Sequences!$B$10="","",Sequences!$K$10)</f>
        <v/>
      </c>
      <c r="E38" s="55">
        <f>IF(Sequences!$B$10="","",Sequences!$L$10)</f>
        <v/>
      </c>
      <c r="F38" s="55">
        <f>IF(Sequences!$B$10="","",Sequences!$B$10)</f>
        <v/>
      </c>
      <c r="G38" s="55">
        <f>IF(OR(Sequences!$B$10="",'Slot Times'!$I$4=""),"","Team: "&amp;'Slot Times'!$I$4)</f>
        <v/>
      </c>
      <c r="H38" s="55">
        <f>IF(Sequences!$B$10="","",IF(Sequences!$F$10="Team + liaisons","Liaisons travel with this block",""))</f>
        <v/>
      </c>
      <c r="I38" s="55">
        <f>IF(Sequences!$B$10="","","PRAC-S"&amp;'Slot Times'!$B$4&amp;"-09")</f>
        <v/>
      </c>
    </row>
    <row r="39">
      <c r="A39" s="55">
        <f>IF(Sequences!$B$11="","",Sequences!$M$2)</f>
        <v/>
      </c>
      <c r="B39" s="63">
        <f>IF(OR(Sequences!$B$11="",'Slot Times'!$H$4=""),"",'Slot Times'!$H$4+Sequences!$E$11/1440)</f>
        <v/>
      </c>
      <c r="C39" s="63">
        <f>IF($B39="","",$B39+Sequences!$D$11/1440)</f>
        <v/>
      </c>
      <c r="D39" s="55">
        <f>IF(Sequences!$B$11="","",Sequences!$K$11)</f>
        <v/>
      </c>
      <c r="E39" s="55">
        <f>IF(Sequences!$B$11="","",Sequences!$L$11)</f>
        <v/>
      </c>
      <c r="F39" s="55">
        <f>IF(Sequences!$B$11="","",Sequences!$B$11)</f>
        <v/>
      </c>
      <c r="G39" s="55">
        <f>IF(OR(Sequences!$B$11="",'Slot Times'!$I$4=""),"","Team: "&amp;'Slot Times'!$I$4)</f>
        <v/>
      </c>
      <c r="H39" s="55">
        <f>IF(Sequences!$B$11="","",IF(Sequences!$F$11="Team + liaisons","Liaisons travel with this block",""))</f>
        <v/>
      </c>
      <c r="I39" s="55">
        <f>IF(Sequences!$B$11="","","PRAC-S"&amp;'Slot Times'!$B$4&amp;"-10")</f>
        <v/>
      </c>
    </row>
    <row r="40">
      <c r="A40" s="55">
        <f>IF(Sequences!$B$12="","",Sequences!$M$2)</f>
        <v/>
      </c>
      <c r="B40" s="63">
        <f>IF(OR(Sequences!$B$12="",'Slot Times'!$H$4=""),"",'Slot Times'!$H$4+Sequences!$E$12/1440)</f>
        <v/>
      </c>
      <c r="C40" s="63">
        <f>IF($B40="","",$B40+Sequences!$D$12/1440)</f>
        <v/>
      </c>
      <c r="D40" s="55">
        <f>IF(Sequences!$B$12="","",Sequences!$K$12)</f>
        <v/>
      </c>
      <c r="E40" s="55">
        <f>IF(Sequences!$B$12="","",Sequences!$L$12)</f>
        <v/>
      </c>
      <c r="F40" s="55">
        <f>IF(Sequences!$B$12="","",Sequences!$B$12)</f>
        <v/>
      </c>
      <c r="G40" s="55">
        <f>IF(OR(Sequences!$B$12="",'Slot Times'!$I$4=""),"","Team: "&amp;'Slot Times'!$I$4)</f>
        <v/>
      </c>
      <c r="H40" s="55">
        <f>IF(Sequences!$B$12="","",IF(Sequences!$F$12="Team + liaisons","Liaisons travel with this block",""))</f>
        <v/>
      </c>
      <c r="I40" s="55">
        <f>IF(Sequences!$B$12="","","PRAC-S"&amp;'Slot Times'!$B$4&amp;"-11")</f>
        <v/>
      </c>
    </row>
    <row r="41">
      <c r="A41" s="55">
        <f>IF(Sequences!$B$13="","",Sequences!$M$2)</f>
        <v/>
      </c>
      <c r="B41" s="63">
        <f>IF(OR(Sequences!$B$13="",'Slot Times'!$H$4=""),"",'Slot Times'!$H$4+Sequences!$E$13/1440)</f>
        <v/>
      </c>
      <c r="C41" s="63">
        <f>IF($B41="","",$B41+Sequences!$D$13/1440)</f>
        <v/>
      </c>
      <c r="D41" s="55">
        <f>IF(Sequences!$B$13="","",Sequences!$K$13)</f>
        <v/>
      </c>
      <c r="E41" s="55">
        <f>IF(Sequences!$B$13="","",Sequences!$L$13)</f>
        <v/>
      </c>
      <c r="F41" s="55">
        <f>IF(Sequences!$B$13="","",Sequences!$B$13)</f>
        <v/>
      </c>
      <c r="G41" s="55">
        <f>IF(OR(Sequences!$B$13="",'Slot Times'!$I$4=""),"","Team: "&amp;'Slot Times'!$I$4)</f>
        <v/>
      </c>
      <c r="H41" s="55">
        <f>IF(Sequences!$B$13="","",IF(Sequences!$F$13="Team + liaisons","Liaisons travel with this block",""))</f>
        <v/>
      </c>
      <c r="I41" s="55">
        <f>IF(Sequences!$B$13="","","PRAC-S"&amp;'Slot Times'!$B$4&amp;"-12")</f>
        <v/>
      </c>
    </row>
    <row r="42">
      <c r="A42" s="55">
        <f>IF(Sequences!$B$14="","",Sequences!$M$2)</f>
        <v/>
      </c>
      <c r="B42" s="63">
        <f>IF(OR(Sequences!$B$14="",'Slot Times'!$H$4=""),"",'Slot Times'!$H$4+Sequences!$E$14/1440)</f>
        <v/>
      </c>
      <c r="C42" s="63">
        <f>IF($B42="","",$B42+Sequences!$D$14/1440)</f>
        <v/>
      </c>
      <c r="D42" s="55">
        <f>IF(Sequences!$B$14="","",Sequences!$K$14)</f>
        <v/>
      </c>
      <c r="E42" s="55">
        <f>IF(Sequences!$B$14="","",Sequences!$L$14)</f>
        <v/>
      </c>
      <c r="F42" s="55">
        <f>IF(Sequences!$B$14="","",Sequences!$B$14)</f>
        <v/>
      </c>
      <c r="G42" s="55">
        <f>IF(OR(Sequences!$B$14="",'Slot Times'!$I$4=""),"","Team: "&amp;'Slot Times'!$I$4)</f>
        <v/>
      </c>
      <c r="H42" s="55">
        <f>IF(Sequences!$B$14="","",IF(Sequences!$F$14="Team + liaisons","Liaisons travel with this block",""))</f>
        <v/>
      </c>
      <c r="I42" s="55">
        <f>IF(Sequences!$B$14="","","PRAC-S"&amp;'Slot Times'!$B$4&amp;"-13")</f>
        <v/>
      </c>
    </row>
    <row r="43">
      <c r="A43" s="55">
        <f>IF(Sequences!$B$15="","",Sequences!$M$2)</f>
        <v/>
      </c>
      <c r="B43" s="63">
        <f>IF(OR(Sequences!$B$15="",'Slot Times'!$H$4=""),"",'Slot Times'!$H$4+Sequences!$E$15/1440)</f>
        <v/>
      </c>
      <c r="C43" s="63">
        <f>IF($B43="","",$B43+Sequences!$D$15/1440)</f>
        <v/>
      </c>
      <c r="D43" s="55">
        <f>IF(Sequences!$B$15="","",Sequences!$K$15)</f>
        <v/>
      </c>
      <c r="E43" s="55">
        <f>IF(Sequences!$B$15="","",Sequences!$L$15)</f>
        <v/>
      </c>
      <c r="F43" s="55">
        <f>IF(Sequences!$B$15="","",Sequences!$B$15)</f>
        <v/>
      </c>
      <c r="G43" s="55">
        <f>IF(OR(Sequences!$B$15="",'Slot Times'!$I$4=""),"","Team: "&amp;'Slot Times'!$I$4)</f>
        <v/>
      </c>
      <c r="H43" s="55">
        <f>IF(Sequences!$B$15="","",IF(Sequences!$F$15="Team + liaisons","Liaisons travel with this block",""))</f>
        <v/>
      </c>
      <c r="I43" s="55">
        <f>IF(Sequences!$B$15="","","PRAC-S"&amp;'Slot Times'!$B$4&amp;"-14")</f>
        <v/>
      </c>
    </row>
    <row r="44">
      <c r="A44" s="55">
        <f>IF(Sequences!$B$2="","",Sequences!$M$2)</f>
        <v/>
      </c>
      <c r="B44" s="63">
        <f>IF(OR(Sequences!$B$2="",'Slot Times'!$H$5=""),"",'Slot Times'!$H$5+Sequences!$E$2/1440)</f>
        <v/>
      </c>
      <c r="C44" s="63">
        <f>IF($B44="","",$B44+Sequences!$D$2/1440)</f>
        <v/>
      </c>
      <c r="D44" s="55">
        <f>IF(Sequences!$B$2="","",Sequences!$K$2)</f>
        <v/>
      </c>
      <c r="E44" s="55">
        <f>IF(Sequences!$B$2="","",Sequences!$L$2)</f>
        <v/>
      </c>
      <c r="F44" s="55">
        <f>IF(Sequences!$B$2="","",Sequences!$B$2)</f>
        <v/>
      </c>
      <c r="G44" s="55">
        <f>IF(OR(Sequences!$B$2="",'Slot Times'!$I$5=""),"","Team: "&amp;'Slot Times'!$I$5)</f>
        <v/>
      </c>
      <c r="H44" s="55">
        <f>IF(Sequences!$B$2="","",IF(Sequences!$F$2="Team + liaisons","Liaisons travel with this block",""))</f>
        <v/>
      </c>
      <c r="I44" s="55">
        <f>IF(Sequences!$B$2="","","PRAC-S"&amp;'Slot Times'!$B$5&amp;"-01")</f>
        <v/>
      </c>
    </row>
    <row r="45">
      <c r="A45" s="55">
        <f>IF(Sequences!$B$3="","",Sequences!$M$2)</f>
        <v/>
      </c>
      <c r="B45" s="63">
        <f>IF(OR(Sequences!$B$3="",'Slot Times'!$H$5=""),"",'Slot Times'!$H$5+Sequences!$E$3/1440)</f>
        <v/>
      </c>
      <c r="C45" s="63">
        <f>IF($B45="","",$B45+Sequences!$D$3/1440)</f>
        <v/>
      </c>
      <c r="D45" s="55">
        <f>IF(Sequences!$B$3="","",Sequences!$K$3)</f>
        <v/>
      </c>
      <c r="E45" s="55">
        <f>IF(Sequences!$B$3="","",Sequences!$L$3)</f>
        <v/>
      </c>
      <c r="F45" s="55">
        <f>IF(Sequences!$B$3="","",Sequences!$B$3)</f>
        <v/>
      </c>
      <c r="G45" s="55">
        <f>IF(OR(Sequences!$B$3="",'Slot Times'!$I$5=""),"","Team: "&amp;'Slot Times'!$I$5)</f>
        <v/>
      </c>
      <c r="H45" s="55">
        <f>IF(Sequences!$B$3="","",IF(Sequences!$F$3="Team + liaisons","Liaisons travel with this block",""))</f>
        <v/>
      </c>
      <c r="I45" s="55">
        <f>IF(Sequences!$B$3="","","PRAC-S"&amp;'Slot Times'!$B$5&amp;"-02")</f>
        <v/>
      </c>
    </row>
    <row r="46">
      <c r="A46" s="55">
        <f>IF(Sequences!$B$4="","",Sequences!$M$2)</f>
        <v/>
      </c>
      <c r="B46" s="63">
        <f>IF(OR(Sequences!$B$4="",'Slot Times'!$H$5=""),"",'Slot Times'!$H$5+Sequences!$E$4/1440)</f>
        <v/>
      </c>
      <c r="C46" s="63">
        <f>IF($B46="","",$B46+Sequences!$D$4/1440)</f>
        <v/>
      </c>
      <c r="D46" s="55">
        <f>IF(Sequences!$B$4="","",Sequences!$K$4)</f>
        <v/>
      </c>
      <c r="E46" s="55">
        <f>IF(Sequences!$B$4="","",Sequences!$L$4)</f>
        <v/>
      </c>
      <c r="F46" s="55">
        <f>IF(Sequences!$B$4="","",Sequences!$B$4)</f>
        <v/>
      </c>
      <c r="G46" s="55">
        <f>IF(OR(Sequences!$B$4="",'Slot Times'!$I$5=""),"","Team: "&amp;'Slot Times'!$I$5)</f>
        <v/>
      </c>
      <c r="H46" s="55">
        <f>IF(Sequences!$B$4="","",IF(Sequences!$F$4="Team + liaisons","Liaisons travel with this block",""))</f>
        <v/>
      </c>
      <c r="I46" s="55">
        <f>IF(Sequences!$B$4="","","PRAC-S"&amp;'Slot Times'!$B$5&amp;"-03")</f>
        <v/>
      </c>
    </row>
    <row r="47">
      <c r="A47" s="55">
        <f>IF(Sequences!$B$5="","",Sequences!$M$2)</f>
        <v/>
      </c>
      <c r="B47" s="63">
        <f>IF(OR(Sequences!$B$5="",'Slot Times'!$H$5=""),"",'Slot Times'!$H$5+Sequences!$E$5/1440)</f>
        <v/>
      </c>
      <c r="C47" s="63">
        <f>IF($B47="","",$B47+Sequences!$D$5/1440)</f>
        <v/>
      </c>
      <c r="D47" s="55">
        <f>IF(Sequences!$B$5="","",Sequences!$K$5)</f>
        <v/>
      </c>
      <c r="E47" s="55">
        <f>IF(Sequences!$B$5="","",Sequences!$L$5)</f>
        <v/>
      </c>
      <c r="F47" s="55">
        <f>IF(Sequences!$B$5="","",Sequences!$B$5)</f>
        <v/>
      </c>
      <c r="G47" s="55">
        <f>IF(OR(Sequences!$B$5="",'Slot Times'!$I$5=""),"","Team: "&amp;'Slot Times'!$I$5)</f>
        <v/>
      </c>
      <c r="H47" s="55">
        <f>IF(Sequences!$B$5="","",IF(Sequences!$F$5="Team + liaisons","Liaisons travel with this block",""))</f>
        <v/>
      </c>
      <c r="I47" s="55">
        <f>IF(Sequences!$B$5="","","PRAC-S"&amp;'Slot Times'!$B$5&amp;"-04")</f>
        <v/>
      </c>
    </row>
    <row r="48">
      <c r="A48" s="55">
        <f>IF(Sequences!$B$6="","",Sequences!$M$2)</f>
        <v/>
      </c>
      <c r="B48" s="63">
        <f>IF(OR(Sequences!$B$6="",'Slot Times'!$H$5=""),"",'Slot Times'!$H$5+Sequences!$E$6/1440)</f>
        <v/>
      </c>
      <c r="C48" s="63">
        <f>IF($B48="","",$B48+Sequences!$D$6/1440)</f>
        <v/>
      </c>
      <c r="D48" s="55">
        <f>IF(Sequences!$B$6="","",Sequences!$K$6)</f>
        <v/>
      </c>
      <c r="E48" s="55">
        <f>IF(Sequences!$B$6="","",Sequences!$L$6)</f>
        <v/>
      </c>
      <c r="F48" s="55">
        <f>IF(Sequences!$B$6="","",Sequences!$B$6)</f>
        <v/>
      </c>
      <c r="G48" s="55">
        <f>IF(OR(Sequences!$B$6="",'Slot Times'!$I$5=""),"","Team: "&amp;'Slot Times'!$I$5)</f>
        <v/>
      </c>
      <c r="H48" s="55">
        <f>IF(Sequences!$B$6="","",IF(Sequences!$F$6="Team + liaisons","Liaisons travel with this block",""))</f>
        <v/>
      </c>
      <c r="I48" s="55">
        <f>IF(Sequences!$B$6="","","PRAC-S"&amp;'Slot Times'!$B$5&amp;"-05")</f>
        <v/>
      </c>
    </row>
    <row r="49">
      <c r="A49" s="55">
        <f>IF(Sequences!$B$7="","",Sequences!$M$2)</f>
        <v/>
      </c>
      <c r="B49" s="63">
        <f>IF(OR(Sequences!$B$7="",'Slot Times'!$H$5=""),"",'Slot Times'!$H$5+Sequences!$E$7/1440)</f>
        <v/>
      </c>
      <c r="C49" s="63">
        <f>IF($B49="","",$B49+Sequences!$D$7/1440)</f>
        <v/>
      </c>
      <c r="D49" s="55">
        <f>IF(Sequences!$B$7="","",Sequences!$K$7)</f>
        <v/>
      </c>
      <c r="E49" s="55">
        <f>IF(Sequences!$B$7="","",Sequences!$L$7)</f>
        <v/>
      </c>
      <c r="F49" s="55">
        <f>IF(Sequences!$B$7="","",Sequences!$B$7)</f>
        <v/>
      </c>
      <c r="G49" s="55">
        <f>IF(OR(Sequences!$B$7="",'Slot Times'!$I$5=""),"","Team: "&amp;'Slot Times'!$I$5)</f>
        <v/>
      </c>
      <c r="H49" s="55">
        <f>IF(Sequences!$B$7="","",IF(Sequences!$F$7="Team + liaisons","Liaisons travel with this block",""))</f>
        <v/>
      </c>
      <c r="I49" s="55">
        <f>IF(Sequences!$B$7="","","PRAC-S"&amp;'Slot Times'!$B$5&amp;"-06")</f>
        <v/>
      </c>
    </row>
    <row r="50">
      <c r="A50" s="55">
        <f>IF(Sequences!$B$8="","",Sequences!$M$2)</f>
        <v/>
      </c>
      <c r="B50" s="63">
        <f>IF(OR(Sequences!$B$8="",'Slot Times'!$H$5=""),"",'Slot Times'!$H$5+Sequences!$E$8/1440)</f>
        <v/>
      </c>
      <c r="C50" s="63">
        <f>IF($B50="","",$B50+Sequences!$D$8/1440)</f>
        <v/>
      </c>
      <c r="D50" s="55">
        <f>IF(Sequences!$B$8="","",Sequences!$K$8)</f>
        <v/>
      </c>
      <c r="E50" s="55">
        <f>IF(Sequences!$B$8="","",Sequences!$L$8)</f>
        <v/>
      </c>
      <c r="F50" s="55">
        <f>IF(Sequences!$B$8="","",Sequences!$B$8)</f>
        <v/>
      </c>
      <c r="G50" s="55">
        <f>IF(OR(Sequences!$B$8="",'Slot Times'!$I$5=""),"","Team: "&amp;'Slot Times'!$I$5)</f>
        <v/>
      </c>
      <c r="H50" s="55">
        <f>IF(Sequences!$B$8="","",IF(Sequences!$F$8="Team + liaisons","Liaisons travel with this block",""))</f>
        <v/>
      </c>
      <c r="I50" s="55">
        <f>IF(Sequences!$B$8="","","PRAC-S"&amp;'Slot Times'!$B$5&amp;"-07")</f>
        <v/>
      </c>
    </row>
    <row r="51">
      <c r="A51" s="55">
        <f>IF(Sequences!$B$9="","",Sequences!$M$2)</f>
        <v/>
      </c>
      <c r="B51" s="63">
        <f>IF(OR(Sequences!$B$9="",'Slot Times'!$H$5=""),"",'Slot Times'!$H$5+Sequences!$E$9/1440)</f>
        <v/>
      </c>
      <c r="C51" s="63">
        <f>IF($B51="","",$B51+Sequences!$D$9/1440)</f>
        <v/>
      </c>
      <c r="D51" s="55">
        <f>IF(Sequences!$B$9="","",Sequences!$K$9)</f>
        <v/>
      </c>
      <c r="E51" s="55">
        <f>IF(Sequences!$B$9="","",Sequences!$L$9)</f>
        <v/>
      </c>
      <c r="F51" s="55">
        <f>IF(Sequences!$B$9="","",Sequences!$B$9)</f>
        <v/>
      </c>
      <c r="G51" s="55">
        <f>IF(OR(Sequences!$B$9="",'Slot Times'!$I$5=""),"","Team: "&amp;'Slot Times'!$I$5)</f>
        <v/>
      </c>
      <c r="H51" s="55">
        <f>IF(Sequences!$B$9="","",IF(Sequences!$F$9="Team + liaisons","Liaisons travel with this block",""))</f>
        <v/>
      </c>
      <c r="I51" s="55">
        <f>IF(Sequences!$B$9="","","PRAC-S"&amp;'Slot Times'!$B$5&amp;"-08")</f>
        <v/>
      </c>
    </row>
    <row r="52">
      <c r="A52" s="55">
        <f>IF(Sequences!$B$10="","",Sequences!$M$2)</f>
        <v/>
      </c>
      <c r="B52" s="63">
        <f>IF(OR(Sequences!$B$10="",'Slot Times'!$H$5=""),"",'Slot Times'!$H$5+Sequences!$E$10/1440)</f>
        <v/>
      </c>
      <c r="C52" s="63">
        <f>IF($B52="","",$B52+Sequences!$D$10/1440)</f>
        <v/>
      </c>
      <c r="D52" s="55">
        <f>IF(Sequences!$B$10="","",Sequences!$K$10)</f>
        <v/>
      </c>
      <c r="E52" s="55">
        <f>IF(Sequences!$B$10="","",Sequences!$L$10)</f>
        <v/>
      </c>
      <c r="F52" s="55">
        <f>IF(Sequences!$B$10="","",Sequences!$B$10)</f>
        <v/>
      </c>
      <c r="G52" s="55">
        <f>IF(OR(Sequences!$B$10="",'Slot Times'!$I$5=""),"","Team: "&amp;'Slot Times'!$I$5)</f>
        <v/>
      </c>
      <c r="H52" s="55">
        <f>IF(Sequences!$B$10="","",IF(Sequences!$F$10="Team + liaisons","Liaisons travel with this block",""))</f>
        <v/>
      </c>
      <c r="I52" s="55">
        <f>IF(Sequences!$B$10="","","PRAC-S"&amp;'Slot Times'!$B$5&amp;"-09")</f>
        <v/>
      </c>
    </row>
    <row r="53">
      <c r="A53" s="55">
        <f>IF(Sequences!$B$11="","",Sequences!$M$2)</f>
        <v/>
      </c>
      <c r="B53" s="63">
        <f>IF(OR(Sequences!$B$11="",'Slot Times'!$H$5=""),"",'Slot Times'!$H$5+Sequences!$E$11/1440)</f>
        <v/>
      </c>
      <c r="C53" s="63">
        <f>IF($B53="","",$B53+Sequences!$D$11/1440)</f>
        <v/>
      </c>
      <c r="D53" s="55">
        <f>IF(Sequences!$B$11="","",Sequences!$K$11)</f>
        <v/>
      </c>
      <c r="E53" s="55">
        <f>IF(Sequences!$B$11="","",Sequences!$L$11)</f>
        <v/>
      </c>
      <c r="F53" s="55">
        <f>IF(Sequences!$B$11="","",Sequences!$B$11)</f>
        <v/>
      </c>
      <c r="G53" s="55">
        <f>IF(OR(Sequences!$B$11="",'Slot Times'!$I$5=""),"","Team: "&amp;'Slot Times'!$I$5)</f>
        <v/>
      </c>
      <c r="H53" s="55">
        <f>IF(Sequences!$B$11="","",IF(Sequences!$F$11="Team + liaisons","Liaisons travel with this block",""))</f>
        <v/>
      </c>
      <c r="I53" s="55">
        <f>IF(Sequences!$B$11="","","PRAC-S"&amp;'Slot Times'!$B$5&amp;"-10")</f>
        <v/>
      </c>
    </row>
    <row r="54">
      <c r="A54" s="55">
        <f>IF(Sequences!$B$12="","",Sequences!$M$2)</f>
        <v/>
      </c>
      <c r="B54" s="63">
        <f>IF(OR(Sequences!$B$12="",'Slot Times'!$H$5=""),"",'Slot Times'!$H$5+Sequences!$E$12/1440)</f>
        <v/>
      </c>
      <c r="C54" s="63">
        <f>IF($B54="","",$B54+Sequences!$D$12/1440)</f>
        <v/>
      </c>
      <c r="D54" s="55">
        <f>IF(Sequences!$B$12="","",Sequences!$K$12)</f>
        <v/>
      </c>
      <c r="E54" s="55">
        <f>IF(Sequences!$B$12="","",Sequences!$L$12)</f>
        <v/>
      </c>
      <c r="F54" s="55">
        <f>IF(Sequences!$B$12="","",Sequences!$B$12)</f>
        <v/>
      </c>
      <c r="G54" s="55">
        <f>IF(OR(Sequences!$B$12="",'Slot Times'!$I$5=""),"","Team: "&amp;'Slot Times'!$I$5)</f>
        <v/>
      </c>
      <c r="H54" s="55">
        <f>IF(Sequences!$B$12="","",IF(Sequences!$F$12="Team + liaisons","Liaisons travel with this block",""))</f>
        <v/>
      </c>
      <c r="I54" s="55">
        <f>IF(Sequences!$B$12="","","PRAC-S"&amp;'Slot Times'!$B$5&amp;"-11")</f>
        <v/>
      </c>
    </row>
    <row r="55">
      <c r="A55" s="55">
        <f>IF(Sequences!$B$13="","",Sequences!$M$2)</f>
        <v/>
      </c>
      <c r="B55" s="63">
        <f>IF(OR(Sequences!$B$13="",'Slot Times'!$H$5=""),"",'Slot Times'!$H$5+Sequences!$E$13/1440)</f>
        <v/>
      </c>
      <c r="C55" s="63">
        <f>IF($B55="","",$B55+Sequences!$D$13/1440)</f>
        <v/>
      </c>
      <c r="D55" s="55">
        <f>IF(Sequences!$B$13="","",Sequences!$K$13)</f>
        <v/>
      </c>
      <c r="E55" s="55">
        <f>IF(Sequences!$B$13="","",Sequences!$L$13)</f>
        <v/>
      </c>
      <c r="F55" s="55">
        <f>IF(Sequences!$B$13="","",Sequences!$B$13)</f>
        <v/>
      </c>
      <c r="G55" s="55">
        <f>IF(OR(Sequences!$B$13="",'Slot Times'!$I$5=""),"","Team: "&amp;'Slot Times'!$I$5)</f>
        <v/>
      </c>
      <c r="H55" s="55">
        <f>IF(Sequences!$B$13="","",IF(Sequences!$F$13="Team + liaisons","Liaisons travel with this block",""))</f>
        <v/>
      </c>
      <c r="I55" s="55">
        <f>IF(Sequences!$B$13="","","PRAC-S"&amp;'Slot Times'!$B$5&amp;"-12")</f>
        <v/>
      </c>
    </row>
    <row r="56">
      <c r="A56" s="55">
        <f>IF(Sequences!$B$14="","",Sequences!$M$2)</f>
        <v/>
      </c>
      <c r="B56" s="63">
        <f>IF(OR(Sequences!$B$14="",'Slot Times'!$H$5=""),"",'Slot Times'!$H$5+Sequences!$E$14/1440)</f>
        <v/>
      </c>
      <c r="C56" s="63">
        <f>IF($B56="","",$B56+Sequences!$D$14/1440)</f>
        <v/>
      </c>
      <c r="D56" s="55">
        <f>IF(Sequences!$B$14="","",Sequences!$K$14)</f>
        <v/>
      </c>
      <c r="E56" s="55">
        <f>IF(Sequences!$B$14="","",Sequences!$L$14)</f>
        <v/>
      </c>
      <c r="F56" s="55">
        <f>IF(Sequences!$B$14="","",Sequences!$B$14)</f>
        <v/>
      </c>
      <c r="G56" s="55">
        <f>IF(OR(Sequences!$B$14="",'Slot Times'!$I$5=""),"","Team: "&amp;'Slot Times'!$I$5)</f>
        <v/>
      </c>
      <c r="H56" s="55">
        <f>IF(Sequences!$B$14="","",IF(Sequences!$F$14="Team + liaisons","Liaisons travel with this block",""))</f>
        <v/>
      </c>
      <c r="I56" s="55">
        <f>IF(Sequences!$B$14="","","PRAC-S"&amp;'Slot Times'!$B$5&amp;"-13")</f>
        <v/>
      </c>
    </row>
    <row r="57">
      <c r="A57" s="55">
        <f>IF(Sequences!$B$15="","",Sequences!$M$2)</f>
        <v/>
      </c>
      <c r="B57" s="63">
        <f>IF(OR(Sequences!$B$15="",'Slot Times'!$H$5=""),"",'Slot Times'!$H$5+Sequences!$E$15/1440)</f>
        <v/>
      </c>
      <c r="C57" s="63">
        <f>IF($B57="","",$B57+Sequences!$D$15/1440)</f>
        <v/>
      </c>
      <c r="D57" s="55">
        <f>IF(Sequences!$B$15="","",Sequences!$K$15)</f>
        <v/>
      </c>
      <c r="E57" s="55">
        <f>IF(Sequences!$B$15="","",Sequences!$L$15)</f>
        <v/>
      </c>
      <c r="F57" s="55">
        <f>IF(Sequences!$B$15="","",Sequences!$B$15)</f>
        <v/>
      </c>
      <c r="G57" s="55">
        <f>IF(OR(Sequences!$B$15="",'Slot Times'!$I$5=""),"","Team: "&amp;'Slot Times'!$I$5)</f>
        <v/>
      </c>
      <c r="H57" s="55">
        <f>IF(Sequences!$B$15="","",IF(Sequences!$F$15="Team + liaisons","Liaisons travel with this block",""))</f>
        <v/>
      </c>
      <c r="I57" s="55">
        <f>IF(Sequences!$B$15="","","PRAC-S"&amp;'Slot Times'!$B$5&amp;"-14")</f>
        <v/>
      </c>
    </row>
    <row r="58">
      <c r="A58" s="55">
        <f>IF(Sequences!$B$2="","",Sequences!$M$2)</f>
        <v/>
      </c>
      <c r="B58" s="63">
        <f>IF(OR(Sequences!$B$2="",'Slot Times'!$H$6=""),"",'Slot Times'!$H$6+Sequences!$E$2/1440)</f>
        <v/>
      </c>
      <c r="C58" s="63">
        <f>IF($B58="","",$B58+Sequences!$D$2/1440)</f>
        <v/>
      </c>
      <c r="D58" s="55">
        <f>IF(Sequences!$B$2="","",Sequences!$K$2)</f>
        <v/>
      </c>
      <c r="E58" s="55">
        <f>IF(Sequences!$B$2="","",Sequences!$L$2)</f>
        <v/>
      </c>
      <c r="F58" s="55">
        <f>IF(Sequences!$B$2="","",Sequences!$B$2)</f>
        <v/>
      </c>
      <c r="G58" s="55">
        <f>IF(OR(Sequences!$B$2="",'Slot Times'!$I$6=""),"","Team: "&amp;'Slot Times'!$I$6)</f>
        <v/>
      </c>
      <c r="H58" s="55">
        <f>IF(Sequences!$B$2="","",IF(Sequences!$F$2="Team + liaisons","Liaisons travel with this block",""))</f>
        <v/>
      </c>
      <c r="I58" s="55">
        <f>IF(Sequences!$B$2="","","PRAC-S"&amp;'Slot Times'!$B$6&amp;"-01")</f>
        <v/>
      </c>
    </row>
    <row r="59">
      <c r="A59" s="55">
        <f>IF(Sequences!$B$3="","",Sequences!$M$2)</f>
        <v/>
      </c>
      <c r="B59" s="63">
        <f>IF(OR(Sequences!$B$3="",'Slot Times'!$H$6=""),"",'Slot Times'!$H$6+Sequences!$E$3/1440)</f>
        <v/>
      </c>
      <c r="C59" s="63">
        <f>IF($B59="","",$B59+Sequences!$D$3/1440)</f>
        <v/>
      </c>
      <c r="D59" s="55">
        <f>IF(Sequences!$B$3="","",Sequences!$K$3)</f>
        <v/>
      </c>
      <c r="E59" s="55">
        <f>IF(Sequences!$B$3="","",Sequences!$L$3)</f>
        <v/>
      </c>
      <c r="F59" s="55">
        <f>IF(Sequences!$B$3="","",Sequences!$B$3)</f>
        <v/>
      </c>
      <c r="G59" s="55">
        <f>IF(OR(Sequences!$B$3="",'Slot Times'!$I$6=""),"","Team: "&amp;'Slot Times'!$I$6)</f>
        <v/>
      </c>
      <c r="H59" s="55">
        <f>IF(Sequences!$B$3="","",IF(Sequences!$F$3="Team + liaisons","Liaisons travel with this block",""))</f>
        <v/>
      </c>
      <c r="I59" s="55">
        <f>IF(Sequences!$B$3="","","PRAC-S"&amp;'Slot Times'!$B$6&amp;"-02")</f>
        <v/>
      </c>
    </row>
    <row r="60">
      <c r="A60" s="55">
        <f>IF(Sequences!$B$4="","",Sequences!$M$2)</f>
        <v/>
      </c>
      <c r="B60" s="63">
        <f>IF(OR(Sequences!$B$4="",'Slot Times'!$H$6=""),"",'Slot Times'!$H$6+Sequences!$E$4/1440)</f>
        <v/>
      </c>
      <c r="C60" s="63">
        <f>IF($B60="","",$B60+Sequences!$D$4/1440)</f>
        <v/>
      </c>
      <c r="D60" s="55">
        <f>IF(Sequences!$B$4="","",Sequences!$K$4)</f>
        <v/>
      </c>
      <c r="E60" s="55">
        <f>IF(Sequences!$B$4="","",Sequences!$L$4)</f>
        <v/>
      </c>
      <c r="F60" s="55">
        <f>IF(Sequences!$B$4="","",Sequences!$B$4)</f>
        <v/>
      </c>
      <c r="G60" s="55">
        <f>IF(OR(Sequences!$B$4="",'Slot Times'!$I$6=""),"","Team: "&amp;'Slot Times'!$I$6)</f>
        <v/>
      </c>
      <c r="H60" s="55">
        <f>IF(Sequences!$B$4="","",IF(Sequences!$F$4="Team + liaisons","Liaisons travel with this block",""))</f>
        <v/>
      </c>
      <c r="I60" s="55">
        <f>IF(Sequences!$B$4="","","PRAC-S"&amp;'Slot Times'!$B$6&amp;"-03")</f>
        <v/>
      </c>
    </row>
    <row r="61">
      <c r="A61" s="55">
        <f>IF(Sequences!$B$5="","",Sequences!$M$2)</f>
        <v/>
      </c>
      <c r="B61" s="63">
        <f>IF(OR(Sequences!$B$5="",'Slot Times'!$H$6=""),"",'Slot Times'!$H$6+Sequences!$E$5/1440)</f>
        <v/>
      </c>
      <c r="C61" s="63">
        <f>IF($B61="","",$B61+Sequences!$D$5/1440)</f>
        <v/>
      </c>
      <c r="D61" s="55">
        <f>IF(Sequences!$B$5="","",Sequences!$K$5)</f>
        <v/>
      </c>
      <c r="E61" s="55">
        <f>IF(Sequences!$B$5="","",Sequences!$L$5)</f>
        <v/>
      </c>
      <c r="F61" s="55">
        <f>IF(Sequences!$B$5="","",Sequences!$B$5)</f>
        <v/>
      </c>
      <c r="G61" s="55">
        <f>IF(OR(Sequences!$B$5="",'Slot Times'!$I$6=""),"","Team: "&amp;'Slot Times'!$I$6)</f>
        <v/>
      </c>
      <c r="H61" s="55">
        <f>IF(Sequences!$B$5="","",IF(Sequences!$F$5="Team + liaisons","Liaisons travel with this block",""))</f>
        <v/>
      </c>
      <c r="I61" s="55">
        <f>IF(Sequences!$B$5="","","PRAC-S"&amp;'Slot Times'!$B$6&amp;"-04")</f>
        <v/>
      </c>
    </row>
    <row r="62">
      <c r="A62" s="55">
        <f>IF(Sequences!$B$6="","",Sequences!$M$2)</f>
        <v/>
      </c>
      <c r="B62" s="63">
        <f>IF(OR(Sequences!$B$6="",'Slot Times'!$H$6=""),"",'Slot Times'!$H$6+Sequences!$E$6/1440)</f>
        <v/>
      </c>
      <c r="C62" s="63">
        <f>IF($B62="","",$B62+Sequences!$D$6/1440)</f>
        <v/>
      </c>
      <c r="D62" s="55">
        <f>IF(Sequences!$B$6="","",Sequences!$K$6)</f>
        <v/>
      </c>
      <c r="E62" s="55">
        <f>IF(Sequences!$B$6="","",Sequences!$L$6)</f>
        <v/>
      </c>
      <c r="F62" s="55">
        <f>IF(Sequences!$B$6="","",Sequences!$B$6)</f>
        <v/>
      </c>
      <c r="G62" s="55">
        <f>IF(OR(Sequences!$B$6="",'Slot Times'!$I$6=""),"","Team: "&amp;'Slot Times'!$I$6)</f>
        <v/>
      </c>
      <c r="H62" s="55">
        <f>IF(Sequences!$B$6="","",IF(Sequences!$F$6="Team + liaisons","Liaisons travel with this block",""))</f>
        <v/>
      </c>
      <c r="I62" s="55">
        <f>IF(Sequences!$B$6="","","PRAC-S"&amp;'Slot Times'!$B$6&amp;"-05")</f>
        <v/>
      </c>
    </row>
    <row r="63">
      <c r="A63" s="55">
        <f>IF(Sequences!$B$7="","",Sequences!$M$2)</f>
        <v/>
      </c>
      <c r="B63" s="63">
        <f>IF(OR(Sequences!$B$7="",'Slot Times'!$H$6=""),"",'Slot Times'!$H$6+Sequences!$E$7/1440)</f>
        <v/>
      </c>
      <c r="C63" s="63">
        <f>IF($B63="","",$B63+Sequences!$D$7/1440)</f>
        <v/>
      </c>
      <c r="D63" s="55">
        <f>IF(Sequences!$B$7="","",Sequences!$K$7)</f>
        <v/>
      </c>
      <c r="E63" s="55">
        <f>IF(Sequences!$B$7="","",Sequences!$L$7)</f>
        <v/>
      </c>
      <c r="F63" s="55">
        <f>IF(Sequences!$B$7="","",Sequences!$B$7)</f>
        <v/>
      </c>
      <c r="G63" s="55">
        <f>IF(OR(Sequences!$B$7="",'Slot Times'!$I$6=""),"","Team: "&amp;'Slot Times'!$I$6)</f>
        <v/>
      </c>
      <c r="H63" s="55">
        <f>IF(Sequences!$B$7="","",IF(Sequences!$F$7="Team + liaisons","Liaisons travel with this block",""))</f>
        <v/>
      </c>
      <c r="I63" s="55">
        <f>IF(Sequences!$B$7="","","PRAC-S"&amp;'Slot Times'!$B$6&amp;"-06")</f>
        <v/>
      </c>
    </row>
    <row r="64">
      <c r="A64" s="55">
        <f>IF(Sequences!$B$8="","",Sequences!$M$2)</f>
        <v/>
      </c>
      <c r="B64" s="63">
        <f>IF(OR(Sequences!$B$8="",'Slot Times'!$H$6=""),"",'Slot Times'!$H$6+Sequences!$E$8/1440)</f>
        <v/>
      </c>
      <c r="C64" s="63">
        <f>IF($B64="","",$B64+Sequences!$D$8/1440)</f>
        <v/>
      </c>
      <c r="D64" s="55">
        <f>IF(Sequences!$B$8="","",Sequences!$K$8)</f>
        <v/>
      </c>
      <c r="E64" s="55">
        <f>IF(Sequences!$B$8="","",Sequences!$L$8)</f>
        <v/>
      </c>
      <c r="F64" s="55">
        <f>IF(Sequences!$B$8="","",Sequences!$B$8)</f>
        <v/>
      </c>
      <c r="G64" s="55">
        <f>IF(OR(Sequences!$B$8="",'Slot Times'!$I$6=""),"","Team: "&amp;'Slot Times'!$I$6)</f>
        <v/>
      </c>
      <c r="H64" s="55">
        <f>IF(Sequences!$B$8="","",IF(Sequences!$F$8="Team + liaisons","Liaisons travel with this block",""))</f>
        <v/>
      </c>
      <c r="I64" s="55">
        <f>IF(Sequences!$B$8="","","PRAC-S"&amp;'Slot Times'!$B$6&amp;"-07")</f>
        <v/>
      </c>
    </row>
    <row r="65">
      <c r="A65" s="55">
        <f>IF(Sequences!$B$9="","",Sequences!$M$2)</f>
        <v/>
      </c>
      <c r="B65" s="63">
        <f>IF(OR(Sequences!$B$9="",'Slot Times'!$H$6=""),"",'Slot Times'!$H$6+Sequences!$E$9/1440)</f>
        <v/>
      </c>
      <c r="C65" s="63">
        <f>IF($B65="","",$B65+Sequences!$D$9/1440)</f>
        <v/>
      </c>
      <c r="D65" s="55">
        <f>IF(Sequences!$B$9="","",Sequences!$K$9)</f>
        <v/>
      </c>
      <c r="E65" s="55">
        <f>IF(Sequences!$B$9="","",Sequences!$L$9)</f>
        <v/>
      </c>
      <c r="F65" s="55">
        <f>IF(Sequences!$B$9="","",Sequences!$B$9)</f>
        <v/>
      </c>
      <c r="G65" s="55">
        <f>IF(OR(Sequences!$B$9="",'Slot Times'!$I$6=""),"","Team: "&amp;'Slot Times'!$I$6)</f>
        <v/>
      </c>
      <c r="H65" s="55">
        <f>IF(Sequences!$B$9="","",IF(Sequences!$F$9="Team + liaisons","Liaisons travel with this block",""))</f>
        <v/>
      </c>
      <c r="I65" s="55">
        <f>IF(Sequences!$B$9="","","PRAC-S"&amp;'Slot Times'!$B$6&amp;"-08")</f>
        <v/>
      </c>
    </row>
    <row r="66">
      <c r="A66" s="55">
        <f>IF(Sequences!$B$10="","",Sequences!$M$2)</f>
        <v/>
      </c>
      <c r="B66" s="63">
        <f>IF(OR(Sequences!$B$10="",'Slot Times'!$H$6=""),"",'Slot Times'!$H$6+Sequences!$E$10/1440)</f>
        <v/>
      </c>
      <c r="C66" s="63">
        <f>IF($B66="","",$B66+Sequences!$D$10/1440)</f>
        <v/>
      </c>
      <c r="D66" s="55">
        <f>IF(Sequences!$B$10="","",Sequences!$K$10)</f>
        <v/>
      </c>
      <c r="E66" s="55">
        <f>IF(Sequences!$B$10="","",Sequences!$L$10)</f>
        <v/>
      </c>
      <c r="F66" s="55">
        <f>IF(Sequences!$B$10="","",Sequences!$B$10)</f>
        <v/>
      </c>
      <c r="G66" s="55">
        <f>IF(OR(Sequences!$B$10="",'Slot Times'!$I$6=""),"","Team: "&amp;'Slot Times'!$I$6)</f>
        <v/>
      </c>
      <c r="H66" s="55">
        <f>IF(Sequences!$B$10="","",IF(Sequences!$F$10="Team + liaisons","Liaisons travel with this block",""))</f>
        <v/>
      </c>
      <c r="I66" s="55">
        <f>IF(Sequences!$B$10="","","PRAC-S"&amp;'Slot Times'!$B$6&amp;"-09")</f>
        <v/>
      </c>
    </row>
    <row r="67">
      <c r="A67" s="55">
        <f>IF(Sequences!$B$11="","",Sequences!$M$2)</f>
        <v/>
      </c>
      <c r="B67" s="63">
        <f>IF(OR(Sequences!$B$11="",'Slot Times'!$H$6=""),"",'Slot Times'!$H$6+Sequences!$E$11/1440)</f>
        <v/>
      </c>
      <c r="C67" s="63">
        <f>IF($B67="","",$B67+Sequences!$D$11/1440)</f>
        <v/>
      </c>
      <c r="D67" s="55">
        <f>IF(Sequences!$B$11="","",Sequences!$K$11)</f>
        <v/>
      </c>
      <c r="E67" s="55">
        <f>IF(Sequences!$B$11="","",Sequences!$L$11)</f>
        <v/>
      </c>
      <c r="F67" s="55">
        <f>IF(Sequences!$B$11="","",Sequences!$B$11)</f>
        <v/>
      </c>
      <c r="G67" s="55">
        <f>IF(OR(Sequences!$B$11="",'Slot Times'!$I$6=""),"","Team: "&amp;'Slot Times'!$I$6)</f>
        <v/>
      </c>
      <c r="H67" s="55">
        <f>IF(Sequences!$B$11="","",IF(Sequences!$F$11="Team + liaisons","Liaisons travel with this block",""))</f>
        <v/>
      </c>
      <c r="I67" s="55">
        <f>IF(Sequences!$B$11="","","PRAC-S"&amp;'Slot Times'!$B$6&amp;"-10")</f>
        <v/>
      </c>
    </row>
    <row r="68">
      <c r="A68" s="55">
        <f>IF(Sequences!$B$12="","",Sequences!$M$2)</f>
        <v/>
      </c>
      <c r="B68" s="63">
        <f>IF(OR(Sequences!$B$12="",'Slot Times'!$H$6=""),"",'Slot Times'!$H$6+Sequences!$E$12/1440)</f>
        <v/>
      </c>
      <c r="C68" s="63">
        <f>IF($B68="","",$B68+Sequences!$D$12/1440)</f>
        <v/>
      </c>
      <c r="D68" s="55">
        <f>IF(Sequences!$B$12="","",Sequences!$K$12)</f>
        <v/>
      </c>
      <c r="E68" s="55">
        <f>IF(Sequences!$B$12="","",Sequences!$L$12)</f>
        <v/>
      </c>
      <c r="F68" s="55">
        <f>IF(Sequences!$B$12="","",Sequences!$B$12)</f>
        <v/>
      </c>
      <c r="G68" s="55">
        <f>IF(OR(Sequences!$B$12="",'Slot Times'!$I$6=""),"","Team: "&amp;'Slot Times'!$I$6)</f>
        <v/>
      </c>
      <c r="H68" s="55">
        <f>IF(Sequences!$B$12="","",IF(Sequences!$F$12="Team + liaisons","Liaisons travel with this block",""))</f>
        <v/>
      </c>
      <c r="I68" s="55">
        <f>IF(Sequences!$B$12="","","PRAC-S"&amp;'Slot Times'!$B$6&amp;"-11")</f>
        <v/>
      </c>
    </row>
    <row r="69">
      <c r="A69" s="55">
        <f>IF(Sequences!$B$13="","",Sequences!$M$2)</f>
        <v/>
      </c>
      <c r="B69" s="63">
        <f>IF(OR(Sequences!$B$13="",'Slot Times'!$H$6=""),"",'Slot Times'!$H$6+Sequences!$E$13/1440)</f>
        <v/>
      </c>
      <c r="C69" s="63">
        <f>IF($B69="","",$B69+Sequences!$D$13/1440)</f>
        <v/>
      </c>
      <c r="D69" s="55">
        <f>IF(Sequences!$B$13="","",Sequences!$K$13)</f>
        <v/>
      </c>
      <c r="E69" s="55">
        <f>IF(Sequences!$B$13="","",Sequences!$L$13)</f>
        <v/>
      </c>
      <c r="F69" s="55">
        <f>IF(Sequences!$B$13="","",Sequences!$B$13)</f>
        <v/>
      </c>
      <c r="G69" s="55">
        <f>IF(OR(Sequences!$B$13="",'Slot Times'!$I$6=""),"","Team: "&amp;'Slot Times'!$I$6)</f>
        <v/>
      </c>
      <c r="H69" s="55">
        <f>IF(Sequences!$B$13="","",IF(Sequences!$F$13="Team + liaisons","Liaisons travel with this block",""))</f>
        <v/>
      </c>
      <c r="I69" s="55">
        <f>IF(Sequences!$B$13="","","PRAC-S"&amp;'Slot Times'!$B$6&amp;"-12")</f>
        <v/>
      </c>
    </row>
    <row r="70">
      <c r="A70" s="55">
        <f>IF(Sequences!$B$14="","",Sequences!$M$2)</f>
        <v/>
      </c>
      <c r="B70" s="63">
        <f>IF(OR(Sequences!$B$14="",'Slot Times'!$H$6=""),"",'Slot Times'!$H$6+Sequences!$E$14/1440)</f>
        <v/>
      </c>
      <c r="C70" s="63">
        <f>IF($B70="","",$B70+Sequences!$D$14/1440)</f>
        <v/>
      </c>
      <c r="D70" s="55">
        <f>IF(Sequences!$B$14="","",Sequences!$K$14)</f>
        <v/>
      </c>
      <c r="E70" s="55">
        <f>IF(Sequences!$B$14="","",Sequences!$L$14)</f>
        <v/>
      </c>
      <c r="F70" s="55">
        <f>IF(Sequences!$B$14="","",Sequences!$B$14)</f>
        <v/>
      </c>
      <c r="G70" s="55">
        <f>IF(OR(Sequences!$B$14="",'Slot Times'!$I$6=""),"","Team: "&amp;'Slot Times'!$I$6)</f>
        <v/>
      </c>
      <c r="H70" s="55">
        <f>IF(Sequences!$B$14="","",IF(Sequences!$F$14="Team + liaisons","Liaisons travel with this block",""))</f>
        <v/>
      </c>
      <c r="I70" s="55">
        <f>IF(Sequences!$B$14="","","PRAC-S"&amp;'Slot Times'!$B$6&amp;"-13")</f>
        <v/>
      </c>
    </row>
    <row r="71">
      <c r="A71" s="55">
        <f>IF(Sequences!$B$15="","",Sequences!$M$2)</f>
        <v/>
      </c>
      <c r="B71" s="63">
        <f>IF(OR(Sequences!$B$15="",'Slot Times'!$H$6=""),"",'Slot Times'!$H$6+Sequences!$E$15/1440)</f>
        <v/>
      </c>
      <c r="C71" s="63">
        <f>IF($B71="","",$B71+Sequences!$D$15/1440)</f>
        <v/>
      </c>
      <c r="D71" s="55">
        <f>IF(Sequences!$B$15="","",Sequences!$K$15)</f>
        <v/>
      </c>
      <c r="E71" s="55">
        <f>IF(Sequences!$B$15="","",Sequences!$L$15)</f>
        <v/>
      </c>
      <c r="F71" s="55">
        <f>IF(Sequences!$B$15="","",Sequences!$B$15)</f>
        <v/>
      </c>
      <c r="G71" s="55">
        <f>IF(OR(Sequences!$B$15="",'Slot Times'!$I$6=""),"","Team: "&amp;'Slot Times'!$I$6)</f>
        <v/>
      </c>
      <c r="H71" s="55">
        <f>IF(Sequences!$B$15="","",IF(Sequences!$F$15="Team + liaisons","Liaisons travel with this block",""))</f>
        <v/>
      </c>
      <c r="I71" s="55">
        <f>IF(Sequences!$B$15="","","PRAC-S"&amp;'Slot Times'!$B$6&amp;"-14")</f>
        <v/>
      </c>
    </row>
    <row r="72">
      <c r="A72" s="55">
        <f>IF(Sequences!$B$2="","",Sequences!$M$2)</f>
        <v/>
      </c>
      <c r="B72" s="63">
        <f>IF(OR(Sequences!$B$2="",'Slot Times'!$H$7=""),"",'Slot Times'!$H$7+Sequences!$E$2/1440)</f>
        <v/>
      </c>
      <c r="C72" s="63">
        <f>IF($B72="","",$B72+Sequences!$D$2/1440)</f>
        <v/>
      </c>
      <c r="D72" s="55">
        <f>IF(Sequences!$B$2="","",Sequences!$K$2)</f>
        <v/>
      </c>
      <c r="E72" s="55">
        <f>IF(Sequences!$B$2="","",Sequences!$L$2)</f>
        <v/>
      </c>
      <c r="F72" s="55">
        <f>IF(Sequences!$B$2="","",Sequences!$B$2)</f>
        <v/>
      </c>
      <c r="G72" s="55">
        <f>IF(OR(Sequences!$B$2="",'Slot Times'!$I$7=""),"","Team: "&amp;'Slot Times'!$I$7)</f>
        <v/>
      </c>
      <c r="H72" s="55">
        <f>IF(Sequences!$B$2="","",IF(Sequences!$F$2="Team + liaisons","Liaisons travel with this block",""))</f>
        <v/>
      </c>
      <c r="I72" s="55">
        <f>IF(Sequences!$B$2="","","PRAC-S"&amp;'Slot Times'!$B$7&amp;"-01")</f>
        <v/>
      </c>
    </row>
    <row r="73">
      <c r="A73" s="55">
        <f>IF(Sequences!$B$3="","",Sequences!$M$2)</f>
        <v/>
      </c>
      <c r="B73" s="63">
        <f>IF(OR(Sequences!$B$3="",'Slot Times'!$H$7=""),"",'Slot Times'!$H$7+Sequences!$E$3/1440)</f>
        <v/>
      </c>
      <c r="C73" s="63">
        <f>IF($B73="","",$B73+Sequences!$D$3/1440)</f>
        <v/>
      </c>
      <c r="D73" s="55">
        <f>IF(Sequences!$B$3="","",Sequences!$K$3)</f>
        <v/>
      </c>
      <c r="E73" s="55">
        <f>IF(Sequences!$B$3="","",Sequences!$L$3)</f>
        <v/>
      </c>
      <c r="F73" s="55">
        <f>IF(Sequences!$B$3="","",Sequences!$B$3)</f>
        <v/>
      </c>
      <c r="G73" s="55">
        <f>IF(OR(Sequences!$B$3="",'Slot Times'!$I$7=""),"","Team: "&amp;'Slot Times'!$I$7)</f>
        <v/>
      </c>
      <c r="H73" s="55">
        <f>IF(Sequences!$B$3="","",IF(Sequences!$F$3="Team + liaisons","Liaisons travel with this block",""))</f>
        <v/>
      </c>
      <c r="I73" s="55">
        <f>IF(Sequences!$B$3="","","PRAC-S"&amp;'Slot Times'!$B$7&amp;"-02")</f>
        <v/>
      </c>
    </row>
    <row r="74">
      <c r="A74" s="55">
        <f>IF(Sequences!$B$4="","",Sequences!$M$2)</f>
        <v/>
      </c>
      <c r="B74" s="63">
        <f>IF(OR(Sequences!$B$4="",'Slot Times'!$H$7=""),"",'Slot Times'!$H$7+Sequences!$E$4/1440)</f>
        <v/>
      </c>
      <c r="C74" s="63">
        <f>IF($B74="","",$B74+Sequences!$D$4/1440)</f>
        <v/>
      </c>
      <c r="D74" s="55">
        <f>IF(Sequences!$B$4="","",Sequences!$K$4)</f>
        <v/>
      </c>
      <c r="E74" s="55">
        <f>IF(Sequences!$B$4="","",Sequences!$L$4)</f>
        <v/>
      </c>
      <c r="F74" s="55">
        <f>IF(Sequences!$B$4="","",Sequences!$B$4)</f>
        <v/>
      </c>
      <c r="G74" s="55">
        <f>IF(OR(Sequences!$B$4="",'Slot Times'!$I$7=""),"","Team: "&amp;'Slot Times'!$I$7)</f>
        <v/>
      </c>
      <c r="H74" s="55">
        <f>IF(Sequences!$B$4="","",IF(Sequences!$F$4="Team + liaisons","Liaisons travel with this block",""))</f>
        <v/>
      </c>
      <c r="I74" s="55">
        <f>IF(Sequences!$B$4="","","PRAC-S"&amp;'Slot Times'!$B$7&amp;"-03")</f>
        <v/>
      </c>
    </row>
    <row r="75">
      <c r="A75" s="55">
        <f>IF(Sequences!$B$5="","",Sequences!$M$2)</f>
        <v/>
      </c>
      <c r="B75" s="63">
        <f>IF(OR(Sequences!$B$5="",'Slot Times'!$H$7=""),"",'Slot Times'!$H$7+Sequences!$E$5/1440)</f>
        <v/>
      </c>
      <c r="C75" s="63">
        <f>IF($B75="","",$B75+Sequences!$D$5/1440)</f>
        <v/>
      </c>
      <c r="D75" s="55">
        <f>IF(Sequences!$B$5="","",Sequences!$K$5)</f>
        <v/>
      </c>
      <c r="E75" s="55">
        <f>IF(Sequences!$B$5="","",Sequences!$L$5)</f>
        <v/>
      </c>
      <c r="F75" s="55">
        <f>IF(Sequences!$B$5="","",Sequences!$B$5)</f>
        <v/>
      </c>
      <c r="G75" s="55">
        <f>IF(OR(Sequences!$B$5="",'Slot Times'!$I$7=""),"","Team: "&amp;'Slot Times'!$I$7)</f>
        <v/>
      </c>
      <c r="H75" s="55">
        <f>IF(Sequences!$B$5="","",IF(Sequences!$F$5="Team + liaisons","Liaisons travel with this block",""))</f>
        <v/>
      </c>
      <c r="I75" s="55">
        <f>IF(Sequences!$B$5="","","PRAC-S"&amp;'Slot Times'!$B$7&amp;"-04")</f>
        <v/>
      </c>
    </row>
    <row r="76">
      <c r="A76" s="55">
        <f>IF(Sequences!$B$6="","",Sequences!$M$2)</f>
        <v/>
      </c>
      <c r="B76" s="63">
        <f>IF(OR(Sequences!$B$6="",'Slot Times'!$H$7=""),"",'Slot Times'!$H$7+Sequences!$E$6/1440)</f>
        <v/>
      </c>
      <c r="C76" s="63">
        <f>IF($B76="","",$B76+Sequences!$D$6/1440)</f>
        <v/>
      </c>
      <c r="D76" s="55">
        <f>IF(Sequences!$B$6="","",Sequences!$K$6)</f>
        <v/>
      </c>
      <c r="E76" s="55">
        <f>IF(Sequences!$B$6="","",Sequences!$L$6)</f>
        <v/>
      </c>
      <c r="F76" s="55">
        <f>IF(Sequences!$B$6="","",Sequences!$B$6)</f>
        <v/>
      </c>
      <c r="G76" s="55">
        <f>IF(OR(Sequences!$B$6="",'Slot Times'!$I$7=""),"","Team: "&amp;'Slot Times'!$I$7)</f>
        <v/>
      </c>
      <c r="H76" s="55">
        <f>IF(Sequences!$B$6="","",IF(Sequences!$F$6="Team + liaisons","Liaisons travel with this block",""))</f>
        <v/>
      </c>
      <c r="I76" s="55">
        <f>IF(Sequences!$B$6="","","PRAC-S"&amp;'Slot Times'!$B$7&amp;"-05")</f>
        <v/>
      </c>
    </row>
    <row r="77">
      <c r="A77" s="55">
        <f>IF(Sequences!$B$7="","",Sequences!$M$2)</f>
        <v/>
      </c>
      <c r="B77" s="63">
        <f>IF(OR(Sequences!$B$7="",'Slot Times'!$H$7=""),"",'Slot Times'!$H$7+Sequences!$E$7/1440)</f>
        <v/>
      </c>
      <c r="C77" s="63">
        <f>IF($B77="","",$B77+Sequences!$D$7/1440)</f>
        <v/>
      </c>
      <c r="D77" s="55">
        <f>IF(Sequences!$B$7="","",Sequences!$K$7)</f>
        <v/>
      </c>
      <c r="E77" s="55">
        <f>IF(Sequences!$B$7="","",Sequences!$L$7)</f>
        <v/>
      </c>
      <c r="F77" s="55">
        <f>IF(Sequences!$B$7="","",Sequences!$B$7)</f>
        <v/>
      </c>
      <c r="G77" s="55">
        <f>IF(OR(Sequences!$B$7="",'Slot Times'!$I$7=""),"","Team: "&amp;'Slot Times'!$I$7)</f>
        <v/>
      </c>
      <c r="H77" s="55">
        <f>IF(Sequences!$B$7="","",IF(Sequences!$F$7="Team + liaisons","Liaisons travel with this block",""))</f>
        <v/>
      </c>
      <c r="I77" s="55">
        <f>IF(Sequences!$B$7="","","PRAC-S"&amp;'Slot Times'!$B$7&amp;"-06")</f>
        <v/>
      </c>
    </row>
    <row r="78">
      <c r="A78" s="55">
        <f>IF(Sequences!$B$8="","",Sequences!$M$2)</f>
        <v/>
      </c>
      <c r="B78" s="63">
        <f>IF(OR(Sequences!$B$8="",'Slot Times'!$H$7=""),"",'Slot Times'!$H$7+Sequences!$E$8/1440)</f>
        <v/>
      </c>
      <c r="C78" s="63">
        <f>IF($B78="","",$B78+Sequences!$D$8/1440)</f>
        <v/>
      </c>
      <c r="D78" s="55">
        <f>IF(Sequences!$B$8="","",Sequences!$K$8)</f>
        <v/>
      </c>
      <c r="E78" s="55">
        <f>IF(Sequences!$B$8="","",Sequences!$L$8)</f>
        <v/>
      </c>
      <c r="F78" s="55">
        <f>IF(Sequences!$B$8="","",Sequences!$B$8)</f>
        <v/>
      </c>
      <c r="G78" s="55">
        <f>IF(OR(Sequences!$B$8="",'Slot Times'!$I$7=""),"","Team: "&amp;'Slot Times'!$I$7)</f>
        <v/>
      </c>
      <c r="H78" s="55">
        <f>IF(Sequences!$B$8="","",IF(Sequences!$F$8="Team + liaisons","Liaisons travel with this block",""))</f>
        <v/>
      </c>
      <c r="I78" s="55">
        <f>IF(Sequences!$B$8="","","PRAC-S"&amp;'Slot Times'!$B$7&amp;"-07")</f>
        <v/>
      </c>
    </row>
    <row r="79">
      <c r="A79" s="55">
        <f>IF(Sequences!$B$9="","",Sequences!$M$2)</f>
        <v/>
      </c>
      <c r="B79" s="63">
        <f>IF(OR(Sequences!$B$9="",'Slot Times'!$H$7=""),"",'Slot Times'!$H$7+Sequences!$E$9/1440)</f>
        <v/>
      </c>
      <c r="C79" s="63">
        <f>IF($B79="","",$B79+Sequences!$D$9/1440)</f>
        <v/>
      </c>
      <c r="D79" s="55">
        <f>IF(Sequences!$B$9="","",Sequences!$K$9)</f>
        <v/>
      </c>
      <c r="E79" s="55">
        <f>IF(Sequences!$B$9="","",Sequences!$L$9)</f>
        <v/>
      </c>
      <c r="F79" s="55">
        <f>IF(Sequences!$B$9="","",Sequences!$B$9)</f>
        <v/>
      </c>
      <c r="G79" s="55">
        <f>IF(OR(Sequences!$B$9="",'Slot Times'!$I$7=""),"","Team: "&amp;'Slot Times'!$I$7)</f>
        <v/>
      </c>
      <c r="H79" s="55">
        <f>IF(Sequences!$B$9="","",IF(Sequences!$F$9="Team + liaisons","Liaisons travel with this block",""))</f>
        <v/>
      </c>
      <c r="I79" s="55">
        <f>IF(Sequences!$B$9="","","PRAC-S"&amp;'Slot Times'!$B$7&amp;"-08")</f>
        <v/>
      </c>
    </row>
    <row r="80">
      <c r="A80" s="55">
        <f>IF(Sequences!$B$10="","",Sequences!$M$2)</f>
        <v/>
      </c>
      <c r="B80" s="63">
        <f>IF(OR(Sequences!$B$10="",'Slot Times'!$H$7=""),"",'Slot Times'!$H$7+Sequences!$E$10/1440)</f>
        <v/>
      </c>
      <c r="C80" s="63">
        <f>IF($B80="","",$B80+Sequences!$D$10/1440)</f>
        <v/>
      </c>
      <c r="D80" s="55">
        <f>IF(Sequences!$B$10="","",Sequences!$K$10)</f>
        <v/>
      </c>
      <c r="E80" s="55">
        <f>IF(Sequences!$B$10="","",Sequences!$L$10)</f>
        <v/>
      </c>
      <c r="F80" s="55">
        <f>IF(Sequences!$B$10="","",Sequences!$B$10)</f>
        <v/>
      </c>
      <c r="G80" s="55">
        <f>IF(OR(Sequences!$B$10="",'Slot Times'!$I$7=""),"","Team: "&amp;'Slot Times'!$I$7)</f>
        <v/>
      </c>
      <c r="H80" s="55">
        <f>IF(Sequences!$B$10="","",IF(Sequences!$F$10="Team + liaisons","Liaisons travel with this block",""))</f>
        <v/>
      </c>
      <c r="I80" s="55">
        <f>IF(Sequences!$B$10="","","PRAC-S"&amp;'Slot Times'!$B$7&amp;"-09")</f>
        <v/>
      </c>
    </row>
    <row r="81">
      <c r="A81" s="55">
        <f>IF(Sequences!$B$11="","",Sequences!$M$2)</f>
        <v/>
      </c>
      <c r="B81" s="63">
        <f>IF(OR(Sequences!$B$11="",'Slot Times'!$H$7=""),"",'Slot Times'!$H$7+Sequences!$E$11/1440)</f>
        <v/>
      </c>
      <c r="C81" s="63">
        <f>IF($B81="","",$B81+Sequences!$D$11/1440)</f>
        <v/>
      </c>
      <c r="D81" s="55">
        <f>IF(Sequences!$B$11="","",Sequences!$K$11)</f>
        <v/>
      </c>
      <c r="E81" s="55">
        <f>IF(Sequences!$B$11="","",Sequences!$L$11)</f>
        <v/>
      </c>
      <c r="F81" s="55">
        <f>IF(Sequences!$B$11="","",Sequences!$B$11)</f>
        <v/>
      </c>
      <c r="G81" s="55">
        <f>IF(OR(Sequences!$B$11="",'Slot Times'!$I$7=""),"","Team: "&amp;'Slot Times'!$I$7)</f>
        <v/>
      </c>
      <c r="H81" s="55">
        <f>IF(Sequences!$B$11="","",IF(Sequences!$F$11="Team + liaisons","Liaisons travel with this block",""))</f>
        <v/>
      </c>
      <c r="I81" s="55">
        <f>IF(Sequences!$B$11="","","PRAC-S"&amp;'Slot Times'!$B$7&amp;"-10")</f>
        <v/>
      </c>
    </row>
    <row r="82">
      <c r="A82" s="55">
        <f>IF(Sequences!$B$12="","",Sequences!$M$2)</f>
        <v/>
      </c>
      <c r="B82" s="63">
        <f>IF(OR(Sequences!$B$12="",'Slot Times'!$H$7=""),"",'Slot Times'!$H$7+Sequences!$E$12/1440)</f>
        <v/>
      </c>
      <c r="C82" s="63">
        <f>IF($B82="","",$B82+Sequences!$D$12/1440)</f>
        <v/>
      </c>
      <c r="D82" s="55">
        <f>IF(Sequences!$B$12="","",Sequences!$K$12)</f>
        <v/>
      </c>
      <c r="E82" s="55">
        <f>IF(Sequences!$B$12="","",Sequences!$L$12)</f>
        <v/>
      </c>
      <c r="F82" s="55">
        <f>IF(Sequences!$B$12="","",Sequences!$B$12)</f>
        <v/>
      </c>
      <c r="G82" s="55">
        <f>IF(OR(Sequences!$B$12="",'Slot Times'!$I$7=""),"","Team: "&amp;'Slot Times'!$I$7)</f>
        <v/>
      </c>
      <c r="H82" s="55">
        <f>IF(Sequences!$B$12="","",IF(Sequences!$F$12="Team + liaisons","Liaisons travel with this block",""))</f>
        <v/>
      </c>
      <c r="I82" s="55">
        <f>IF(Sequences!$B$12="","","PRAC-S"&amp;'Slot Times'!$B$7&amp;"-11")</f>
        <v/>
      </c>
    </row>
    <row r="83">
      <c r="A83" s="55">
        <f>IF(Sequences!$B$13="","",Sequences!$M$2)</f>
        <v/>
      </c>
      <c r="B83" s="63">
        <f>IF(OR(Sequences!$B$13="",'Slot Times'!$H$7=""),"",'Slot Times'!$H$7+Sequences!$E$13/1440)</f>
        <v/>
      </c>
      <c r="C83" s="63">
        <f>IF($B83="","",$B83+Sequences!$D$13/1440)</f>
        <v/>
      </c>
      <c r="D83" s="55">
        <f>IF(Sequences!$B$13="","",Sequences!$K$13)</f>
        <v/>
      </c>
      <c r="E83" s="55">
        <f>IF(Sequences!$B$13="","",Sequences!$L$13)</f>
        <v/>
      </c>
      <c r="F83" s="55">
        <f>IF(Sequences!$B$13="","",Sequences!$B$13)</f>
        <v/>
      </c>
      <c r="G83" s="55">
        <f>IF(OR(Sequences!$B$13="",'Slot Times'!$I$7=""),"","Team: "&amp;'Slot Times'!$I$7)</f>
        <v/>
      </c>
      <c r="H83" s="55">
        <f>IF(Sequences!$B$13="","",IF(Sequences!$F$13="Team + liaisons","Liaisons travel with this block",""))</f>
        <v/>
      </c>
      <c r="I83" s="55">
        <f>IF(Sequences!$B$13="","","PRAC-S"&amp;'Slot Times'!$B$7&amp;"-12")</f>
        <v/>
      </c>
    </row>
    <row r="84">
      <c r="A84" s="55">
        <f>IF(Sequences!$B$14="","",Sequences!$M$2)</f>
        <v/>
      </c>
      <c r="B84" s="63">
        <f>IF(OR(Sequences!$B$14="",'Slot Times'!$H$7=""),"",'Slot Times'!$H$7+Sequences!$E$14/1440)</f>
        <v/>
      </c>
      <c r="C84" s="63">
        <f>IF($B84="","",$B84+Sequences!$D$14/1440)</f>
        <v/>
      </c>
      <c r="D84" s="55">
        <f>IF(Sequences!$B$14="","",Sequences!$K$14)</f>
        <v/>
      </c>
      <c r="E84" s="55">
        <f>IF(Sequences!$B$14="","",Sequences!$L$14)</f>
        <v/>
      </c>
      <c r="F84" s="55">
        <f>IF(Sequences!$B$14="","",Sequences!$B$14)</f>
        <v/>
      </c>
      <c r="G84" s="55">
        <f>IF(OR(Sequences!$B$14="",'Slot Times'!$I$7=""),"","Team: "&amp;'Slot Times'!$I$7)</f>
        <v/>
      </c>
      <c r="H84" s="55">
        <f>IF(Sequences!$B$14="","",IF(Sequences!$F$14="Team + liaisons","Liaisons travel with this block",""))</f>
        <v/>
      </c>
      <c r="I84" s="55">
        <f>IF(Sequences!$B$14="","","PRAC-S"&amp;'Slot Times'!$B$7&amp;"-13")</f>
        <v/>
      </c>
    </row>
    <row r="85">
      <c r="A85" s="55">
        <f>IF(Sequences!$B$15="","",Sequences!$M$2)</f>
        <v/>
      </c>
      <c r="B85" s="63">
        <f>IF(OR(Sequences!$B$15="",'Slot Times'!$H$7=""),"",'Slot Times'!$H$7+Sequences!$E$15/1440)</f>
        <v/>
      </c>
      <c r="C85" s="63">
        <f>IF($B85="","",$B85+Sequences!$D$15/1440)</f>
        <v/>
      </c>
      <c r="D85" s="55">
        <f>IF(Sequences!$B$15="","",Sequences!$K$15)</f>
        <v/>
      </c>
      <c r="E85" s="55">
        <f>IF(Sequences!$B$15="","",Sequences!$L$15)</f>
        <v/>
      </c>
      <c r="F85" s="55">
        <f>IF(Sequences!$B$15="","",Sequences!$B$15)</f>
        <v/>
      </c>
      <c r="G85" s="55">
        <f>IF(OR(Sequences!$B$15="",'Slot Times'!$I$7=""),"","Team: "&amp;'Slot Times'!$I$7)</f>
        <v/>
      </c>
      <c r="H85" s="55">
        <f>IF(Sequences!$B$15="","",IF(Sequences!$F$15="Team + liaisons","Liaisons travel with this block",""))</f>
        <v/>
      </c>
      <c r="I85" s="55">
        <f>IF(Sequences!$B$15="","","PRAC-S"&amp;'Slot Times'!$B$7&amp;"-14")</f>
        <v/>
      </c>
    </row>
    <row r="86">
      <c r="A86" s="55">
        <f>IF(Sequences!$B$2="","",Sequences!$M$2)</f>
        <v/>
      </c>
      <c r="B86" s="63">
        <f>IF(OR(Sequences!$B$2="",'Slot Times'!$H$8=""),"",'Slot Times'!$H$8+Sequences!$E$2/1440)</f>
        <v/>
      </c>
      <c r="C86" s="63">
        <f>IF($B86="","",$B86+Sequences!$D$2/1440)</f>
        <v/>
      </c>
      <c r="D86" s="55">
        <f>IF(Sequences!$B$2="","",Sequences!$K$2)</f>
        <v/>
      </c>
      <c r="E86" s="55">
        <f>IF(Sequences!$B$2="","",Sequences!$L$2)</f>
        <v/>
      </c>
      <c r="F86" s="55">
        <f>IF(Sequences!$B$2="","",Sequences!$B$2)</f>
        <v/>
      </c>
      <c r="G86" s="55">
        <f>IF(OR(Sequences!$B$2="",'Slot Times'!$I$8=""),"","Team: "&amp;'Slot Times'!$I$8)</f>
        <v/>
      </c>
      <c r="H86" s="55">
        <f>IF(Sequences!$B$2="","",IF(Sequences!$F$2="Team + liaisons","Liaisons travel with this block",""))</f>
        <v/>
      </c>
      <c r="I86" s="55">
        <f>IF(Sequences!$B$2="","","PRAC-S"&amp;'Slot Times'!$B$8&amp;"-01")</f>
        <v/>
      </c>
    </row>
    <row r="87">
      <c r="A87" s="55">
        <f>IF(Sequences!$B$3="","",Sequences!$M$2)</f>
        <v/>
      </c>
      <c r="B87" s="63">
        <f>IF(OR(Sequences!$B$3="",'Slot Times'!$H$8=""),"",'Slot Times'!$H$8+Sequences!$E$3/1440)</f>
        <v/>
      </c>
      <c r="C87" s="63">
        <f>IF($B87="","",$B87+Sequences!$D$3/1440)</f>
        <v/>
      </c>
      <c r="D87" s="55">
        <f>IF(Sequences!$B$3="","",Sequences!$K$3)</f>
        <v/>
      </c>
      <c r="E87" s="55">
        <f>IF(Sequences!$B$3="","",Sequences!$L$3)</f>
        <v/>
      </c>
      <c r="F87" s="55">
        <f>IF(Sequences!$B$3="","",Sequences!$B$3)</f>
        <v/>
      </c>
      <c r="G87" s="55">
        <f>IF(OR(Sequences!$B$3="",'Slot Times'!$I$8=""),"","Team: "&amp;'Slot Times'!$I$8)</f>
        <v/>
      </c>
      <c r="H87" s="55">
        <f>IF(Sequences!$B$3="","",IF(Sequences!$F$3="Team + liaisons","Liaisons travel with this block",""))</f>
        <v/>
      </c>
      <c r="I87" s="55">
        <f>IF(Sequences!$B$3="","","PRAC-S"&amp;'Slot Times'!$B$8&amp;"-02")</f>
        <v/>
      </c>
    </row>
    <row r="88">
      <c r="A88" s="55">
        <f>IF(Sequences!$B$4="","",Sequences!$M$2)</f>
        <v/>
      </c>
      <c r="B88" s="63">
        <f>IF(OR(Sequences!$B$4="",'Slot Times'!$H$8=""),"",'Slot Times'!$H$8+Sequences!$E$4/1440)</f>
        <v/>
      </c>
      <c r="C88" s="63">
        <f>IF($B88="","",$B88+Sequences!$D$4/1440)</f>
        <v/>
      </c>
      <c r="D88" s="55">
        <f>IF(Sequences!$B$4="","",Sequences!$K$4)</f>
        <v/>
      </c>
      <c r="E88" s="55">
        <f>IF(Sequences!$B$4="","",Sequences!$L$4)</f>
        <v/>
      </c>
      <c r="F88" s="55">
        <f>IF(Sequences!$B$4="","",Sequences!$B$4)</f>
        <v/>
      </c>
      <c r="G88" s="55">
        <f>IF(OR(Sequences!$B$4="",'Slot Times'!$I$8=""),"","Team: "&amp;'Slot Times'!$I$8)</f>
        <v/>
      </c>
      <c r="H88" s="55">
        <f>IF(Sequences!$B$4="","",IF(Sequences!$F$4="Team + liaisons","Liaisons travel with this block",""))</f>
        <v/>
      </c>
      <c r="I88" s="55">
        <f>IF(Sequences!$B$4="","","PRAC-S"&amp;'Slot Times'!$B$8&amp;"-03")</f>
        <v/>
      </c>
    </row>
    <row r="89">
      <c r="A89" s="55">
        <f>IF(Sequences!$B$5="","",Sequences!$M$2)</f>
        <v/>
      </c>
      <c r="B89" s="63">
        <f>IF(OR(Sequences!$B$5="",'Slot Times'!$H$8=""),"",'Slot Times'!$H$8+Sequences!$E$5/1440)</f>
        <v/>
      </c>
      <c r="C89" s="63">
        <f>IF($B89="","",$B89+Sequences!$D$5/1440)</f>
        <v/>
      </c>
      <c r="D89" s="55">
        <f>IF(Sequences!$B$5="","",Sequences!$K$5)</f>
        <v/>
      </c>
      <c r="E89" s="55">
        <f>IF(Sequences!$B$5="","",Sequences!$L$5)</f>
        <v/>
      </c>
      <c r="F89" s="55">
        <f>IF(Sequences!$B$5="","",Sequences!$B$5)</f>
        <v/>
      </c>
      <c r="G89" s="55">
        <f>IF(OR(Sequences!$B$5="",'Slot Times'!$I$8=""),"","Team: "&amp;'Slot Times'!$I$8)</f>
        <v/>
      </c>
      <c r="H89" s="55">
        <f>IF(Sequences!$B$5="","",IF(Sequences!$F$5="Team + liaisons","Liaisons travel with this block",""))</f>
        <v/>
      </c>
      <c r="I89" s="55">
        <f>IF(Sequences!$B$5="","","PRAC-S"&amp;'Slot Times'!$B$8&amp;"-04")</f>
        <v/>
      </c>
    </row>
    <row r="90">
      <c r="A90" s="55">
        <f>IF(Sequences!$B$6="","",Sequences!$M$2)</f>
        <v/>
      </c>
      <c r="B90" s="63">
        <f>IF(OR(Sequences!$B$6="",'Slot Times'!$H$8=""),"",'Slot Times'!$H$8+Sequences!$E$6/1440)</f>
        <v/>
      </c>
      <c r="C90" s="63">
        <f>IF($B90="","",$B90+Sequences!$D$6/1440)</f>
        <v/>
      </c>
      <c r="D90" s="55">
        <f>IF(Sequences!$B$6="","",Sequences!$K$6)</f>
        <v/>
      </c>
      <c r="E90" s="55">
        <f>IF(Sequences!$B$6="","",Sequences!$L$6)</f>
        <v/>
      </c>
      <c r="F90" s="55">
        <f>IF(Sequences!$B$6="","",Sequences!$B$6)</f>
        <v/>
      </c>
      <c r="G90" s="55">
        <f>IF(OR(Sequences!$B$6="",'Slot Times'!$I$8=""),"","Team: "&amp;'Slot Times'!$I$8)</f>
        <v/>
      </c>
      <c r="H90" s="55">
        <f>IF(Sequences!$B$6="","",IF(Sequences!$F$6="Team + liaisons","Liaisons travel with this block",""))</f>
        <v/>
      </c>
      <c r="I90" s="55">
        <f>IF(Sequences!$B$6="","","PRAC-S"&amp;'Slot Times'!$B$8&amp;"-05")</f>
        <v/>
      </c>
    </row>
    <row r="91">
      <c r="A91" s="55">
        <f>IF(Sequences!$B$7="","",Sequences!$M$2)</f>
        <v/>
      </c>
      <c r="B91" s="63">
        <f>IF(OR(Sequences!$B$7="",'Slot Times'!$H$8=""),"",'Slot Times'!$H$8+Sequences!$E$7/1440)</f>
        <v/>
      </c>
      <c r="C91" s="63">
        <f>IF($B91="","",$B91+Sequences!$D$7/1440)</f>
        <v/>
      </c>
      <c r="D91" s="55">
        <f>IF(Sequences!$B$7="","",Sequences!$K$7)</f>
        <v/>
      </c>
      <c r="E91" s="55">
        <f>IF(Sequences!$B$7="","",Sequences!$L$7)</f>
        <v/>
      </c>
      <c r="F91" s="55">
        <f>IF(Sequences!$B$7="","",Sequences!$B$7)</f>
        <v/>
      </c>
      <c r="G91" s="55">
        <f>IF(OR(Sequences!$B$7="",'Slot Times'!$I$8=""),"","Team: "&amp;'Slot Times'!$I$8)</f>
        <v/>
      </c>
      <c r="H91" s="55">
        <f>IF(Sequences!$B$7="","",IF(Sequences!$F$7="Team + liaisons","Liaisons travel with this block",""))</f>
        <v/>
      </c>
      <c r="I91" s="55">
        <f>IF(Sequences!$B$7="","","PRAC-S"&amp;'Slot Times'!$B$8&amp;"-06")</f>
        <v/>
      </c>
    </row>
    <row r="92">
      <c r="A92" s="55">
        <f>IF(Sequences!$B$8="","",Sequences!$M$2)</f>
        <v/>
      </c>
      <c r="B92" s="63">
        <f>IF(OR(Sequences!$B$8="",'Slot Times'!$H$8=""),"",'Slot Times'!$H$8+Sequences!$E$8/1440)</f>
        <v/>
      </c>
      <c r="C92" s="63">
        <f>IF($B92="","",$B92+Sequences!$D$8/1440)</f>
        <v/>
      </c>
      <c r="D92" s="55">
        <f>IF(Sequences!$B$8="","",Sequences!$K$8)</f>
        <v/>
      </c>
      <c r="E92" s="55">
        <f>IF(Sequences!$B$8="","",Sequences!$L$8)</f>
        <v/>
      </c>
      <c r="F92" s="55">
        <f>IF(Sequences!$B$8="","",Sequences!$B$8)</f>
        <v/>
      </c>
      <c r="G92" s="55">
        <f>IF(OR(Sequences!$B$8="",'Slot Times'!$I$8=""),"","Team: "&amp;'Slot Times'!$I$8)</f>
        <v/>
      </c>
      <c r="H92" s="55">
        <f>IF(Sequences!$B$8="","",IF(Sequences!$F$8="Team + liaisons","Liaisons travel with this block",""))</f>
        <v/>
      </c>
      <c r="I92" s="55">
        <f>IF(Sequences!$B$8="","","PRAC-S"&amp;'Slot Times'!$B$8&amp;"-07")</f>
        <v/>
      </c>
    </row>
    <row r="93">
      <c r="A93" s="55">
        <f>IF(Sequences!$B$9="","",Sequences!$M$2)</f>
        <v/>
      </c>
      <c r="B93" s="63">
        <f>IF(OR(Sequences!$B$9="",'Slot Times'!$H$8=""),"",'Slot Times'!$H$8+Sequences!$E$9/1440)</f>
        <v/>
      </c>
      <c r="C93" s="63">
        <f>IF($B93="","",$B93+Sequences!$D$9/1440)</f>
        <v/>
      </c>
      <c r="D93" s="55">
        <f>IF(Sequences!$B$9="","",Sequences!$K$9)</f>
        <v/>
      </c>
      <c r="E93" s="55">
        <f>IF(Sequences!$B$9="","",Sequences!$L$9)</f>
        <v/>
      </c>
      <c r="F93" s="55">
        <f>IF(Sequences!$B$9="","",Sequences!$B$9)</f>
        <v/>
      </c>
      <c r="G93" s="55">
        <f>IF(OR(Sequences!$B$9="",'Slot Times'!$I$8=""),"","Team: "&amp;'Slot Times'!$I$8)</f>
        <v/>
      </c>
      <c r="H93" s="55">
        <f>IF(Sequences!$B$9="","",IF(Sequences!$F$9="Team + liaisons","Liaisons travel with this block",""))</f>
        <v/>
      </c>
      <c r="I93" s="55">
        <f>IF(Sequences!$B$9="","","PRAC-S"&amp;'Slot Times'!$B$8&amp;"-08")</f>
        <v/>
      </c>
    </row>
    <row r="94">
      <c r="A94" s="55">
        <f>IF(Sequences!$B$10="","",Sequences!$M$2)</f>
        <v/>
      </c>
      <c r="B94" s="63">
        <f>IF(OR(Sequences!$B$10="",'Slot Times'!$H$8=""),"",'Slot Times'!$H$8+Sequences!$E$10/1440)</f>
        <v/>
      </c>
      <c r="C94" s="63">
        <f>IF($B94="","",$B94+Sequences!$D$10/1440)</f>
        <v/>
      </c>
      <c r="D94" s="55">
        <f>IF(Sequences!$B$10="","",Sequences!$K$10)</f>
        <v/>
      </c>
      <c r="E94" s="55">
        <f>IF(Sequences!$B$10="","",Sequences!$L$10)</f>
        <v/>
      </c>
      <c r="F94" s="55">
        <f>IF(Sequences!$B$10="","",Sequences!$B$10)</f>
        <v/>
      </c>
      <c r="G94" s="55">
        <f>IF(OR(Sequences!$B$10="",'Slot Times'!$I$8=""),"","Team: "&amp;'Slot Times'!$I$8)</f>
        <v/>
      </c>
      <c r="H94" s="55">
        <f>IF(Sequences!$B$10="","",IF(Sequences!$F$10="Team + liaisons","Liaisons travel with this block",""))</f>
        <v/>
      </c>
      <c r="I94" s="55">
        <f>IF(Sequences!$B$10="","","PRAC-S"&amp;'Slot Times'!$B$8&amp;"-09")</f>
        <v/>
      </c>
    </row>
    <row r="95">
      <c r="A95" s="55">
        <f>IF(Sequences!$B$11="","",Sequences!$M$2)</f>
        <v/>
      </c>
      <c r="B95" s="63">
        <f>IF(OR(Sequences!$B$11="",'Slot Times'!$H$8=""),"",'Slot Times'!$H$8+Sequences!$E$11/1440)</f>
        <v/>
      </c>
      <c r="C95" s="63">
        <f>IF($B95="","",$B95+Sequences!$D$11/1440)</f>
        <v/>
      </c>
      <c r="D95" s="55">
        <f>IF(Sequences!$B$11="","",Sequences!$K$11)</f>
        <v/>
      </c>
      <c r="E95" s="55">
        <f>IF(Sequences!$B$11="","",Sequences!$L$11)</f>
        <v/>
      </c>
      <c r="F95" s="55">
        <f>IF(Sequences!$B$11="","",Sequences!$B$11)</f>
        <v/>
      </c>
      <c r="G95" s="55">
        <f>IF(OR(Sequences!$B$11="",'Slot Times'!$I$8=""),"","Team: "&amp;'Slot Times'!$I$8)</f>
        <v/>
      </c>
      <c r="H95" s="55">
        <f>IF(Sequences!$B$11="","",IF(Sequences!$F$11="Team + liaisons","Liaisons travel with this block",""))</f>
        <v/>
      </c>
      <c r="I95" s="55">
        <f>IF(Sequences!$B$11="","","PRAC-S"&amp;'Slot Times'!$B$8&amp;"-10")</f>
        <v/>
      </c>
    </row>
    <row r="96">
      <c r="A96" s="55">
        <f>IF(Sequences!$B$12="","",Sequences!$M$2)</f>
        <v/>
      </c>
      <c r="B96" s="63">
        <f>IF(OR(Sequences!$B$12="",'Slot Times'!$H$8=""),"",'Slot Times'!$H$8+Sequences!$E$12/1440)</f>
        <v/>
      </c>
      <c r="C96" s="63">
        <f>IF($B96="","",$B96+Sequences!$D$12/1440)</f>
        <v/>
      </c>
      <c r="D96" s="55">
        <f>IF(Sequences!$B$12="","",Sequences!$K$12)</f>
        <v/>
      </c>
      <c r="E96" s="55">
        <f>IF(Sequences!$B$12="","",Sequences!$L$12)</f>
        <v/>
      </c>
      <c r="F96" s="55">
        <f>IF(Sequences!$B$12="","",Sequences!$B$12)</f>
        <v/>
      </c>
      <c r="G96" s="55">
        <f>IF(OR(Sequences!$B$12="",'Slot Times'!$I$8=""),"","Team: "&amp;'Slot Times'!$I$8)</f>
        <v/>
      </c>
      <c r="H96" s="55">
        <f>IF(Sequences!$B$12="","",IF(Sequences!$F$12="Team + liaisons","Liaisons travel with this block",""))</f>
        <v/>
      </c>
      <c r="I96" s="55">
        <f>IF(Sequences!$B$12="","","PRAC-S"&amp;'Slot Times'!$B$8&amp;"-11")</f>
        <v/>
      </c>
    </row>
    <row r="97">
      <c r="A97" s="55">
        <f>IF(Sequences!$B$13="","",Sequences!$M$2)</f>
        <v/>
      </c>
      <c r="B97" s="63">
        <f>IF(OR(Sequences!$B$13="",'Slot Times'!$H$8=""),"",'Slot Times'!$H$8+Sequences!$E$13/1440)</f>
        <v/>
      </c>
      <c r="C97" s="63">
        <f>IF($B97="","",$B97+Sequences!$D$13/1440)</f>
        <v/>
      </c>
      <c r="D97" s="55">
        <f>IF(Sequences!$B$13="","",Sequences!$K$13)</f>
        <v/>
      </c>
      <c r="E97" s="55">
        <f>IF(Sequences!$B$13="","",Sequences!$L$13)</f>
        <v/>
      </c>
      <c r="F97" s="55">
        <f>IF(Sequences!$B$13="","",Sequences!$B$13)</f>
        <v/>
      </c>
      <c r="G97" s="55">
        <f>IF(OR(Sequences!$B$13="",'Slot Times'!$I$8=""),"","Team: "&amp;'Slot Times'!$I$8)</f>
        <v/>
      </c>
      <c r="H97" s="55">
        <f>IF(Sequences!$B$13="","",IF(Sequences!$F$13="Team + liaisons","Liaisons travel with this block",""))</f>
        <v/>
      </c>
      <c r="I97" s="55">
        <f>IF(Sequences!$B$13="","","PRAC-S"&amp;'Slot Times'!$B$8&amp;"-12")</f>
        <v/>
      </c>
    </row>
    <row r="98">
      <c r="A98" s="55">
        <f>IF(Sequences!$B$14="","",Sequences!$M$2)</f>
        <v/>
      </c>
      <c r="B98" s="63">
        <f>IF(OR(Sequences!$B$14="",'Slot Times'!$H$8=""),"",'Slot Times'!$H$8+Sequences!$E$14/1440)</f>
        <v/>
      </c>
      <c r="C98" s="63">
        <f>IF($B98="","",$B98+Sequences!$D$14/1440)</f>
        <v/>
      </c>
      <c r="D98" s="55">
        <f>IF(Sequences!$B$14="","",Sequences!$K$14)</f>
        <v/>
      </c>
      <c r="E98" s="55">
        <f>IF(Sequences!$B$14="","",Sequences!$L$14)</f>
        <v/>
      </c>
      <c r="F98" s="55">
        <f>IF(Sequences!$B$14="","",Sequences!$B$14)</f>
        <v/>
      </c>
      <c r="G98" s="55">
        <f>IF(OR(Sequences!$B$14="",'Slot Times'!$I$8=""),"","Team: "&amp;'Slot Times'!$I$8)</f>
        <v/>
      </c>
      <c r="H98" s="55">
        <f>IF(Sequences!$B$14="","",IF(Sequences!$F$14="Team + liaisons","Liaisons travel with this block",""))</f>
        <v/>
      </c>
      <c r="I98" s="55">
        <f>IF(Sequences!$B$14="","","PRAC-S"&amp;'Slot Times'!$B$8&amp;"-13")</f>
        <v/>
      </c>
    </row>
    <row r="99">
      <c r="A99" s="55">
        <f>IF(Sequences!$B$15="","",Sequences!$M$2)</f>
        <v/>
      </c>
      <c r="B99" s="63">
        <f>IF(OR(Sequences!$B$15="",'Slot Times'!$H$8=""),"",'Slot Times'!$H$8+Sequences!$E$15/1440)</f>
        <v/>
      </c>
      <c r="C99" s="63">
        <f>IF($B99="","",$B99+Sequences!$D$15/1440)</f>
        <v/>
      </c>
      <c r="D99" s="55">
        <f>IF(Sequences!$B$15="","",Sequences!$K$15)</f>
        <v/>
      </c>
      <c r="E99" s="55">
        <f>IF(Sequences!$B$15="","",Sequences!$L$15)</f>
        <v/>
      </c>
      <c r="F99" s="55">
        <f>IF(Sequences!$B$15="","",Sequences!$B$15)</f>
        <v/>
      </c>
      <c r="G99" s="55">
        <f>IF(OR(Sequences!$B$15="",'Slot Times'!$I$8=""),"","Team: "&amp;'Slot Times'!$I$8)</f>
        <v/>
      </c>
      <c r="H99" s="55">
        <f>IF(Sequences!$B$15="","",IF(Sequences!$F$15="Team + liaisons","Liaisons travel with this block",""))</f>
        <v/>
      </c>
      <c r="I99" s="55">
        <f>IF(Sequences!$B$15="","","PRAC-S"&amp;'Slot Times'!$B$8&amp;"-14")</f>
        <v/>
      </c>
    </row>
    <row r="100">
      <c r="A100" s="55">
        <f>IF(Sequences!$B$2="","",Sequences!$M$2)</f>
        <v/>
      </c>
      <c r="B100" s="63">
        <f>IF(OR(Sequences!$B$2="",'Slot Times'!$H$9=""),"",'Slot Times'!$H$9+Sequences!$E$2/1440)</f>
        <v/>
      </c>
      <c r="C100" s="63">
        <f>IF($B100="","",$B100+Sequences!$D$2/1440)</f>
        <v/>
      </c>
      <c r="D100" s="55">
        <f>IF(Sequences!$B$2="","",Sequences!$K$2)</f>
        <v/>
      </c>
      <c r="E100" s="55">
        <f>IF(Sequences!$B$2="","",Sequences!$L$2)</f>
        <v/>
      </c>
      <c r="F100" s="55">
        <f>IF(Sequences!$B$2="","",Sequences!$B$2)</f>
        <v/>
      </c>
      <c r="G100" s="55">
        <f>IF(OR(Sequences!$B$2="",'Slot Times'!$I$9=""),"","Team: "&amp;'Slot Times'!$I$9)</f>
        <v/>
      </c>
      <c r="H100" s="55">
        <f>IF(Sequences!$B$2="","",IF(Sequences!$F$2="Team + liaisons","Liaisons travel with this block",""))</f>
        <v/>
      </c>
      <c r="I100" s="55">
        <f>IF(Sequences!$B$2="","","PRAC-S"&amp;'Slot Times'!$B$9&amp;"-01")</f>
        <v/>
      </c>
    </row>
    <row r="101">
      <c r="A101" s="55">
        <f>IF(Sequences!$B$3="","",Sequences!$M$2)</f>
        <v/>
      </c>
      <c r="B101" s="63">
        <f>IF(OR(Sequences!$B$3="",'Slot Times'!$H$9=""),"",'Slot Times'!$H$9+Sequences!$E$3/1440)</f>
        <v/>
      </c>
      <c r="C101" s="63">
        <f>IF($B101="","",$B101+Sequences!$D$3/1440)</f>
        <v/>
      </c>
      <c r="D101" s="55">
        <f>IF(Sequences!$B$3="","",Sequences!$K$3)</f>
        <v/>
      </c>
      <c r="E101" s="55">
        <f>IF(Sequences!$B$3="","",Sequences!$L$3)</f>
        <v/>
      </c>
      <c r="F101" s="55">
        <f>IF(Sequences!$B$3="","",Sequences!$B$3)</f>
        <v/>
      </c>
      <c r="G101" s="55">
        <f>IF(OR(Sequences!$B$3="",'Slot Times'!$I$9=""),"","Team: "&amp;'Slot Times'!$I$9)</f>
        <v/>
      </c>
      <c r="H101" s="55">
        <f>IF(Sequences!$B$3="","",IF(Sequences!$F$3="Team + liaisons","Liaisons travel with this block",""))</f>
        <v/>
      </c>
      <c r="I101" s="55">
        <f>IF(Sequences!$B$3="","","PRAC-S"&amp;'Slot Times'!$B$9&amp;"-02")</f>
        <v/>
      </c>
    </row>
    <row r="102">
      <c r="A102" s="55">
        <f>IF(Sequences!$B$4="","",Sequences!$M$2)</f>
        <v/>
      </c>
      <c r="B102" s="63">
        <f>IF(OR(Sequences!$B$4="",'Slot Times'!$H$9=""),"",'Slot Times'!$H$9+Sequences!$E$4/1440)</f>
        <v/>
      </c>
      <c r="C102" s="63">
        <f>IF($B102="","",$B102+Sequences!$D$4/1440)</f>
        <v/>
      </c>
      <c r="D102" s="55">
        <f>IF(Sequences!$B$4="","",Sequences!$K$4)</f>
        <v/>
      </c>
      <c r="E102" s="55">
        <f>IF(Sequences!$B$4="","",Sequences!$L$4)</f>
        <v/>
      </c>
      <c r="F102" s="55">
        <f>IF(Sequences!$B$4="","",Sequences!$B$4)</f>
        <v/>
      </c>
      <c r="G102" s="55">
        <f>IF(OR(Sequences!$B$4="",'Slot Times'!$I$9=""),"","Team: "&amp;'Slot Times'!$I$9)</f>
        <v/>
      </c>
      <c r="H102" s="55">
        <f>IF(Sequences!$B$4="","",IF(Sequences!$F$4="Team + liaisons","Liaisons travel with this block",""))</f>
        <v/>
      </c>
      <c r="I102" s="55">
        <f>IF(Sequences!$B$4="","","PRAC-S"&amp;'Slot Times'!$B$9&amp;"-03")</f>
        <v/>
      </c>
    </row>
    <row r="103">
      <c r="A103" s="55">
        <f>IF(Sequences!$B$5="","",Sequences!$M$2)</f>
        <v/>
      </c>
      <c r="B103" s="63">
        <f>IF(OR(Sequences!$B$5="",'Slot Times'!$H$9=""),"",'Slot Times'!$H$9+Sequences!$E$5/1440)</f>
        <v/>
      </c>
      <c r="C103" s="63">
        <f>IF($B103="","",$B103+Sequences!$D$5/1440)</f>
        <v/>
      </c>
      <c r="D103" s="55">
        <f>IF(Sequences!$B$5="","",Sequences!$K$5)</f>
        <v/>
      </c>
      <c r="E103" s="55">
        <f>IF(Sequences!$B$5="","",Sequences!$L$5)</f>
        <v/>
      </c>
      <c r="F103" s="55">
        <f>IF(Sequences!$B$5="","",Sequences!$B$5)</f>
        <v/>
      </c>
      <c r="G103" s="55">
        <f>IF(OR(Sequences!$B$5="",'Slot Times'!$I$9=""),"","Team: "&amp;'Slot Times'!$I$9)</f>
        <v/>
      </c>
      <c r="H103" s="55">
        <f>IF(Sequences!$B$5="","",IF(Sequences!$F$5="Team + liaisons","Liaisons travel with this block",""))</f>
        <v/>
      </c>
      <c r="I103" s="55">
        <f>IF(Sequences!$B$5="","","PRAC-S"&amp;'Slot Times'!$B$9&amp;"-04")</f>
        <v/>
      </c>
    </row>
    <row r="104">
      <c r="A104" s="55">
        <f>IF(Sequences!$B$6="","",Sequences!$M$2)</f>
        <v/>
      </c>
      <c r="B104" s="63">
        <f>IF(OR(Sequences!$B$6="",'Slot Times'!$H$9=""),"",'Slot Times'!$H$9+Sequences!$E$6/1440)</f>
        <v/>
      </c>
      <c r="C104" s="63">
        <f>IF($B104="","",$B104+Sequences!$D$6/1440)</f>
        <v/>
      </c>
      <c r="D104" s="55">
        <f>IF(Sequences!$B$6="","",Sequences!$K$6)</f>
        <v/>
      </c>
      <c r="E104" s="55">
        <f>IF(Sequences!$B$6="","",Sequences!$L$6)</f>
        <v/>
      </c>
      <c r="F104" s="55">
        <f>IF(Sequences!$B$6="","",Sequences!$B$6)</f>
        <v/>
      </c>
      <c r="G104" s="55">
        <f>IF(OR(Sequences!$B$6="",'Slot Times'!$I$9=""),"","Team: "&amp;'Slot Times'!$I$9)</f>
        <v/>
      </c>
      <c r="H104" s="55">
        <f>IF(Sequences!$B$6="","",IF(Sequences!$F$6="Team + liaisons","Liaisons travel with this block",""))</f>
        <v/>
      </c>
      <c r="I104" s="55">
        <f>IF(Sequences!$B$6="","","PRAC-S"&amp;'Slot Times'!$B$9&amp;"-05")</f>
        <v/>
      </c>
    </row>
    <row r="105">
      <c r="A105" s="55">
        <f>IF(Sequences!$B$7="","",Sequences!$M$2)</f>
        <v/>
      </c>
      <c r="B105" s="63">
        <f>IF(OR(Sequences!$B$7="",'Slot Times'!$H$9=""),"",'Slot Times'!$H$9+Sequences!$E$7/1440)</f>
        <v/>
      </c>
      <c r="C105" s="63">
        <f>IF($B105="","",$B105+Sequences!$D$7/1440)</f>
        <v/>
      </c>
      <c r="D105" s="55">
        <f>IF(Sequences!$B$7="","",Sequences!$K$7)</f>
        <v/>
      </c>
      <c r="E105" s="55">
        <f>IF(Sequences!$B$7="","",Sequences!$L$7)</f>
        <v/>
      </c>
      <c r="F105" s="55">
        <f>IF(Sequences!$B$7="","",Sequences!$B$7)</f>
        <v/>
      </c>
      <c r="G105" s="55">
        <f>IF(OR(Sequences!$B$7="",'Slot Times'!$I$9=""),"","Team: "&amp;'Slot Times'!$I$9)</f>
        <v/>
      </c>
      <c r="H105" s="55">
        <f>IF(Sequences!$B$7="","",IF(Sequences!$F$7="Team + liaisons","Liaisons travel with this block",""))</f>
        <v/>
      </c>
      <c r="I105" s="55">
        <f>IF(Sequences!$B$7="","","PRAC-S"&amp;'Slot Times'!$B$9&amp;"-06")</f>
        <v/>
      </c>
    </row>
    <row r="106">
      <c r="A106" s="55">
        <f>IF(Sequences!$B$8="","",Sequences!$M$2)</f>
        <v/>
      </c>
      <c r="B106" s="63">
        <f>IF(OR(Sequences!$B$8="",'Slot Times'!$H$9=""),"",'Slot Times'!$H$9+Sequences!$E$8/1440)</f>
        <v/>
      </c>
      <c r="C106" s="63">
        <f>IF($B106="","",$B106+Sequences!$D$8/1440)</f>
        <v/>
      </c>
      <c r="D106" s="55">
        <f>IF(Sequences!$B$8="","",Sequences!$K$8)</f>
        <v/>
      </c>
      <c r="E106" s="55">
        <f>IF(Sequences!$B$8="","",Sequences!$L$8)</f>
        <v/>
      </c>
      <c r="F106" s="55">
        <f>IF(Sequences!$B$8="","",Sequences!$B$8)</f>
        <v/>
      </c>
      <c r="G106" s="55">
        <f>IF(OR(Sequences!$B$8="",'Slot Times'!$I$9=""),"","Team: "&amp;'Slot Times'!$I$9)</f>
        <v/>
      </c>
      <c r="H106" s="55">
        <f>IF(Sequences!$B$8="","",IF(Sequences!$F$8="Team + liaisons","Liaisons travel with this block",""))</f>
        <v/>
      </c>
      <c r="I106" s="55">
        <f>IF(Sequences!$B$8="","","PRAC-S"&amp;'Slot Times'!$B$9&amp;"-07")</f>
        <v/>
      </c>
    </row>
    <row r="107">
      <c r="A107" s="55">
        <f>IF(Sequences!$B$9="","",Sequences!$M$2)</f>
        <v/>
      </c>
      <c r="B107" s="63">
        <f>IF(OR(Sequences!$B$9="",'Slot Times'!$H$9=""),"",'Slot Times'!$H$9+Sequences!$E$9/1440)</f>
        <v/>
      </c>
      <c r="C107" s="63">
        <f>IF($B107="","",$B107+Sequences!$D$9/1440)</f>
        <v/>
      </c>
      <c r="D107" s="55">
        <f>IF(Sequences!$B$9="","",Sequences!$K$9)</f>
        <v/>
      </c>
      <c r="E107" s="55">
        <f>IF(Sequences!$B$9="","",Sequences!$L$9)</f>
        <v/>
      </c>
      <c r="F107" s="55">
        <f>IF(Sequences!$B$9="","",Sequences!$B$9)</f>
        <v/>
      </c>
      <c r="G107" s="55">
        <f>IF(OR(Sequences!$B$9="",'Slot Times'!$I$9=""),"","Team: "&amp;'Slot Times'!$I$9)</f>
        <v/>
      </c>
      <c r="H107" s="55">
        <f>IF(Sequences!$B$9="","",IF(Sequences!$F$9="Team + liaisons","Liaisons travel with this block",""))</f>
        <v/>
      </c>
      <c r="I107" s="55">
        <f>IF(Sequences!$B$9="","","PRAC-S"&amp;'Slot Times'!$B$9&amp;"-08")</f>
        <v/>
      </c>
    </row>
    <row r="108">
      <c r="A108" s="55">
        <f>IF(Sequences!$B$10="","",Sequences!$M$2)</f>
        <v/>
      </c>
      <c r="B108" s="63">
        <f>IF(OR(Sequences!$B$10="",'Slot Times'!$H$9=""),"",'Slot Times'!$H$9+Sequences!$E$10/1440)</f>
        <v/>
      </c>
      <c r="C108" s="63">
        <f>IF($B108="","",$B108+Sequences!$D$10/1440)</f>
        <v/>
      </c>
      <c r="D108" s="55">
        <f>IF(Sequences!$B$10="","",Sequences!$K$10)</f>
        <v/>
      </c>
      <c r="E108" s="55">
        <f>IF(Sequences!$B$10="","",Sequences!$L$10)</f>
        <v/>
      </c>
      <c r="F108" s="55">
        <f>IF(Sequences!$B$10="","",Sequences!$B$10)</f>
        <v/>
      </c>
      <c r="G108" s="55">
        <f>IF(OR(Sequences!$B$10="",'Slot Times'!$I$9=""),"","Team: "&amp;'Slot Times'!$I$9)</f>
        <v/>
      </c>
      <c r="H108" s="55">
        <f>IF(Sequences!$B$10="","",IF(Sequences!$F$10="Team + liaisons","Liaisons travel with this block",""))</f>
        <v/>
      </c>
      <c r="I108" s="55">
        <f>IF(Sequences!$B$10="","","PRAC-S"&amp;'Slot Times'!$B$9&amp;"-09")</f>
        <v/>
      </c>
    </row>
    <row r="109">
      <c r="A109" s="55">
        <f>IF(Sequences!$B$11="","",Sequences!$M$2)</f>
        <v/>
      </c>
      <c r="B109" s="63">
        <f>IF(OR(Sequences!$B$11="",'Slot Times'!$H$9=""),"",'Slot Times'!$H$9+Sequences!$E$11/1440)</f>
        <v/>
      </c>
      <c r="C109" s="63">
        <f>IF($B109="","",$B109+Sequences!$D$11/1440)</f>
        <v/>
      </c>
      <c r="D109" s="55">
        <f>IF(Sequences!$B$11="","",Sequences!$K$11)</f>
        <v/>
      </c>
      <c r="E109" s="55">
        <f>IF(Sequences!$B$11="","",Sequences!$L$11)</f>
        <v/>
      </c>
      <c r="F109" s="55">
        <f>IF(Sequences!$B$11="","",Sequences!$B$11)</f>
        <v/>
      </c>
      <c r="G109" s="55">
        <f>IF(OR(Sequences!$B$11="",'Slot Times'!$I$9=""),"","Team: "&amp;'Slot Times'!$I$9)</f>
        <v/>
      </c>
      <c r="H109" s="55">
        <f>IF(Sequences!$B$11="","",IF(Sequences!$F$11="Team + liaisons","Liaisons travel with this block",""))</f>
        <v/>
      </c>
      <c r="I109" s="55">
        <f>IF(Sequences!$B$11="","","PRAC-S"&amp;'Slot Times'!$B$9&amp;"-10")</f>
        <v/>
      </c>
    </row>
    <row r="110">
      <c r="A110" s="55">
        <f>IF(Sequences!$B$12="","",Sequences!$M$2)</f>
        <v/>
      </c>
      <c r="B110" s="63">
        <f>IF(OR(Sequences!$B$12="",'Slot Times'!$H$9=""),"",'Slot Times'!$H$9+Sequences!$E$12/1440)</f>
        <v/>
      </c>
      <c r="C110" s="63">
        <f>IF($B110="","",$B110+Sequences!$D$12/1440)</f>
        <v/>
      </c>
      <c r="D110" s="55">
        <f>IF(Sequences!$B$12="","",Sequences!$K$12)</f>
        <v/>
      </c>
      <c r="E110" s="55">
        <f>IF(Sequences!$B$12="","",Sequences!$L$12)</f>
        <v/>
      </c>
      <c r="F110" s="55">
        <f>IF(Sequences!$B$12="","",Sequences!$B$12)</f>
        <v/>
      </c>
      <c r="G110" s="55">
        <f>IF(OR(Sequences!$B$12="",'Slot Times'!$I$9=""),"","Team: "&amp;'Slot Times'!$I$9)</f>
        <v/>
      </c>
      <c r="H110" s="55">
        <f>IF(Sequences!$B$12="","",IF(Sequences!$F$12="Team + liaisons","Liaisons travel with this block",""))</f>
        <v/>
      </c>
      <c r="I110" s="55">
        <f>IF(Sequences!$B$12="","","PRAC-S"&amp;'Slot Times'!$B$9&amp;"-11")</f>
        <v/>
      </c>
    </row>
    <row r="111">
      <c r="A111" s="55">
        <f>IF(Sequences!$B$13="","",Sequences!$M$2)</f>
        <v/>
      </c>
      <c r="B111" s="63">
        <f>IF(OR(Sequences!$B$13="",'Slot Times'!$H$9=""),"",'Slot Times'!$H$9+Sequences!$E$13/1440)</f>
        <v/>
      </c>
      <c r="C111" s="63">
        <f>IF($B111="","",$B111+Sequences!$D$13/1440)</f>
        <v/>
      </c>
      <c r="D111" s="55">
        <f>IF(Sequences!$B$13="","",Sequences!$K$13)</f>
        <v/>
      </c>
      <c r="E111" s="55">
        <f>IF(Sequences!$B$13="","",Sequences!$L$13)</f>
        <v/>
      </c>
      <c r="F111" s="55">
        <f>IF(Sequences!$B$13="","",Sequences!$B$13)</f>
        <v/>
      </c>
      <c r="G111" s="55">
        <f>IF(OR(Sequences!$B$13="",'Slot Times'!$I$9=""),"","Team: "&amp;'Slot Times'!$I$9)</f>
        <v/>
      </c>
      <c r="H111" s="55">
        <f>IF(Sequences!$B$13="","",IF(Sequences!$F$13="Team + liaisons","Liaisons travel with this block",""))</f>
        <v/>
      </c>
      <c r="I111" s="55">
        <f>IF(Sequences!$B$13="","","PRAC-S"&amp;'Slot Times'!$B$9&amp;"-12")</f>
        <v/>
      </c>
    </row>
    <row r="112">
      <c r="A112" s="55">
        <f>IF(Sequences!$B$14="","",Sequences!$M$2)</f>
        <v/>
      </c>
      <c r="B112" s="63">
        <f>IF(OR(Sequences!$B$14="",'Slot Times'!$H$9=""),"",'Slot Times'!$H$9+Sequences!$E$14/1440)</f>
        <v/>
      </c>
      <c r="C112" s="63">
        <f>IF($B112="","",$B112+Sequences!$D$14/1440)</f>
        <v/>
      </c>
      <c r="D112" s="55">
        <f>IF(Sequences!$B$14="","",Sequences!$K$14)</f>
        <v/>
      </c>
      <c r="E112" s="55">
        <f>IF(Sequences!$B$14="","",Sequences!$L$14)</f>
        <v/>
      </c>
      <c r="F112" s="55">
        <f>IF(Sequences!$B$14="","",Sequences!$B$14)</f>
        <v/>
      </c>
      <c r="G112" s="55">
        <f>IF(OR(Sequences!$B$14="",'Slot Times'!$I$9=""),"","Team: "&amp;'Slot Times'!$I$9)</f>
        <v/>
      </c>
      <c r="H112" s="55">
        <f>IF(Sequences!$B$14="","",IF(Sequences!$F$14="Team + liaisons","Liaisons travel with this block",""))</f>
        <v/>
      </c>
      <c r="I112" s="55">
        <f>IF(Sequences!$B$14="","","PRAC-S"&amp;'Slot Times'!$B$9&amp;"-13")</f>
        <v/>
      </c>
    </row>
    <row r="113">
      <c r="A113" s="55">
        <f>IF(Sequences!$B$15="","",Sequences!$M$2)</f>
        <v/>
      </c>
      <c r="B113" s="63">
        <f>IF(OR(Sequences!$B$15="",'Slot Times'!$H$9=""),"",'Slot Times'!$H$9+Sequences!$E$15/1440)</f>
        <v/>
      </c>
      <c r="C113" s="63">
        <f>IF($B113="","",$B113+Sequences!$D$15/1440)</f>
        <v/>
      </c>
      <c r="D113" s="55">
        <f>IF(Sequences!$B$15="","",Sequences!$K$15)</f>
        <v/>
      </c>
      <c r="E113" s="55">
        <f>IF(Sequences!$B$15="","",Sequences!$L$15)</f>
        <v/>
      </c>
      <c r="F113" s="55">
        <f>IF(Sequences!$B$15="","",Sequences!$B$15)</f>
        <v/>
      </c>
      <c r="G113" s="55">
        <f>IF(OR(Sequences!$B$15="",'Slot Times'!$I$9=""),"","Team: "&amp;'Slot Times'!$I$9)</f>
        <v/>
      </c>
      <c r="H113" s="55">
        <f>IF(Sequences!$B$15="","",IF(Sequences!$F$15="Team + liaisons","Liaisons travel with this block",""))</f>
        <v/>
      </c>
      <c r="I113" s="55">
        <f>IF(Sequences!$B$15="","","PRAC-S"&amp;'Slot Times'!$B$9&amp;"-14")</f>
        <v/>
      </c>
    </row>
    <row r="114">
      <c r="A114" s="55">
        <f>IF(Sequences!$B$16="","",Sequences!$M$16)</f>
        <v/>
      </c>
      <c r="B114" s="63">
        <f>IF(OR(Sequences!$B$16="",'Slot Times'!$H$10=""),"",'Slot Times'!$H$10+Sequences!$E$16/1440)</f>
        <v/>
      </c>
      <c r="C114" s="63">
        <f>IF($B114="","",$B114+Sequences!$D$16/1440)</f>
        <v/>
      </c>
      <c r="D114" s="55">
        <f>IF(Sequences!$B$16="","",Sequences!$K$16)</f>
        <v/>
      </c>
      <c r="E114" s="55">
        <f>IF(Sequences!$B$16="","",Sequences!$L$16)</f>
        <v/>
      </c>
      <c r="F114" s="55">
        <f>IF(Sequences!$B$16="","",Sequences!$B$16)</f>
        <v/>
      </c>
      <c r="G114" s="55">
        <f>IF(OR(Sequences!$B$16="",'Slot Times'!$I$10=""),"","Team: "&amp;'Slot Times'!$I$10)</f>
        <v/>
      </c>
      <c r="H114" s="55">
        <f>IF(Sequences!$B$16="","",IF(Sequences!$F$16="Team + liaisons","Liaisons travel with this block",""))</f>
        <v/>
      </c>
      <c r="I114" s="55">
        <f>IF(Sequences!$B$16="","","PHOT-S"&amp;'Slot Times'!$B$10&amp;"-01")</f>
        <v/>
      </c>
    </row>
    <row r="115">
      <c r="A115" s="55">
        <f>IF(Sequences!$B$17="","",Sequences!$M$16)</f>
        <v/>
      </c>
      <c r="B115" s="63">
        <f>IF(OR(Sequences!$B$17="",'Slot Times'!$H$10=""),"",'Slot Times'!$H$10+Sequences!$E$17/1440)</f>
        <v/>
      </c>
      <c r="C115" s="63">
        <f>IF($B115="","",$B115+Sequences!$D$17/1440)</f>
        <v/>
      </c>
      <c r="D115" s="55">
        <f>IF(Sequences!$B$17="","",Sequences!$K$17)</f>
        <v/>
      </c>
      <c r="E115" s="55">
        <f>IF(Sequences!$B$17="","",Sequences!$L$17)</f>
        <v/>
      </c>
      <c r="F115" s="55">
        <f>IF(Sequences!$B$17="","",Sequences!$B$17)</f>
        <v/>
      </c>
      <c r="G115" s="55">
        <f>IF(OR(Sequences!$B$17="",'Slot Times'!$I$10=""),"","Team: "&amp;'Slot Times'!$I$10)</f>
        <v/>
      </c>
      <c r="H115" s="55">
        <f>IF(Sequences!$B$17="","",IF(Sequences!$F$17="Team + liaisons","Liaisons travel with this block",""))</f>
        <v/>
      </c>
      <c r="I115" s="55">
        <f>IF(Sequences!$B$17="","","PHOT-S"&amp;'Slot Times'!$B$10&amp;"-02")</f>
        <v/>
      </c>
    </row>
    <row r="116">
      <c r="A116" s="55">
        <f>IF(Sequences!$B$18="","",Sequences!$M$16)</f>
        <v/>
      </c>
      <c r="B116" s="63">
        <f>IF(OR(Sequences!$B$18="",'Slot Times'!$H$10=""),"",'Slot Times'!$H$10+Sequences!$E$18/1440)</f>
        <v/>
      </c>
      <c r="C116" s="63">
        <f>IF($B116="","",$B116+Sequences!$D$18/1440)</f>
        <v/>
      </c>
      <c r="D116" s="55">
        <f>IF(Sequences!$B$18="","",Sequences!$K$18)</f>
        <v/>
      </c>
      <c r="E116" s="55">
        <f>IF(Sequences!$B$18="","",Sequences!$L$18)</f>
        <v/>
      </c>
      <c r="F116" s="55">
        <f>IF(Sequences!$B$18="","",Sequences!$B$18)</f>
        <v/>
      </c>
      <c r="G116" s="55">
        <f>IF(OR(Sequences!$B$18="",'Slot Times'!$I$10=""),"","Team: "&amp;'Slot Times'!$I$10)</f>
        <v/>
      </c>
      <c r="H116" s="55">
        <f>IF(Sequences!$B$18="","",IF(Sequences!$F$18="Team + liaisons","Liaisons travel with this block",""))</f>
        <v/>
      </c>
      <c r="I116" s="55">
        <f>IF(Sequences!$B$18="","","PHOT-S"&amp;'Slot Times'!$B$10&amp;"-03")</f>
        <v/>
      </c>
    </row>
    <row r="117">
      <c r="A117" s="55">
        <f>IF(Sequences!$B$19="","",Sequences!$M$16)</f>
        <v/>
      </c>
      <c r="B117" s="63">
        <f>IF(OR(Sequences!$B$19="",'Slot Times'!$H$10=""),"",'Slot Times'!$H$10+Sequences!$E$19/1440)</f>
        <v/>
      </c>
      <c r="C117" s="63">
        <f>IF($B117="","",$B117+Sequences!$D$19/1440)</f>
        <v/>
      </c>
      <c r="D117" s="55">
        <f>IF(Sequences!$B$19="","",Sequences!$K$19)</f>
        <v/>
      </c>
      <c r="E117" s="55">
        <f>IF(Sequences!$B$19="","",Sequences!$L$19)</f>
        <v/>
      </c>
      <c r="F117" s="55">
        <f>IF(Sequences!$B$19="","",Sequences!$B$19)</f>
        <v/>
      </c>
      <c r="G117" s="55">
        <f>IF(OR(Sequences!$B$19="",'Slot Times'!$I$10=""),"","Team: "&amp;'Slot Times'!$I$10)</f>
        <v/>
      </c>
      <c r="H117" s="55">
        <f>IF(Sequences!$B$19="","",IF(Sequences!$F$19="Team + liaisons","Liaisons travel with this block",""))</f>
        <v/>
      </c>
      <c r="I117" s="55">
        <f>IF(Sequences!$B$19="","","PHOT-S"&amp;'Slot Times'!$B$10&amp;"-04")</f>
        <v/>
      </c>
    </row>
    <row r="118">
      <c r="A118" s="55">
        <f>IF(Sequences!$B$20="","",Sequences!$M$16)</f>
        <v/>
      </c>
      <c r="B118" s="63">
        <f>IF(OR(Sequences!$B$20="",'Slot Times'!$H$10=""),"",'Slot Times'!$H$10+Sequences!$E$20/1440)</f>
        <v/>
      </c>
      <c r="C118" s="63">
        <f>IF($B118="","",$B118+Sequences!$D$20/1440)</f>
        <v/>
      </c>
      <c r="D118" s="55">
        <f>IF(Sequences!$B$20="","",Sequences!$K$20)</f>
        <v/>
      </c>
      <c r="E118" s="55">
        <f>IF(Sequences!$B$20="","",Sequences!$L$20)</f>
        <v/>
      </c>
      <c r="F118" s="55">
        <f>IF(Sequences!$B$20="","",Sequences!$B$20)</f>
        <v/>
      </c>
      <c r="G118" s="55">
        <f>IF(OR(Sequences!$B$20="",'Slot Times'!$I$10=""),"","Team: "&amp;'Slot Times'!$I$10)</f>
        <v/>
      </c>
      <c r="H118" s="55">
        <f>IF(Sequences!$B$20="","",IF(Sequences!$F$20="Team + liaisons","Liaisons travel with this block",""))</f>
        <v/>
      </c>
      <c r="I118" s="55">
        <f>IF(Sequences!$B$20="","","PHOT-S"&amp;'Slot Times'!$B$10&amp;"-05")</f>
        <v/>
      </c>
    </row>
    <row r="119">
      <c r="A119" s="55">
        <f>IF(Sequences!$B$21="","",Sequences!$M$16)</f>
        <v/>
      </c>
      <c r="B119" s="63">
        <f>IF(OR(Sequences!$B$21="",'Slot Times'!$H$10=""),"",'Slot Times'!$H$10+Sequences!$E$21/1440)</f>
        <v/>
      </c>
      <c r="C119" s="63">
        <f>IF($B119="","",$B119+Sequences!$D$21/1440)</f>
        <v/>
      </c>
      <c r="D119" s="55">
        <f>IF(Sequences!$B$21="","",Sequences!$K$21)</f>
        <v/>
      </c>
      <c r="E119" s="55">
        <f>IF(Sequences!$B$21="","",Sequences!$L$21)</f>
        <v/>
      </c>
      <c r="F119" s="55">
        <f>IF(Sequences!$B$21="","",Sequences!$B$21)</f>
        <v/>
      </c>
      <c r="G119" s="55">
        <f>IF(OR(Sequences!$B$21="",'Slot Times'!$I$10=""),"","Team: "&amp;'Slot Times'!$I$10)</f>
        <v/>
      </c>
      <c r="H119" s="55">
        <f>IF(Sequences!$B$21="","",IF(Sequences!$F$21="Team + liaisons","Liaisons travel with this block",""))</f>
        <v/>
      </c>
      <c r="I119" s="55">
        <f>IF(Sequences!$B$21="","","PHOT-S"&amp;'Slot Times'!$B$10&amp;"-06")</f>
        <v/>
      </c>
    </row>
    <row r="120">
      <c r="A120" s="55">
        <f>IF(Sequences!$B$22="","",Sequences!$M$16)</f>
        <v/>
      </c>
      <c r="B120" s="63">
        <f>IF(OR(Sequences!$B$22="",'Slot Times'!$H$10=""),"",'Slot Times'!$H$10+Sequences!$E$22/1440)</f>
        <v/>
      </c>
      <c r="C120" s="63">
        <f>IF($B120="","",$B120+Sequences!$D$22/1440)</f>
        <v/>
      </c>
      <c r="D120" s="55">
        <f>IF(Sequences!$B$22="","",Sequences!$K$22)</f>
        <v/>
      </c>
      <c r="E120" s="55">
        <f>IF(Sequences!$B$22="","",Sequences!$L$22)</f>
        <v/>
      </c>
      <c r="F120" s="55">
        <f>IF(Sequences!$B$22="","",Sequences!$B$22)</f>
        <v/>
      </c>
      <c r="G120" s="55">
        <f>IF(OR(Sequences!$B$22="",'Slot Times'!$I$10=""),"","Team: "&amp;'Slot Times'!$I$10)</f>
        <v/>
      </c>
      <c r="H120" s="55">
        <f>IF(Sequences!$B$22="","",IF(Sequences!$F$22="Team + liaisons","Liaisons travel with this block",""))</f>
        <v/>
      </c>
      <c r="I120" s="55">
        <f>IF(Sequences!$B$22="","","PHOT-S"&amp;'Slot Times'!$B$10&amp;"-07")</f>
        <v/>
      </c>
    </row>
    <row r="121">
      <c r="A121" s="55">
        <f>IF(Sequences!$B$23="","",Sequences!$M$16)</f>
        <v/>
      </c>
      <c r="B121" s="63">
        <f>IF(OR(Sequences!$B$23="",'Slot Times'!$H$10=""),"",'Slot Times'!$H$10+Sequences!$E$23/1440)</f>
        <v/>
      </c>
      <c r="C121" s="63">
        <f>IF($B121="","",$B121+Sequences!$D$23/1440)</f>
        <v/>
      </c>
      <c r="D121" s="55">
        <f>IF(Sequences!$B$23="","",Sequences!$K$23)</f>
        <v/>
      </c>
      <c r="E121" s="55">
        <f>IF(Sequences!$B$23="","",Sequences!$L$23)</f>
        <v/>
      </c>
      <c r="F121" s="55">
        <f>IF(Sequences!$B$23="","",Sequences!$B$23)</f>
        <v/>
      </c>
      <c r="G121" s="55">
        <f>IF(OR(Sequences!$B$23="",'Slot Times'!$I$10=""),"","Team: "&amp;'Slot Times'!$I$10)</f>
        <v/>
      </c>
      <c r="H121" s="55">
        <f>IF(Sequences!$B$23="","",IF(Sequences!$F$23="Team + liaisons","Liaisons travel with this block",""))</f>
        <v/>
      </c>
      <c r="I121" s="55">
        <f>IF(Sequences!$B$23="","","PHOT-S"&amp;'Slot Times'!$B$10&amp;"-08")</f>
        <v/>
      </c>
    </row>
    <row r="122">
      <c r="A122" s="55">
        <f>IF(Sequences!$B$24="","",Sequences!$M$16)</f>
        <v/>
      </c>
      <c r="B122" s="63">
        <f>IF(OR(Sequences!$B$24="",'Slot Times'!$H$10=""),"",'Slot Times'!$H$10+Sequences!$E$24/1440)</f>
        <v/>
      </c>
      <c r="C122" s="63">
        <f>IF($B122="","",$B122+Sequences!$D$24/1440)</f>
        <v/>
      </c>
      <c r="D122" s="55">
        <f>IF(Sequences!$B$24="","",Sequences!$K$24)</f>
        <v/>
      </c>
      <c r="E122" s="55">
        <f>IF(Sequences!$B$24="","",Sequences!$L$24)</f>
        <v/>
      </c>
      <c r="F122" s="55">
        <f>IF(Sequences!$B$24="","",Sequences!$B$24)</f>
        <v/>
      </c>
      <c r="G122" s="55">
        <f>IF(OR(Sequences!$B$24="",'Slot Times'!$I$10=""),"","Team: "&amp;'Slot Times'!$I$10)</f>
        <v/>
      </c>
      <c r="H122" s="55">
        <f>IF(Sequences!$B$24="","",IF(Sequences!$F$24="Team + liaisons","Liaisons travel with this block",""))</f>
        <v/>
      </c>
      <c r="I122" s="55">
        <f>IF(Sequences!$B$24="","","PHOT-S"&amp;'Slot Times'!$B$10&amp;"-09")</f>
        <v/>
      </c>
    </row>
    <row r="123">
      <c r="A123" s="55">
        <f>IF(Sequences!$B$25="","",Sequences!$M$16)</f>
        <v/>
      </c>
      <c r="B123" s="63">
        <f>IF(OR(Sequences!$B$25="",'Slot Times'!$H$10=""),"",'Slot Times'!$H$10+Sequences!$E$25/1440)</f>
        <v/>
      </c>
      <c r="C123" s="63">
        <f>IF($B123="","",$B123+Sequences!$D$25/1440)</f>
        <v/>
      </c>
      <c r="D123" s="55">
        <f>IF(Sequences!$B$25="","",Sequences!$K$25)</f>
        <v/>
      </c>
      <c r="E123" s="55">
        <f>IF(Sequences!$B$25="","",Sequences!$L$25)</f>
        <v/>
      </c>
      <c r="F123" s="55">
        <f>IF(Sequences!$B$25="","",Sequences!$B$25)</f>
        <v/>
      </c>
      <c r="G123" s="55">
        <f>IF(OR(Sequences!$B$25="",'Slot Times'!$I$10=""),"","Team: "&amp;'Slot Times'!$I$10)</f>
        <v/>
      </c>
      <c r="H123" s="55">
        <f>IF(Sequences!$B$25="","",IF(Sequences!$F$25="Team + liaisons","Liaisons travel with this block",""))</f>
        <v/>
      </c>
      <c r="I123" s="55">
        <f>IF(Sequences!$B$25="","","PHOT-S"&amp;'Slot Times'!$B$10&amp;"-10")</f>
        <v/>
      </c>
    </row>
    <row r="124">
      <c r="A124" s="55">
        <f>IF(Sequences!$B$26="","",Sequences!$M$16)</f>
        <v/>
      </c>
      <c r="B124" s="63">
        <f>IF(OR(Sequences!$B$26="",'Slot Times'!$H$10=""),"",'Slot Times'!$H$10+Sequences!$E$26/1440)</f>
        <v/>
      </c>
      <c r="C124" s="63">
        <f>IF($B124="","",$B124+Sequences!$D$26/1440)</f>
        <v/>
      </c>
      <c r="D124" s="55">
        <f>IF(Sequences!$B$26="","",Sequences!$K$26)</f>
        <v/>
      </c>
      <c r="E124" s="55">
        <f>IF(Sequences!$B$26="","",Sequences!$L$26)</f>
        <v/>
      </c>
      <c r="F124" s="55">
        <f>IF(Sequences!$B$26="","",Sequences!$B$26)</f>
        <v/>
      </c>
      <c r="G124" s="55">
        <f>IF(OR(Sequences!$B$26="",'Slot Times'!$I$10=""),"","Team: "&amp;'Slot Times'!$I$10)</f>
        <v/>
      </c>
      <c r="H124" s="55">
        <f>IF(Sequences!$B$26="","",IF(Sequences!$F$26="Team + liaisons","Liaisons travel with this block",""))</f>
        <v/>
      </c>
      <c r="I124" s="55">
        <f>IF(Sequences!$B$26="","","PHOT-S"&amp;'Slot Times'!$B$10&amp;"-11")</f>
        <v/>
      </c>
    </row>
    <row r="125">
      <c r="A125" s="55">
        <f>IF(Sequences!$B$27="","",Sequences!$M$16)</f>
        <v/>
      </c>
      <c r="B125" s="63">
        <f>IF(OR(Sequences!$B$27="",'Slot Times'!$H$10=""),"",'Slot Times'!$H$10+Sequences!$E$27/1440)</f>
        <v/>
      </c>
      <c r="C125" s="63">
        <f>IF($B125="","",$B125+Sequences!$D$27/1440)</f>
        <v/>
      </c>
      <c r="D125" s="55">
        <f>IF(Sequences!$B$27="","",Sequences!$K$27)</f>
        <v/>
      </c>
      <c r="E125" s="55">
        <f>IF(Sequences!$B$27="","",Sequences!$L$27)</f>
        <v/>
      </c>
      <c r="F125" s="55">
        <f>IF(Sequences!$B$27="","",Sequences!$B$27)</f>
        <v/>
      </c>
      <c r="G125" s="55">
        <f>IF(OR(Sequences!$B$27="",'Slot Times'!$I$10=""),"","Team: "&amp;'Slot Times'!$I$10)</f>
        <v/>
      </c>
      <c r="H125" s="55">
        <f>IF(Sequences!$B$27="","",IF(Sequences!$F$27="Team + liaisons","Liaisons travel with this block",""))</f>
        <v/>
      </c>
      <c r="I125" s="55">
        <f>IF(Sequences!$B$27="","","PHOT-S"&amp;'Slot Times'!$B$10&amp;"-12")</f>
        <v/>
      </c>
    </row>
    <row r="126">
      <c r="A126" s="55">
        <f>IF(Sequences!$B$28="","",Sequences!$M$16)</f>
        <v/>
      </c>
      <c r="B126" s="63">
        <f>IF(OR(Sequences!$B$28="",'Slot Times'!$H$10=""),"",'Slot Times'!$H$10+Sequences!$E$28/1440)</f>
        <v/>
      </c>
      <c r="C126" s="63">
        <f>IF($B126="","",$B126+Sequences!$D$28/1440)</f>
        <v/>
      </c>
      <c r="D126" s="55">
        <f>IF(Sequences!$B$28="","",Sequences!$K$28)</f>
        <v/>
      </c>
      <c r="E126" s="55">
        <f>IF(Sequences!$B$28="","",Sequences!$L$28)</f>
        <v/>
      </c>
      <c r="F126" s="55">
        <f>IF(Sequences!$B$28="","",Sequences!$B$28)</f>
        <v/>
      </c>
      <c r="G126" s="55">
        <f>IF(OR(Sequences!$B$28="",'Slot Times'!$I$10=""),"","Team: "&amp;'Slot Times'!$I$10)</f>
        <v/>
      </c>
      <c r="H126" s="55">
        <f>IF(Sequences!$B$28="","",IF(Sequences!$F$28="Team + liaisons","Liaisons travel with this block",""))</f>
        <v/>
      </c>
      <c r="I126" s="55">
        <f>IF(Sequences!$B$28="","","PHOT-S"&amp;'Slot Times'!$B$10&amp;"-13")</f>
        <v/>
      </c>
    </row>
    <row r="127">
      <c r="A127" s="55">
        <f>IF(Sequences!$B$29="","",Sequences!$M$16)</f>
        <v/>
      </c>
      <c r="B127" s="63">
        <f>IF(OR(Sequences!$B$29="",'Slot Times'!$H$10=""),"",'Slot Times'!$H$10+Sequences!$E$29/1440)</f>
        <v/>
      </c>
      <c r="C127" s="63">
        <f>IF($B127="","",$B127+Sequences!$D$29/1440)</f>
        <v/>
      </c>
      <c r="D127" s="55">
        <f>IF(Sequences!$B$29="","",Sequences!$K$29)</f>
        <v/>
      </c>
      <c r="E127" s="55">
        <f>IF(Sequences!$B$29="","",Sequences!$L$29)</f>
        <v/>
      </c>
      <c r="F127" s="55">
        <f>IF(Sequences!$B$29="","",Sequences!$B$29)</f>
        <v/>
      </c>
      <c r="G127" s="55">
        <f>IF(OR(Sequences!$B$29="",'Slot Times'!$I$10=""),"","Team: "&amp;'Slot Times'!$I$10)</f>
        <v/>
      </c>
      <c r="H127" s="55">
        <f>IF(Sequences!$B$29="","",IF(Sequences!$F$29="Team + liaisons","Liaisons travel with this block",""))</f>
        <v/>
      </c>
      <c r="I127" s="55">
        <f>IF(Sequences!$B$29="","","PHOT-S"&amp;'Slot Times'!$B$10&amp;"-14")</f>
        <v/>
      </c>
    </row>
    <row r="128">
      <c r="A128" s="55">
        <f>IF(Sequences!$B$16="","",Sequences!$M$16)</f>
        <v/>
      </c>
      <c r="B128" s="63">
        <f>IF(OR(Sequences!$B$16="",'Slot Times'!$H$11=""),"",'Slot Times'!$H$11+Sequences!$E$16/1440)</f>
        <v/>
      </c>
      <c r="C128" s="63">
        <f>IF($B128="","",$B128+Sequences!$D$16/1440)</f>
        <v/>
      </c>
      <c r="D128" s="55">
        <f>IF(Sequences!$B$16="","",Sequences!$K$16)</f>
        <v/>
      </c>
      <c r="E128" s="55">
        <f>IF(Sequences!$B$16="","",Sequences!$L$16)</f>
        <v/>
      </c>
      <c r="F128" s="55">
        <f>IF(Sequences!$B$16="","",Sequences!$B$16)</f>
        <v/>
      </c>
      <c r="G128" s="55">
        <f>IF(OR(Sequences!$B$16="",'Slot Times'!$I$11=""),"","Team: "&amp;'Slot Times'!$I$11)</f>
        <v/>
      </c>
      <c r="H128" s="55">
        <f>IF(Sequences!$B$16="","",IF(Sequences!$F$16="Team + liaisons","Liaisons travel with this block",""))</f>
        <v/>
      </c>
      <c r="I128" s="55">
        <f>IF(Sequences!$B$16="","","PHOT-S"&amp;'Slot Times'!$B$11&amp;"-01")</f>
        <v/>
      </c>
    </row>
    <row r="129">
      <c r="A129" s="55">
        <f>IF(Sequences!$B$17="","",Sequences!$M$16)</f>
        <v/>
      </c>
      <c r="B129" s="63">
        <f>IF(OR(Sequences!$B$17="",'Slot Times'!$H$11=""),"",'Slot Times'!$H$11+Sequences!$E$17/1440)</f>
        <v/>
      </c>
      <c r="C129" s="63">
        <f>IF($B129="","",$B129+Sequences!$D$17/1440)</f>
        <v/>
      </c>
      <c r="D129" s="55">
        <f>IF(Sequences!$B$17="","",Sequences!$K$17)</f>
        <v/>
      </c>
      <c r="E129" s="55">
        <f>IF(Sequences!$B$17="","",Sequences!$L$17)</f>
        <v/>
      </c>
      <c r="F129" s="55">
        <f>IF(Sequences!$B$17="","",Sequences!$B$17)</f>
        <v/>
      </c>
      <c r="G129" s="55">
        <f>IF(OR(Sequences!$B$17="",'Slot Times'!$I$11=""),"","Team: "&amp;'Slot Times'!$I$11)</f>
        <v/>
      </c>
      <c r="H129" s="55">
        <f>IF(Sequences!$B$17="","",IF(Sequences!$F$17="Team + liaisons","Liaisons travel with this block",""))</f>
        <v/>
      </c>
      <c r="I129" s="55">
        <f>IF(Sequences!$B$17="","","PHOT-S"&amp;'Slot Times'!$B$11&amp;"-02")</f>
        <v/>
      </c>
    </row>
    <row r="130">
      <c r="A130" s="55">
        <f>IF(Sequences!$B$18="","",Sequences!$M$16)</f>
        <v/>
      </c>
      <c r="B130" s="63">
        <f>IF(OR(Sequences!$B$18="",'Slot Times'!$H$11=""),"",'Slot Times'!$H$11+Sequences!$E$18/1440)</f>
        <v/>
      </c>
      <c r="C130" s="63">
        <f>IF($B130="","",$B130+Sequences!$D$18/1440)</f>
        <v/>
      </c>
      <c r="D130" s="55">
        <f>IF(Sequences!$B$18="","",Sequences!$K$18)</f>
        <v/>
      </c>
      <c r="E130" s="55">
        <f>IF(Sequences!$B$18="","",Sequences!$L$18)</f>
        <v/>
      </c>
      <c r="F130" s="55">
        <f>IF(Sequences!$B$18="","",Sequences!$B$18)</f>
        <v/>
      </c>
      <c r="G130" s="55">
        <f>IF(OR(Sequences!$B$18="",'Slot Times'!$I$11=""),"","Team: "&amp;'Slot Times'!$I$11)</f>
        <v/>
      </c>
      <c r="H130" s="55">
        <f>IF(Sequences!$B$18="","",IF(Sequences!$F$18="Team + liaisons","Liaisons travel with this block",""))</f>
        <v/>
      </c>
      <c r="I130" s="55">
        <f>IF(Sequences!$B$18="","","PHOT-S"&amp;'Slot Times'!$B$11&amp;"-03")</f>
        <v/>
      </c>
    </row>
    <row r="131">
      <c r="A131" s="55">
        <f>IF(Sequences!$B$19="","",Sequences!$M$16)</f>
        <v/>
      </c>
      <c r="B131" s="63">
        <f>IF(OR(Sequences!$B$19="",'Slot Times'!$H$11=""),"",'Slot Times'!$H$11+Sequences!$E$19/1440)</f>
        <v/>
      </c>
      <c r="C131" s="63">
        <f>IF($B131="","",$B131+Sequences!$D$19/1440)</f>
        <v/>
      </c>
      <c r="D131" s="55">
        <f>IF(Sequences!$B$19="","",Sequences!$K$19)</f>
        <v/>
      </c>
      <c r="E131" s="55">
        <f>IF(Sequences!$B$19="","",Sequences!$L$19)</f>
        <v/>
      </c>
      <c r="F131" s="55">
        <f>IF(Sequences!$B$19="","",Sequences!$B$19)</f>
        <v/>
      </c>
      <c r="G131" s="55">
        <f>IF(OR(Sequences!$B$19="",'Slot Times'!$I$11=""),"","Team: "&amp;'Slot Times'!$I$11)</f>
        <v/>
      </c>
      <c r="H131" s="55">
        <f>IF(Sequences!$B$19="","",IF(Sequences!$F$19="Team + liaisons","Liaisons travel with this block",""))</f>
        <v/>
      </c>
      <c r="I131" s="55">
        <f>IF(Sequences!$B$19="","","PHOT-S"&amp;'Slot Times'!$B$11&amp;"-04")</f>
        <v/>
      </c>
    </row>
    <row r="132">
      <c r="A132" s="55">
        <f>IF(Sequences!$B$20="","",Sequences!$M$16)</f>
        <v/>
      </c>
      <c r="B132" s="63">
        <f>IF(OR(Sequences!$B$20="",'Slot Times'!$H$11=""),"",'Slot Times'!$H$11+Sequences!$E$20/1440)</f>
        <v/>
      </c>
      <c r="C132" s="63">
        <f>IF($B132="","",$B132+Sequences!$D$20/1440)</f>
        <v/>
      </c>
      <c r="D132" s="55">
        <f>IF(Sequences!$B$20="","",Sequences!$K$20)</f>
        <v/>
      </c>
      <c r="E132" s="55">
        <f>IF(Sequences!$B$20="","",Sequences!$L$20)</f>
        <v/>
      </c>
      <c r="F132" s="55">
        <f>IF(Sequences!$B$20="","",Sequences!$B$20)</f>
        <v/>
      </c>
      <c r="G132" s="55">
        <f>IF(OR(Sequences!$B$20="",'Slot Times'!$I$11=""),"","Team: "&amp;'Slot Times'!$I$11)</f>
        <v/>
      </c>
      <c r="H132" s="55">
        <f>IF(Sequences!$B$20="","",IF(Sequences!$F$20="Team + liaisons","Liaisons travel with this block",""))</f>
        <v/>
      </c>
      <c r="I132" s="55">
        <f>IF(Sequences!$B$20="","","PHOT-S"&amp;'Slot Times'!$B$11&amp;"-05")</f>
        <v/>
      </c>
    </row>
    <row r="133">
      <c r="A133" s="55">
        <f>IF(Sequences!$B$21="","",Sequences!$M$16)</f>
        <v/>
      </c>
      <c r="B133" s="63">
        <f>IF(OR(Sequences!$B$21="",'Slot Times'!$H$11=""),"",'Slot Times'!$H$11+Sequences!$E$21/1440)</f>
        <v/>
      </c>
      <c r="C133" s="63">
        <f>IF($B133="","",$B133+Sequences!$D$21/1440)</f>
        <v/>
      </c>
      <c r="D133" s="55">
        <f>IF(Sequences!$B$21="","",Sequences!$K$21)</f>
        <v/>
      </c>
      <c r="E133" s="55">
        <f>IF(Sequences!$B$21="","",Sequences!$L$21)</f>
        <v/>
      </c>
      <c r="F133" s="55">
        <f>IF(Sequences!$B$21="","",Sequences!$B$21)</f>
        <v/>
      </c>
      <c r="G133" s="55">
        <f>IF(OR(Sequences!$B$21="",'Slot Times'!$I$11=""),"","Team: "&amp;'Slot Times'!$I$11)</f>
        <v/>
      </c>
      <c r="H133" s="55">
        <f>IF(Sequences!$B$21="","",IF(Sequences!$F$21="Team + liaisons","Liaisons travel with this block",""))</f>
        <v/>
      </c>
      <c r="I133" s="55">
        <f>IF(Sequences!$B$21="","","PHOT-S"&amp;'Slot Times'!$B$11&amp;"-06")</f>
        <v/>
      </c>
    </row>
    <row r="134">
      <c r="A134" s="55">
        <f>IF(Sequences!$B$22="","",Sequences!$M$16)</f>
        <v/>
      </c>
      <c r="B134" s="63">
        <f>IF(OR(Sequences!$B$22="",'Slot Times'!$H$11=""),"",'Slot Times'!$H$11+Sequences!$E$22/1440)</f>
        <v/>
      </c>
      <c r="C134" s="63">
        <f>IF($B134="","",$B134+Sequences!$D$22/1440)</f>
        <v/>
      </c>
      <c r="D134" s="55">
        <f>IF(Sequences!$B$22="","",Sequences!$K$22)</f>
        <v/>
      </c>
      <c r="E134" s="55">
        <f>IF(Sequences!$B$22="","",Sequences!$L$22)</f>
        <v/>
      </c>
      <c r="F134" s="55">
        <f>IF(Sequences!$B$22="","",Sequences!$B$22)</f>
        <v/>
      </c>
      <c r="G134" s="55">
        <f>IF(OR(Sequences!$B$22="",'Slot Times'!$I$11=""),"","Team: "&amp;'Slot Times'!$I$11)</f>
        <v/>
      </c>
      <c r="H134" s="55">
        <f>IF(Sequences!$B$22="","",IF(Sequences!$F$22="Team + liaisons","Liaisons travel with this block",""))</f>
        <v/>
      </c>
      <c r="I134" s="55">
        <f>IF(Sequences!$B$22="","","PHOT-S"&amp;'Slot Times'!$B$11&amp;"-07")</f>
        <v/>
      </c>
    </row>
    <row r="135">
      <c r="A135" s="55">
        <f>IF(Sequences!$B$23="","",Sequences!$M$16)</f>
        <v/>
      </c>
      <c r="B135" s="63">
        <f>IF(OR(Sequences!$B$23="",'Slot Times'!$H$11=""),"",'Slot Times'!$H$11+Sequences!$E$23/1440)</f>
        <v/>
      </c>
      <c r="C135" s="63">
        <f>IF($B135="","",$B135+Sequences!$D$23/1440)</f>
        <v/>
      </c>
      <c r="D135" s="55">
        <f>IF(Sequences!$B$23="","",Sequences!$K$23)</f>
        <v/>
      </c>
      <c r="E135" s="55">
        <f>IF(Sequences!$B$23="","",Sequences!$L$23)</f>
        <v/>
      </c>
      <c r="F135" s="55">
        <f>IF(Sequences!$B$23="","",Sequences!$B$23)</f>
        <v/>
      </c>
      <c r="G135" s="55">
        <f>IF(OR(Sequences!$B$23="",'Slot Times'!$I$11=""),"","Team: "&amp;'Slot Times'!$I$11)</f>
        <v/>
      </c>
      <c r="H135" s="55">
        <f>IF(Sequences!$B$23="","",IF(Sequences!$F$23="Team + liaisons","Liaisons travel with this block",""))</f>
        <v/>
      </c>
      <c r="I135" s="55">
        <f>IF(Sequences!$B$23="","","PHOT-S"&amp;'Slot Times'!$B$11&amp;"-08")</f>
        <v/>
      </c>
    </row>
    <row r="136">
      <c r="A136" s="55">
        <f>IF(Sequences!$B$24="","",Sequences!$M$16)</f>
        <v/>
      </c>
      <c r="B136" s="63">
        <f>IF(OR(Sequences!$B$24="",'Slot Times'!$H$11=""),"",'Slot Times'!$H$11+Sequences!$E$24/1440)</f>
        <v/>
      </c>
      <c r="C136" s="63">
        <f>IF($B136="","",$B136+Sequences!$D$24/1440)</f>
        <v/>
      </c>
      <c r="D136" s="55">
        <f>IF(Sequences!$B$24="","",Sequences!$K$24)</f>
        <v/>
      </c>
      <c r="E136" s="55">
        <f>IF(Sequences!$B$24="","",Sequences!$L$24)</f>
        <v/>
      </c>
      <c r="F136" s="55">
        <f>IF(Sequences!$B$24="","",Sequences!$B$24)</f>
        <v/>
      </c>
      <c r="G136" s="55">
        <f>IF(OR(Sequences!$B$24="",'Slot Times'!$I$11=""),"","Team: "&amp;'Slot Times'!$I$11)</f>
        <v/>
      </c>
      <c r="H136" s="55">
        <f>IF(Sequences!$B$24="","",IF(Sequences!$F$24="Team + liaisons","Liaisons travel with this block",""))</f>
        <v/>
      </c>
      <c r="I136" s="55">
        <f>IF(Sequences!$B$24="","","PHOT-S"&amp;'Slot Times'!$B$11&amp;"-09")</f>
        <v/>
      </c>
    </row>
    <row r="137">
      <c r="A137" s="55">
        <f>IF(Sequences!$B$25="","",Sequences!$M$16)</f>
        <v/>
      </c>
      <c r="B137" s="63">
        <f>IF(OR(Sequences!$B$25="",'Slot Times'!$H$11=""),"",'Slot Times'!$H$11+Sequences!$E$25/1440)</f>
        <v/>
      </c>
      <c r="C137" s="63">
        <f>IF($B137="","",$B137+Sequences!$D$25/1440)</f>
        <v/>
      </c>
      <c r="D137" s="55">
        <f>IF(Sequences!$B$25="","",Sequences!$K$25)</f>
        <v/>
      </c>
      <c r="E137" s="55">
        <f>IF(Sequences!$B$25="","",Sequences!$L$25)</f>
        <v/>
      </c>
      <c r="F137" s="55">
        <f>IF(Sequences!$B$25="","",Sequences!$B$25)</f>
        <v/>
      </c>
      <c r="G137" s="55">
        <f>IF(OR(Sequences!$B$25="",'Slot Times'!$I$11=""),"","Team: "&amp;'Slot Times'!$I$11)</f>
        <v/>
      </c>
      <c r="H137" s="55">
        <f>IF(Sequences!$B$25="","",IF(Sequences!$F$25="Team + liaisons","Liaisons travel with this block",""))</f>
        <v/>
      </c>
      <c r="I137" s="55">
        <f>IF(Sequences!$B$25="","","PHOT-S"&amp;'Slot Times'!$B$11&amp;"-10")</f>
        <v/>
      </c>
    </row>
    <row r="138">
      <c r="A138" s="55">
        <f>IF(Sequences!$B$26="","",Sequences!$M$16)</f>
        <v/>
      </c>
      <c r="B138" s="63">
        <f>IF(OR(Sequences!$B$26="",'Slot Times'!$H$11=""),"",'Slot Times'!$H$11+Sequences!$E$26/1440)</f>
        <v/>
      </c>
      <c r="C138" s="63">
        <f>IF($B138="","",$B138+Sequences!$D$26/1440)</f>
        <v/>
      </c>
      <c r="D138" s="55">
        <f>IF(Sequences!$B$26="","",Sequences!$K$26)</f>
        <v/>
      </c>
      <c r="E138" s="55">
        <f>IF(Sequences!$B$26="","",Sequences!$L$26)</f>
        <v/>
      </c>
      <c r="F138" s="55">
        <f>IF(Sequences!$B$26="","",Sequences!$B$26)</f>
        <v/>
      </c>
      <c r="G138" s="55">
        <f>IF(OR(Sequences!$B$26="",'Slot Times'!$I$11=""),"","Team: "&amp;'Slot Times'!$I$11)</f>
        <v/>
      </c>
      <c r="H138" s="55">
        <f>IF(Sequences!$B$26="","",IF(Sequences!$F$26="Team + liaisons","Liaisons travel with this block",""))</f>
        <v/>
      </c>
      <c r="I138" s="55">
        <f>IF(Sequences!$B$26="","","PHOT-S"&amp;'Slot Times'!$B$11&amp;"-11")</f>
        <v/>
      </c>
    </row>
    <row r="139">
      <c r="A139" s="55">
        <f>IF(Sequences!$B$27="","",Sequences!$M$16)</f>
        <v/>
      </c>
      <c r="B139" s="63">
        <f>IF(OR(Sequences!$B$27="",'Slot Times'!$H$11=""),"",'Slot Times'!$H$11+Sequences!$E$27/1440)</f>
        <v/>
      </c>
      <c r="C139" s="63">
        <f>IF($B139="","",$B139+Sequences!$D$27/1440)</f>
        <v/>
      </c>
      <c r="D139" s="55">
        <f>IF(Sequences!$B$27="","",Sequences!$K$27)</f>
        <v/>
      </c>
      <c r="E139" s="55">
        <f>IF(Sequences!$B$27="","",Sequences!$L$27)</f>
        <v/>
      </c>
      <c r="F139" s="55">
        <f>IF(Sequences!$B$27="","",Sequences!$B$27)</f>
        <v/>
      </c>
      <c r="G139" s="55">
        <f>IF(OR(Sequences!$B$27="",'Slot Times'!$I$11=""),"","Team: "&amp;'Slot Times'!$I$11)</f>
        <v/>
      </c>
      <c r="H139" s="55">
        <f>IF(Sequences!$B$27="","",IF(Sequences!$F$27="Team + liaisons","Liaisons travel with this block",""))</f>
        <v/>
      </c>
      <c r="I139" s="55">
        <f>IF(Sequences!$B$27="","","PHOT-S"&amp;'Slot Times'!$B$11&amp;"-12")</f>
        <v/>
      </c>
    </row>
    <row r="140">
      <c r="A140" s="55">
        <f>IF(Sequences!$B$28="","",Sequences!$M$16)</f>
        <v/>
      </c>
      <c r="B140" s="63">
        <f>IF(OR(Sequences!$B$28="",'Slot Times'!$H$11=""),"",'Slot Times'!$H$11+Sequences!$E$28/1440)</f>
        <v/>
      </c>
      <c r="C140" s="63">
        <f>IF($B140="","",$B140+Sequences!$D$28/1440)</f>
        <v/>
      </c>
      <c r="D140" s="55">
        <f>IF(Sequences!$B$28="","",Sequences!$K$28)</f>
        <v/>
      </c>
      <c r="E140" s="55">
        <f>IF(Sequences!$B$28="","",Sequences!$L$28)</f>
        <v/>
      </c>
      <c r="F140" s="55">
        <f>IF(Sequences!$B$28="","",Sequences!$B$28)</f>
        <v/>
      </c>
      <c r="G140" s="55">
        <f>IF(OR(Sequences!$B$28="",'Slot Times'!$I$11=""),"","Team: "&amp;'Slot Times'!$I$11)</f>
        <v/>
      </c>
      <c r="H140" s="55">
        <f>IF(Sequences!$B$28="","",IF(Sequences!$F$28="Team + liaisons","Liaisons travel with this block",""))</f>
        <v/>
      </c>
      <c r="I140" s="55">
        <f>IF(Sequences!$B$28="","","PHOT-S"&amp;'Slot Times'!$B$11&amp;"-13")</f>
        <v/>
      </c>
    </row>
    <row r="141">
      <c r="A141" s="55">
        <f>IF(Sequences!$B$29="","",Sequences!$M$16)</f>
        <v/>
      </c>
      <c r="B141" s="63">
        <f>IF(OR(Sequences!$B$29="",'Slot Times'!$H$11=""),"",'Slot Times'!$H$11+Sequences!$E$29/1440)</f>
        <v/>
      </c>
      <c r="C141" s="63">
        <f>IF($B141="","",$B141+Sequences!$D$29/1440)</f>
        <v/>
      </c>
      <c r="D141" s="55">
        <f>IF(Sequences!$B$29="","",Sequences!$K$29)</f>
        <v/>
      </c>
      <c r="E141" s="55">
        <f>IF(Sequences!$B$29="","",Sequences!$L$29)</f>
        <v/>
      </c>
      <c r="F141" s="55">
        <f>IF(Sequences!$B$29="","",Sequences!$B$29)</f>
        <v/>
      </c>
      <c r="G141" s="55">
        <f>IF(OR(Sequences!$B$29="",'Slot Times'!$I$11=""),"","Team: "&amp;'Slot Times'!$I$11)</f>
        <v/>
      </c>
      <c r="H141" s="55">
        <f>IF(Sequences!$B$29="","",IF(Sequences!$F$29="Team + liaisons","Liaisons travel with this block",""))</f>
        <v/>
      </c>
      <c r="I141" s="55">
        <f>IF(Sequences!$B$29="","","PHOT-S"&amp;'Slot Times'!$B$11&amp;"-14")</f>
        <v/>
      </c>
    </row>
    <row r="142">
      <c r="A142" s="55">
        <f>IF(Sequences!$B$16="","",Sequences!$M$16)</f>
        <v/>
      </c>
      <c r="B142" s="63">
        <f>IF(OR(Sequences!$B$16="",'Slot Times'!$H$12=""),"",'Slot Times'!$H$12+Sequences!$E$16/1440)</f>
        <v/>
      </c>
      <c r="C142" s="63">
        <f>IF($B142="","",$B142+Sequences!$D$16/1440)</f>
        <v/>
      </c>
      <c r="D142" s="55">
        <f>IF(Sequences!$B$16="","",Sequences!$K$16)</f>
        <v/>
      </c>
      <c r="E142" s="55">
        <f>IF(Sequences!$B$16="","",Sequences!$L$16)</f>
        <v/>
      </c>
      <c r="F142" s="55">
        <f>IF(Sequences!$B$16="","",Sequences!$B$16)</f>
        <v/>
      </c>
      <c r="G142" s="55">
        <f>IF(OR(Sequences!$B$16="",'Slot Times'!$I$12=""),"","Team: "&amp;'Slot Times'!$I$12)</f>
        <v/>
      </c>
      <c r="H142" s="55">
        <f>IF(Sequences!$B$16="","",IF(Sequences!$F$16="Team + liaisons","Liaisons travel with this block",""))</f>
        <v/>
      </c>
      <c r="I142" s="55">
        <f>IF(Sequences!$B$16="","","PHOT-S"&amp;'Slot Times'!$B$12&amp;"-01")</f>
        <v/>
      </c>
    </row>
    <row r="143">
      <c r="A143" s="55">
        <f>IF(Sequences!$B$17="","",Sequences!$M$16)</f>
        <v/>
      </c>
      <c r="B143" s="63">
        <f>IF(OR(Sequences!$B$17="",'Slot Times'!$H$12=""),"",'Slot Times'!$H$12+Sequences!$E$17/1440)</f>
        <v/>
      </c>
      <c r="C143" s="63">
        <f>IF($B143="","",$B143+Sequences!$D$17/1440)</f>
        <v/>
      </c>
      <c r="D143" s="55">
        <f>IF(Sequences!$B$17="","",Sequences!$K$17)</f>
        <v/>
      </c>
      <c r="E143" s="55">
        <f>IF(Sequences!$B$17="","",Sequences!$L$17)</f>
        <v/>
      </c>
      <c r="F143" s="55">
        <f>IF(Sequences!$B$17="","",Sequences!$B$17)</f>
        <v/>
      </c>
      <c r="G143" s="55">
        <f>IF(OR(Sequences!$B$17="",'Slot Times'!$I$12=""),"","Team: "&amp;'Slot Times'!$I$12)</f>
        <v/>
      </c>
      <c r="H143" s="55">
        <f>IF(Sequences!$B$17="","",IF(Sequences!$F$17="Team + liaisons","Liaisons travel with this block",""))</f>
        <v/>
      </c>
      <c r="I143" s="55">
        <f>IF(Sequences!$B$17="","","PHOT-S"&amp;'Slot Times'!$B$12&amp;"-02")</f>
        <v/>
      </c>
    </row>
    <row r="144">
      <c r="A144" s="55">
        <f>IF(Sequences!$B$18="","",Sequences!$M$16)</f>
        <v/>
      </c>
      <c r="B144" s="63">
        <f>IF(OR(Sequences!$B$18="",'Slot Times'!$H$12=""),"",'Slot Times'!$H$12+Sequences!$E$18/1440)</f>
        <v/>
      </c>
      <c r="C144" s="63">
        <f>IF($B144="","",$B144+Sequences!$D$18/1440)</f>
        <v/>
      </c>
      <c r="D144" s="55">
        <f>IF(Sequences!$B$18="","",Sequences!$K$18)</f>
        <v/>
      </c>
      <c r="E144" s="55">
        <f>IF(Sequences!$B$18="","",Sequences!$L$18)</f>
        <v/>
      </c>
      <c r="F144" s="55">
        <f>IF(Sequences!$B$18="","",Sequences!$B$18)</f>
        <v/>
      </c>
      <c r="G144" s="55">
        <f>IF(OR(Sequences!$B$18="",'Slot Times'!$I$12=""),"","Team: "&amp;'Slot Times'!$I$12)</f>
        <v/>
      </c>
      <c r="H144" s="55">
        <f>IF(Sequences!$B$18="","",IF(Sequences!$F$18="Team + liaisons","Liaisons travel with this block",""))</f>
        <v/>
      </c>
      <c r="I144" s="55">
        <f>IF(Sequences!$B$18="","","PHOT-S"&amp;'Slot Times'!$B$12&amp;"-03")</f>
        <v/>
      </c>
    </row>
    <row r="145">
      <c r="A145" s="55">
        <f>IF(Sequences!$B$19="","",Sequences!$M$16)</f>
        <v/>
      </c>
      <c r="B145" s="63">
        <f>IF(OR(Sequences!$B$19="",'Slot Times'!$H$12=""),"",'Slot Times'!$H$12+Sequences!$E$19/1440)</f>
        <v/>
      </c>
      <c r="C145" s="63">
        <f>IF($B145="","",$B145+Sequences!$D$19/1440)</f>
        <v/>
      </c>
      <c r="D145" s="55">
        <f>IF(Sequences!$B$19="","",Sequences!$K$19)</f>
        <v/>
      </c>
      <c r="E145" s="55">
        <f>IF(Sequences!$B$19="","",Sequences!$L$19)</f>
        <v/>
      </c>
      <c r="F145" s="55">
        <f>IF(Sequences!$B$19="","",Sequences!$B$19)</f>
        <v/>
      </c>
      <c r="G145" s="55">
        <f>IF(OR(Sequences!$B$19="",'Slot Times'!$I$12=""),"","Team: "&amp;'Slot Times'!$I$12)</f>
        <v/>
      </c>
      <c r="H145" s="55">
        <f>IF(Sequences!$B$19="","",IF(Sequences!$F$19="Team + liaisons","Liaisons travel with this block",""))</f>
        <v/>
      </c>
      <c r="I145" s="55">
        <f>IF(Sequences!$B$19="","","PHOT-S"&amp;'Slot Times'!$B$12&amp;"-04")</f>
        <v/>
      </c>
    </row>
    <row r="146">
      <c r="A146" s="55">
        <f>IF(Sequences!$B$20="","",Sequences!$M$16)</f>
        <v/>
      </c>
      <c r="B146" s="63">
        <f>IF(OR(Sequences!$B$20="",'Slot Times'!$H$12=""),"",'Slot Times'!$H$12+Sequences!$E$20/1440)</f>
        <v/>
      </c>
      <c r="C146" s="63">
        <f>IF($B146="","",$B146+Sequences!$D$20/1440)</f>
        <v/>
      </c>
      <c r="D146" s="55">
        <f>IF(Sequences!$B$20="","",Sequences!$K$20)</f>
        <v/>
      </c>
      <c r="E146" s="55">
        <f>IF(Sequences!$B$20="","",Sequences!$L$20)</f>
        <v/>
      </c>
      <c r="F146" s="55">
        <f>IF(Sequences!$B$20="","",Sequences!$B$20)</f>
        <v/>
      </c>
      <c r="G146" s="55">
        <f>IF(OR(Sequences!$B$20="",'Slot Times'!$I$12=""),"","Team: "&amp;'Slot Times'!$I$12)</f>
        <v/>
      </c>
      <c r="H146" s="55">
        <f>IF(Sequences!$B$20="","",IF(Sequences!$F$20="Team + liaisons","Liaisons travel with this block",""))</f>
        <v/>
      </c>
      <c r="I146" s="55">
        <f>IF(Sequences!$B$20="","","PHOT-S"&amp;'Slot Times'!$B$12&amp;"-05")</f>
        <v/>
      </c>
    </row>
    <row r="147">
      <c r="A147" s="55">
        <f>IF(Sequences!$B$21="","",Sequences!$M$16)</f>
        <v/>
      </c>
      <c r="B147" s="63">
        <f>IF(OR(Sequences!$B$21="",'Slot Times'!$H$12=""),"",'Slot Times'!$H$12+Sequences!$E$21/1440)</f>
        <v/>
      </c>
      <c r="C147" s="63">
        <f>IF($B147="","",$B147+Sequences!$D$21/1440)</f>
        <v/>
      </c>
      <c r="D147" s="55">
        <f>IF(Sequences!$B$21="","",Sequences!$K$21)</f>
        <v/>
      </c>
      <c r="E147" s="55">
        <f>IF(Sequences!$B$21="","",Sequences!$L$21)</f>
        <v/>
      </c>
      <c r="F147" s="55">
        <f>IF(Sequences!$B$21="","",Sequences!$B$21)</f>
        <v/>
      </c>
      <c r="G147" s="55">
        <f>IF(OR(Sequences!$B$21="",'Slot Times'!$I$12=""),"","Team: "&amp;'Slot Times'!$I$12)</f>
        <v/>
      </c>
      <c r="H147" s="55">
        <f>IF(Sequences!$B$21="","",IF(Sequences!$F$21="Team + liaisons","Liaisons travel with this block",""))</f>
        <v/>
      </c>
      <c r="I147" s="55">
        <f>IF(Sequences!$B$21="","","PHOT-S"&amp;'Slot Times'!$B$12&amp;"-06")</f>
        <v/>
      </c>
    </row>
    <row r="148">
      <c r="A148" s="55">
        <f>IF(Sequences!$B$22="","",Sequences!$M$16)</f>
        <v/>
      </c>
      <c r="B148" s="63">
        <f>IF(OR(Sequences!$B$22="",'Slot Times'!$H$12=""),"",'Slot Times'!$H$12+Sequences!$E$22/1440)</f>
        <v/>
      </c>
      <c r="C148" s="63">
        <f>IF($B148="","",$B148+Sequences!$D$22/1440)</f>
        <v/>
      </c>
      <c r="D148" s="55">
        <f>IF(Sequences!$B$22="","",Sequences!$K$22)</f>
        <v/>
      </c>
      <c r="E148" s="55">
        <f>IF(Sequences!$B$22="","",Sequences!$L$22)</f>
        <v/>
      </c>
      <c r="F148" s="55">
        <f>IF(Sequences!$B$22="","",Sequences!$B$22)</f>
        <v/>
      </c>
      <c r="G148" s="55">
        <f>IF(OR(Sequences!$B$22="",'Slot Times'!$I$12=""),"","Team: "&amp;'Slot Times'!$I$12)</f>
        <v/>
      </c>
      <c r="H148" s="55">
        <f>IF(Sequences!$B$22="","",IF(Sequences!$F$22="Team + liaisons","Liaisons travel with this block",""))</f>
        <v/>
      </c>
      <c r="I148" s="55">
        <f>IF(Sequences!$B$22="","","PHOT-S"&amp;'Slot Times'!$B$12&amp;"-07")</f>
        <v/>
      </c>
    </row>
    <row r="149">
      <c r="A149" s="55">
        <f>IF(Sequences!$B$23="","",Sequences!$M$16)</f>
        <v/>
      </c>
      <c r="B149" s="63">
        <f>IF(OR(Sequences!$B$23="",'Slot Times'!$H$12=""),"",'Slot Times'!$H$12+Sequences!$E$23/1440)</f>
        <v/>
      </c>
      <c r="C149" s="63">
        <f>IF($B149="","",$B149+Sequences!$D$23/1440)</f>
        <v/>
      </c>
      <c r="D149" s="55">
        <f>IF(Sequences!$B$23="","",Sequences!$K$23)</f>
        <v/>
      </c>
      <c r="E149" s="55">
        <f>IF(Sequences!$B$23="","",Sequences!$L$23)</f>
        <v/>
      </c>
      <c r="F149" s="55">
        <f>IF(Sequences!$B$23="","",Sequences!$B$23)</f>
        <v/>
      </c>
      <c r="G149" s="55">
        <f>IF(OR(Sequences!$B$23="",'Slot Times'!$I$12=""),"","Team: "&amp;'Slot Times'!$I$12)</f>
        <v/>
      </c>
      <c r="H149" s="55">
        <f>IF(Sequences!$B$23="","",IF(Sequences!$F$23="Team + liaisons","Liaisons travel with this block",""))</f>
        <v/>
      </c>
      <c r="I149" s="55">
        <f>IF(Sequences!$B$23="","","PHOT-S"&amp;'Slot Times'!$B$12&amp;"-08")</f>
        <v/>
      </c>
    </row>
    <row r="150">
      <c r="A150" s="55">
        <f>IF(Sequences!$B$24="","",Sequences!$M$16)</f>
        <v/>
      </c>
      <c r="B150" s="63">
        <f>IF(OR(Sequences!$B$24="",'Slot Times'!$H$12=""),"",'Slot Times'!$H$12+Sequences!$E$24/1440)</f>
        <v/>
      </c>
      <c r="C150" s="63">
        <f>IF($B150="","",$B150+Sequences!$D$24/1440)</f>
        <v/>
      </c>
      <c r="D150" s="55">
        <f>IF(Sequences!$B$24="","",Sequences!$K$24)</f>
        <v/>
      </c>
      <c r="E150" s="55">
        <f>IF(Sequences!$B$24="","",Sequences!$L$24)</f>
        <v/>
      </c>
      <c r="F150" s="55">
        <f>IF(Sequences!$B$24="","",Sequences!$B$24)</f>
        <v/>
      </c>
      <c r="G150" s="55">
        <f>IF(OR(Sequences!$B$24="",'Slot Times'!$I$12=""),"","Team: "&amp;'Slot Times'!$I$12)</f>
        <v/>
      </c>
      <c r="H150" s="55">
        <f>IF(Sequences!$B$24="","",IF(Sequences!$F$24="Team + liaisons","Liaisons travel with this block",""))</f>
        <v/>
      </c>
      <c r="I150" s="55">
        <f>IF(Sequences!$B$24="","","PHOT-S"&amp;'Slot Times'!$B$12&amp;"-09")</f>
        <v/>
      </c>
    </row>
    <row r="151">
      <c r="A151" s="55">
        <f>IF(Sequences!$B$25="","",Sequences!$M$16)</f>
        <v/>
      </c>
      <c r="B151" s="63">
        <f>IF(OR(Sequences!$B$25="",'Slot Times'!$H$12=""),"",'Slot Times'!$H$12+Sequences!$E$25/1440)</f>
        <v/>
      </c>
      <c r="C151" s="63">
        <f>IF($B151="","",$B151+Sequences!$D$25/1440)</f>
        <v/>
      </c>
      <c r="D151" s="55">
        <f>IF(Sequences!$B$25="","",Sequences!$K$25)</f>
        <v/>
      </c>
      <c r="E151" s="55">
        <f>IF(Sequences!$B$25="","",Sequences!$L$25)</f>
        <v/>
      </c>
      <c r="F151" s="55">
        <f>IF(Sequences!$B$25="","",Sequences!$B$25)</f>
        <v/>
      </c>
      <c r="G151" s="55">
        <f>IF(OR(Sequences!$B$25="",'Slot Times'!$I$12=""),"","Team: "&amp;'Slot Times'!$I$12)</f>
        <v/>
      </c>
      <c r="H151" s="55">
        <f>IF(Sequences!$B$25="","",IF(Sequences!$F$25="Team + liaisons","Liaisons travel with this block",""))</f>
        <v/>
      </c>
      <c r="I151" s="55">
        <f>IF(Sequences!$B$25="","","PHOT-S"&amp;'Slot Times'!$B$12&amp;"-10")</f>
        <v/>
      </c>
    </row>
    <row r="152">
      <c r="A152" s="55">
        <f>IF(Sequences!$B$26="","",Sequences!$M$16)</f>
        <v/>
      </c>
      <c r="B152" s="63">
        <f>IF(OR(Sequences!$B$26="",'Slot Times'!$H$12=""),"",'Slot Times'!$H$12+Sequences!$E$26/1440)</f>
        <v/>
      </c>
      <c r="C152" s="63">
        <f>IF($B152="","",$B152+Sequences!$D$26/1440)</f>
        <v/>
      </c>
      <c r="D152" s="55">
        <f>IF(Sequences!$B$26="","",Sequences!$K$26)</f>
        <v/>
      </c>
      <c r="E152" s="55">
        <f>IF(Sequences!$B$26="","",Sequences!$L$26)</f>
        <v/>
      </c>
      <c r="F152" s="55">
        <f>IF(Sequences!$B$26="","",Sequences!$B$26)</f>
        <v/>
      </c>
      <c r="G152" s="55">
        <f>IF(OR(Sequences!$B$26="",'Slot Times'!$I$12=""),"","Team: "&amp;'Slot Times'!$I$12)</f>
        <v/>
      </c>
      <c r="H152" s="55">
        <f>IF(Sequences!$B$26="","",IF(Sequences!$F$26="Team + liaisons","Liaisons travel with this block",""))</f>
        <v/>
      </c>
      <c r="I152" s="55">
        <f>IF(Sequences!$B$26="","","PHOT-S"&amp;'Slot Times'!$B$12&amp;"-11")</f>
        <v/>
      </c>
    </row>
    <row r="153">
      <c r="A153" s="55">
        <f>IF(Sequences!$B$27="","",Sequences!$M$16)</f>
        <v/>
      </c>
      <c r="B153" s="63">
        <f>IF(OR(Sequences!$B$27="",'Slot Times'!$H$12=""),"",'Slot Times'!$H$12+Sequences!$E$27/1440)</f>
        <v/>
      </c>
      <c r="C153" s="63">
        <f>IF($B153="","",$B153+Sequences!$D$27/1440)</f>
        <v/>
      </c>
      <c r="D153" s="55">
        <f>IF(Sequences!$B$27="","",Sequences!$K$27)</f>
        <v/>
      </c>
      <c r="E153" s="55">
        <f>IF(Sequences!$B$27="","",Sequences!$L$27)</f>
        <v/>
      </c>
      <c r="F153" s="55">
        <f>IF(Sequences!$B$27="","",Sequences!$B$27)</f>
        <v/>
      </c>
      <c r="G153" s="55">
        <f>IF(OR(Sequences!$B$27="",'Slot Times'!$I$12=""),"","Team: "&amp;'Slot Times'!$I$12)</f>
        <v/>
      </c>
      <c r="H153" s="55">
        <f>IF(Sequences!$B$27="","",IF(Sequences!$F$27="Team + liaisons","Liaisons travel with this block",""))</f>
        <v/>
      </c>
      <c r="I153" s="55">
        <f>IF(Sequences!$B$27="","","PHOT-S"&amp;'Slot Times'!$B$12&amp;"-12")</f>
        <v/>
      </c>
    </row>
    <row r="154">
      <c r="A154" s="55">
        <f>IF(Sequences!$B$28="","",Sequences!$M$16)</f>
        <v/>
      </c>
      <c r="B154" s="63">
        <f>IF(OR(Sequences!$B$28="",'Slot Times'!$H$12=""),"",'Slot Times'!$H$12+Sequences!$E$28/1440)</f>
        <v/>
      </c>
      <c r="C154" s="63">
        <f>IF($B154="","",$B154+Sequences!$D$28/1440)</f>
        <v/>
      </c>
      <c r="D154" s="55">
        <f>IF(Sequences!$B$28="","",Sequences!$K$28)</f>
        <v/>
      </c>
      <c r="E154" s="55">
        <f>IF(Sequences!$B$28="","",Sequences!$L$28)</f>
        <v/>
      </c>
      <c r="F154" s="55">
        <f>IF(Sequences!$B$28="","",Sequences!$B$28)</f>
        <v/>
      </c>
      <c r="G154" s="55">
        <f>IF(OR(Sequences!$B$28="",'Slot Times'!$I$12=""),"","Team: "&amp;'Slot Times'!$I$12)</f>
        <v/>
      </c>
      <c r="H154" s="55">
        <f>IF(Sequences!$B$28="","",IF(Sequences!$F$28="Team + liaisons","Liaisons travel with this block",""))</f>
        <v/>
      </c>
      <c r="I154" s="55">
        <f>IF(Sequences!$B$28="","","PHOT-S"&amp;'Slot Times'!$B$12&amp;"-13")</f>
        <v/>
      </c>
    </row>
    <row r="155">
      <c r="A155" s="55">
        <f>IF(Sequences!$B$29="","",Sequences!$M$16)</f>
        <v/>
      </c>
      <c r="B155" s="63">
        <f>IF(OR(Sequences!$B$29="",'Slot Times'!$H$12=""),"",'Slot Times'!$H$12+Sequences!$E$29/1440)</f>
        <v/>
      </c>
      <c r="C155" s="63">
        <f>IF($B155="","",$B155+Sequences!$D$29/1440)</f>
        <v/>
      </c>
      <c r="D155" s="55">
        <f>IF(Sequences!$B$29="","",Sequences!$K$29)</f>
        <v/>
      </c>
      <c r="E155" s="55">
        <f>IF(Sequences!$B$29="","",Sequences!$L$29)</f>
        <v/>
      </c>
      <c r="F155" s="55">
        <f>IF(Sequences!$B$29="","",Sequences!$B$29)</f>
        <v/>
      </c>
      <c r="G155" s="55">
        <f>IF(OR(Sequences!$B$29="",'Slot Times'!$I$12=""),"","Team: "&amp;'Slot Times'!$I$12)</f>
        <v/>
      </c>
      <c r="H155" s="55">
        <f>IF(Sequences!$B$29="","",IF(Sequences!$F$29="Team + liaisons","Liaisons travel with this block",""))</f>
        <v/>
      </c>
      <c r="I155" s="55">
        <f>IF(Sequences!$B$29="","","PHOT-S"&amp;'Slot Times'!$B$12&amp;"-14")</f>
        <v/>
      </c>
    </row>
    <row r="156">
      <c r="A156" s="55">
        <f>IF(Sequences!$B$16="","",Sequences!$M$16)</f>
        <v/>
      </c>
      <c r="B156" s="63">
        <f>IF(OR(Sequences!$B$16="",'Slot Times'!$H$13=""),"",'Slot Times'!$H$13+Sequences!$E$16/1440)</f>
        <v/>
      </c>
      <c r="C156" s="63">
        <f>IF($B156="","",$B156+Sequences!$D$16/1440)</f>
        <v/>
      </c>
      <c r="D156" s="55">
        <f>IF(Sequences!$B$16="","",Sequences!$K$16)</f>
        <v/>
      </c>
      <c r="E156" s="55">
        <f>IF(Sequences!$B$16="","",Sequences!$L$16)</f>
        <v/>
      </c>
      <c r="F156" s="55">
        <f>IF(Sequences!$B$16="","",Sequences!$B$16)</f>
        <v/>
      </c>
      <c r="G156" s="55">
        <f>IF(OR(Sequences!$B$16="",'Slot Times'!$I$13=""),"","Team: "&amp;'Slot Times'!$I$13)</f>
        <v/>
      </c>
      <c r="H156" s="55">
        <f>IF(Sequences!$B$16="","",IF(Sequences!$F$16="Team + liaisons","Liaisons travel with this block",""))</f>
        <v/>
      </c>
      <c r="I156" s="55">
        <f>IF(Sequences!$B$16="","","PHOT-S"&amp;'Slot Times'!$B$13&amp;"-01")</f>
        <v/>
      </c>
    </row>
    <row r="157">
      <c r="A157" s="55">
        <f>IF(Sequences!$B$17="","",Sequences!$M$16)</f>
        <v/>
      </c>
      <c r="B157" s="63">
        <f>IF(OR(Sequences!$B$17="",'Slot Times'!$H$13=""),"",'Slot Times'!$H$13+Sequences!$E$17/1440)</f>
        <v/>
      </c>
      <c r="C157" s="63">
        <f>IF($B157="","",$B157+Sequences!$D$17/1440)</f>
        <v/>
      </c>
      <c r="D157" s="55">
        <f>IF(Sequences!$B$17="","",Sequences!$K$17)</f>
        <v/>
      </c>
      <c r="E157" s="55">
        <f>IF(Sequences!$B$17="","",Sequences!$L$17)</f>
        <v/>
      </c>
      <c r="F157" s="55">
        <f>IF(Sequences!$B$17="","",Sequences!$B$17)</f>
        <v/>
      </c>
      <c r="G157" s="55">
        <f>IF(OR(Sequences!$B$17="",'Slot Times'!$I$13=""),"","Team: "&amp;'Slot Times'!$I$13)</f>
        <v/>
      </c>
      <c r="H157" s="55">
        <f>IF(Sequences!$B$17="","",IF(Sequences!$F$17="Team + liaisons","Liaisons travel with this block",""))</f>
        <v/>
      </c>
      <c r="I157" s="55">
        <f>IF(Sequences!$B$17="","","PHOT-S"&amp;'Slot Times'!$B$13&amp;"-02")</f>
        <v/>
      </c>
    </row>
    <row r="158">
      <c r="A158" s="55">
        <f>IF(Sequences!$B$18="","",Sequences!$M$16)</f>
        <v/>
      </c>
      <c r="B158" s="63">
        <f>IF(OR(Sequences!$B$18="",'Slot Times'!$H$13=""),"",'Slot Times'!$H$13+Sequences!$E$18/1440)</f>
        <v/>
      </c>
      <c r="C158" s="63">
        <f>IF($B158="","",$B158+Sequences!$D$18/1440)</f>
        <v/>
      </c>
      <c r="D158" s="55">
        <f>IF(Sequences!$B$18="","",Sequences!$K$18)</f>
        <v/>
      </c>
      <c r="E158" s="55">
        <f>IF(Sequences!$B$18="","",Sequences!$L$18)</f>
        <v/>
      </c>
      <c r="F158" s="55">
        <f>IF(Sequences!$B$18="","",Sequences!$B$18)</f>
        <v/>
      </c>
      <c r="G158" s="55">
        <f>IF(OR(Sequences!$B$18="",'Slot Times'!$I$13=""),"","Team: "&amp;'Slot Times'!$I$13)</f>
        <v/>
      </c>
      <c r="H158" s="55">
        <f>IF(Sequences!$B$18="","",IF(Sequences!$F$18="Team + liaisons","Liaisons travel with this block",""))</f>
        <v/>
      </c>
      <c r="I158" s="55">
        <f>IF(Sequences!$B$18="","","PHOT-S"&amp;'Slot Times'!$B$13&amp;"-03")</f>
        <v/>
      </c>
    </row>
    <row r="159">
      <c r="A159" s="55">
        <f>IF(Sequences!$B$19="","",Sequences!$M$16)</f>
        <v/>
      </c>
      <c r="B159" s="63">
        <f>IF(OR(Sequences!$B$19="",'Slot Times'!$H$13=""),"",'Slot Times'!$H$13+Sequences!$E$19/1440)</f>
        <v/>
      </c>
      <c r="C159" s="63">
        <f>IF($B159="","",$B159+Sequences!$D$19/1440)</f>
        <v/>
      </c>
      <c r="D159" s="55">
        <f>IF(Sequences!$B$19="","",Sequences!$K$19)</f>
        <v/>
      </c>
      <c r="E159" s="55">
        <f>IF(Sequences!$B$19="","",Sequences!$L$19)</f>
        <v/>
      </c>
      <c r="F159" s="55">
        <f>IF(Sequences!$B$19="","",Sequences!$B$19)</f>
        <v/>
      </c>
      <c r="G159" s="55">
        <f>IF(OR(Sequences!$B$19="",'Slot Times'!$I$13=""),"","Team: "&amp;'Slot Times'!$I$13)</f>
        <v/>
      </c>
      <c r="H159" s="55">
        <f>IF(Sequences!$B$19="","",IF(Sequences!$F$19="Team + liaisons","Liaisons travel with this block",""))</f>
        <v/>
      </c>
      <c r="I159" s="55">
        <f>IF(Sequences!$B$19="","","PHOT-S"&amp;'Slot Times'!$B$13&amp;"-04")</f>
        <v/>
      </c>
    </row>
    <row r="160">
      <c r="A160" s="55">
        <f>IF(Sequences!$B$20="","",Sequences!$M$16)</f>
        <v/>
      </c>
      <c r="B160" s="63">
        <f>IF(OR(Sequences!$B$20="",'Slot Times'!$H$13=""),"",'Slot Times'!$H$13+Sequences!$E$20/1440)</f>
        <v/>
      </c>
      <c r="C160" s="63">
        <f>IF($B160="","",$B160+Sequences!$D$20/1440)</f>
        <v/>
      </c>
      <c r="D160" s="55">
        <f>IF(Sequences!$B$20="","",Sequences!$K$20)</f>
        <v/>
      </c>
      <c r="E160" s="55">
        <f>IF(Sequences!$B$20="","",Sequences!$L$20)</f>
        <v/>
      </c>
      <c r="F160" s="55">
        <f>IF(Sequences!$B$20="","",Sequences!$B$20)</f>
        <v/>
      </c>
      <c r="G160" s="55">
        <f>IF(OR(Sequences!$B$20="",'Slot Times'!$I$13=""),"","Team: "&amp;'Slot Times'!$I$13)</f>
        <v/>
      </c>
      <c r="H160" s="55">
        <f>IF(Sequences!$B$20="","",IF(Sequences!$F$20="Team + liaisons","Liaisons travel with this block",""))</f>
        <v/>
      </c>
      <c r="I160" s="55">
        <f>IF(Sequences!$B$20="","","PHOT-S"&amp;'Slot Times'!$B$13&amp;"-05")</f>
        <v/>
      </c>
    </row>
    <row r="161">
      <c r="A161" s="55">
        <f>IF(Sequences!$B$21="","",Sequences!$M$16)</f>
        <v/>
      </c>
      <c r="B161" s="63">
        <f>IF(OR(Sequences!$B$21="",'Slot Times'!$H$13=""),"",'Slot Times'!$H$13+Sequences!$E$21/1440)</f>
        <v/>
      </c>
      <c r="C161" s="63">
        <f>IF($B161="","",$B161+Sequences!$D$21/1440)</f>
        <v/>
      </c>
      <c r="D161" s="55">
        <f>IF(Sequences!$B$21="","",Sequences!$K$21)</f>
        <v/>
      </c>
      <c r="E161" s="55">
        <f>IF(Sequences!$B$21="","",Sequences!$L$21)</f>
        <v/>
      </c>
      <c r="F161" s="55">
        <f>IF(Sequences!$B$21="","",Sequences!$B$21)</f>
        <v/>
      </c>
      <c r="G161" s="55">
        <f>IF(OR(Sequences!$B$21="",'Slot Times'!$I$13=""),"","Team: "&amp;'Slot Times'!$I$13)</f>
        <v/>
      </c>
      <c r="H161" s="55">
        <f>IF(Sequences!$B$21="","",IF(Sequences!$F$21="Team + liaisons","Liaisons travel with this block",""))</f>
        <v/>
      </c>
      <c r="I161" s="55">
        <f>IF(Sequences!$B$21="","","PHOT-S"&amp;'Slot Times'!$B$13&amp;"-06")</f>
        <v/>
      </c>
    </row>
    <row r="162">
      <c r="A162" s="55">
        <f>IF(Sequences!$B$22="","",Sequences!$M$16)</f>
        <v/>
      </c>
      <c r="B162" s="63">
        <f>IF(OR(Sequences!$B$22="",'Slot Times'!$H$13=""),"",'Slot Times'!$H$13+Sequences!$E$22/1440)</f>
        <v/>
      </c>
      <c r="C162" s="63">
        <f>IF($B162="","",$B162+Sequences!$D$22/1440)</f>
        <v/>
      </c>
      <c r="D162" s="55">
        <f>IF(Sequences!$B$22="","",Sequences!$K$22)</f>
        <v/>
      </c>
      <c r="E162" s="55">
        <f>IF(Sequences!$B$22="","",Sequences!$L$22)</f>
        <v/>
      </c>
      <c r="F162" s="55">
        <f>IF(Sequences!$B$22="","",Sequences!$B$22)</f>
        <v/>
      </c>
      <c r="G162" s="55">
        <f>IF(OR(Sequences!$B$22="",'Slot Times'!$I$13=""),"","Team: "&amp;'Slot Times'!$I$13)</f>
        <v/>
      </c>
      <c r="H162" s="55">
        <f>IF(Sequences!$B$22="","",IF(Sequences!$F$22="Team + liaisons","Liaisons travel with this block",""))</f>
        <v/>
      </c>
      <c r="I162" s="55">
        <f>IF(Sequences!$B$22="","","PHOT-S"&amp;'Slot Times'!$B$13&amp;"-07")</f>
        <v/>
      </c>
    </row>
    <row r="163">
      <c r="A163" s="55">
        <f>IF(Sequences!$B$23="","",Sequences!$M$16)</f>
        <v/>
      </c>
      <c r="B163" s="63">
        <f>IF(OR(Sequences!$B$23="",'Slot Times'!$H$13=""),"",'Slot Times'!$H$13+Sequences!$E$23/1440)</f>
        <v/>
      </c>
      <c r="C163" s="63">
        <f>IF($B163="","",$B163+Sequences!$D$23/1440)</f>
        <v/>
      </c>
      <c r="D163" s="55">
        <f>IF(Sequences!$B$23="","",Sequences!$K$23)</f>
        <v/>
      </c>
      <c r="E163" s="55">
        <f>IF(Sequences!$B$23="","",Sequences!$L$23)</f>
        <v/>
      </c>
      <c r="F163" s="55">
        <f>IF(Sequences!$B$23="","",Sequences!$B$23)</f>
        <v/>
      </c>
      <c r="G163" s="55">
        <f>IF(OR(Sequences!$B$23="",'Slot Times'!$I$13=""),"","Team: "&amp;'Slot Times'!$I$13)</f>
        <v/>
      </c>
      <c r="H163" s="55">
        <f>IF(Sequences!$B$23="","",IF(Sequences!$F$23="Team + liaisons","Liaisons travel with this block",""))</f>
        <v/>
      </c>
      <c r="I163" s="55">
        <f>IF(Sequences!$B$23="","","PHOT-S"&amp;'Slot Times'!$B$13&amp;"-08")</f>
        <v/>
      </c>
    </row>
    <row r="164">
      <c r="A164" s="55">
        <f>IF(Sequences!$B$24="","",Sequences!$M$16)</f>
        <v/>
      </c>
      <c r="B164" s="63">
        <f>IF(OR(Sequences!$B$24="",'Slot Times'!$H$13=""),"",'Slot Times'!$H$13+Sequences!$E$24/1440)</f>
        <v/>
      </c>
      <c r="C164" s="63">
        <f>IF($B164="","",$B164+Sequences!$D$24/1440)</f>
        <v/>
      </c>
      <c r="D164" s="55">
        <f>IF(Sequences!$B$24="","",Sequences!$K$24)</f>
        <v/>
      </c>
      <c r="E164" s="55">
        <f>IF(Sequences!$B$24="","",Sequences!$L$24)</f>
        <v/>
      </c>
      <c r="F164" s="55">
        <f>IF(Sequences!$B$24="","",Sequences!$B$24)</f>
        <v/>
      </c>
      <c r="G164" s="55">
        <f>IF(OR(Sequences!$B$24="",'Slot Times'!$I$13=""),"","Team: "&amp;'Slot Times'!$I$13)</f>
        <v/>
      </c>
      <c r="H164" s="55">
        <f>IF(Sequences!$B$24="","",IF(Sequences!$F$24="Team + liaisons","Liaisons travel with this block",""))</f>
        <v/>
      </c>
      <c r="I164" s="55">
        <f>IF(Sequences!$B$24="","","PHOT-S"&amp;'Slot Times'!$B$13&amp;"-09")</f>
        <v/>
      </c>
    </row>
    <row r="165">
      <c r="A165" s="55">
        <f>IF(Sequences!$B$25="","",Sequences!$M$16)</f>
        <v/>
      </c>
      <c r="B165" s="63">
        <f>IF(OR(Sequences!$B$25="",'Slot Times'!$H$13=""),"",'Slot Times'!$H$13+Sequences!$E$25/1440)</f>
        <v/>
      </c>
      <c r="C165" s="63">
        <f>IF($B165="","",$B165+Sequences!$D$25/1440)</f>
        <v/>
      </c>
      <c r="D165" s="55">
        <f>IF(Sequences!$B$25="","",Sequences!$K$25)</f>
        <v/>
      </c>
      <c r="E165" s="55">
        <f>IF(Sequences!$B$25="","",Sequences!$L$25)</f>
        <v/>
      </c>
      <c r="F165" s="55">
        <f>IF(Sequences!$B$25="","",Sequences!$B$25)</f>
        <v/>
      </c>
      <c r="G165" s="55">
        <f>IF(OR(Sequences!$B$25="",'Slot Times'!$I$13=""),"","Team: "&amp;'Slot Times'!$I$13)</f>
        <v/>
      </c>
      <c r="H165" s="55">
        <f>IF(Sequences!$B$25="","",IF(Sequences!$F$25="Team + liaisons","Liaisons travel with this block",""))</f>
        <v/>
      </c>
      <c r="I165" s="55">
        <f>IF(Sequences!$B$25="","","PHOT-S"&amp;'Slot Times'!$B$13&amp;"-10")</f>
        <v/>
      </c>
    </row>
    <row r="166">
      <c r="A166" s="55">
        <f>IF(Sequences!$B$26="","",Sequences!$M$16)</f>
        <v/>
      </c>
      <c r="B166" s="63">
        <f>IF(OR(Sequences!$B$26="",'Slot Times'!$H$13=""),"",'Slot Times'!$H$13+Sequences!$E$26/1440)</f>
        <v/>
      </c>
      <c r="C166" s="63">
        <f>IF($B166="","",$B166+Sequences!$D$26/1440)</f>
        <v/>
      </c>
      <c r="D166" s="55">
        <f>IF(Sequences!$B$26="","",Sequences!$K$26)</f>
        <v/>
      </c>
      <c r="E166" s="55">
        <f>IF(Sequences!$B$26="","",Sequences!$L$26)</f>
        <v/>
      </c>
      <c r="F166" s="55">
        <f>IF(Sequences!$B$26="","",Sequences!$B$26)</f>
        <v/>
      </c>
      <c r="G166" s="55">
        <f>IF(OR(Sequences!$B$26="",'Slot Times'!$I$13=""),"","Team: "&amp;'Slot Times'!$I$13)</f>
        <v/>
      </c>
      <c r="H166" s="55">
        <f>IF(Sequences!$B$26="","",IF(Sequences!$F$26="Team + liaisons","Liaisons travel with this block",""))</f>
        <v/>
      </c>
      <c r="I166" s="55">
        <f>IF(Sequences!$B$26="","","PHOT-S"&amp;'Slot Times'!$B$13&amp;"-11")</f>
        <v/>
      </c>
    </row>
    <row r="167">
      <c r="A167" s="55">
        <f>IF(Sequences!$B$27="","",Sequences!$M$16)</f>
        <v/>
      </c>
      <c r="B167" s="63">
        <f>IF(OR(Sequences!$B$27="",'Slot Times'!$H$13=""),"",'Slot Times'!$H$13+Sequences!$E$27/1440)</f>
        <v/>
      </c>
      <c r="C167" s="63">
        <f>IF($B167="","",$B167+Sequences!$D$27/1440)</f>
        <v/>
      </c>
      <c r="D167" s="55">
        <f>IF(Sequences!$B$27="","",Sequences!$K$27)</f>
        <v/>
      </c>
      <c r="E167" s="55">
        <f>IF(Sequences!$B$27="","",Sequences!$L$27)</f>
        <v/>
      </c>
      <c r="F167" s="55">
        <f>IF(Sequences!$B$27="","",Sequences!$B$27)</f>
        <v/>
      </c>
      <c r="G167" s="55">
        <f>IF(OR(Sequences!$B$27="",'Slot Times'!$I$13=""),"","Team: "&amp;'Slot Times'!$I$13)</f>
        <v/>
      </c>
      <c r="H167" s="55">
        <f>IF(Sequences!$B$27="","",IF(Sequences!$F$27="Team + liaisons","Liaisons travel with this block",""))</f>
        <v/>
      </c>
      <c r="I167" s="55">
        <f>IF(Sequences!$B$27="","","PHOT-S"&amp;'Slot Times'!$B$13&amp;"-12")</f>
        <v/>
      </c>
    </row>
    <row r="168">
      <c r="A168" s="55">
        <f>IF(Sequences!$B$28="","",Sequences!$M$16)</f>
        <v/>
      </c>
      <c r="B168" s="63">
        <f>IF(OR(Sequences!$B$28="",'Slot Times'!$H$13=""),"",'Slot Times'!$H$13+Sequences!$E$28/1440)</f>
        <v/>
      </c>
      <c r="C168" s="63">
        <f>IF($B168="","",$B168+Sequences!$D$28/1440)</f>
        <v/>
      </c>
      <c r="D168" s="55">
        <f>IF(Sequences!$B$28="","",Sequences!$K$28)</f>
        <v/>
      </c>
      <c r="E168" s="55">
        <f>IF(Sequences!$B$28="","",Sequences!$L$28)</f>
        <v/>
      </c>
      <c r="F168" s="55">
        <f>IF(Sequences!$B$28="","",Sequences!$B$28)</f>
        <v/>
      </c>
      <c r="G168" s="55">
        <f>IF(OR(Sequences!$B$28="",'Slot Times'!$I$13=""),"","Team: "&amp;'Slot Times'!$I$13)</f>
        <v/>
      </c>
      <c r="H168" s="55">
        <f>IF(Sequences!$B$28="","",IF(Sequences!$F$28="Team + liaisons","Liaisons travel with this block",""))</f>
        <v/>
      </c>
      <c r="I168" s="55">
        <f>IF(Sequences!$B$28="","","PHOT-S"&amp;'Slot Times'!$B$13&amp;"-13")</f>
        <v/>
      </c>
    </row>
    <row r="169">
      <c r="A169" s="55">
        <f>IF(Sequences!$B$29="","",Sequences!$M$16)</f>
        <v/>
      </c>
      <c r="B169" s="63">
        <f>IF(OR(Sequences!$B$29="",'Slot Times'!$H$13=""),"",'Slot Times'!$H$13+Sequences!$E$29/1440)</f>
        <v/>
      </c>
      <c r="C169" s="63">
        <f>IF($B169="","",$B169+Sequences!$D$29/1440)</f>
        <v/>
      </c>
      <c r="D169" s="55">
        <f>IF(Sequences!$B$29="","",Sequences!$K$29)</f>
        <v/>
      </c>
      <c r="E169" s="55">
        <f>IF(Sequences!$B$29="","",Sequences!$L$29)</f>
        <v/>
      </c>
      <c r="F169" s="55">
        <f>IF(Sequences!$B$29="","",Sequences!$B$29)</f>
        <v/>
      </c>
      <c r="G169" s="55">
        <f>IF(OR(Sequences!$B$29="",'Slot Times'!$I$13=""),"","Team: "&amp;'Slot Times'!$I$13)</f>
        <v/>
      </c>
      <c r="H169" s="55">
        <f>IF(Sequences!$B$29="","",IF(Sequences!$F$29="Team + liaisons","Liaisons travel with this block",""))</f>
        <v/>
      </c>
      <c r="I169" s="55">
        <f>IF(Sequences!$B$29="","","PHOT-S"&amp;'Slot Times'!$B$13&amp;"-14")</f>
        <v/>
      </c>
    </row>
    <row r="170">
      <c r="A170" s="55">
        <f>IF(Sequences!$B$16="","",Sequences!$M$16)</f>
        <v/>
      </c>
      <c r="B170" s="63">
        <f>IF(OR(Sequences!$B$16="",'Slot Times'!$H$14=""),"",'Slot Times'!$H$14+Sequences!$E$16/1440)</f>
        <v/>
      </c>
      <c r="C170" s="63">
        <f>IF($B170="","",$B170+Sequences!$D$16/1440)</f>
        <v/>
      </c>
      <c r="D170" s="55">
        <f>IF(Sequences!$B$16="","",Sequences!$K$16)</f>
        <v/>
      </c>
      <c r="E170" s="55">
        <f>IF(Sequences!$B$16="","",Sequences!$L$16)</f>
        <v/>
      </c>
      <c r="F170" s="55">
        <f>IF(Sequences!$B$16="","",Sequences!$B$16)</f>
        <v/>
      </c>
      <c r="G170" s="55">
        <f>IF(OR(Sequences!$B$16="",'Slot Times'!$I$14=""),"","Team: "&amp;'Slot Times'!$I$14)</f>
        <v/>
      </c>
      <c r="H170" s="55">
        <f>IF(Sequences!$B$16="","",IF(Sequences!$F$16="Team + liaisons","Liaisons travel with this block",""))</f>
        <v/>
      </c>
      <c r="I170" s="55">
        <f>IF(Sequences!$B$16="","","PHOT-S"&amp;'Slot Times'!$B$14&amp;"-01")</f>
        <v/>
      </c>
    </row>
    <row r="171">
      <c r="A171" s="55">
        <f>IF(Sequences!$B$17="","",Sequences!$M$16)</f>
        <v/>
      </c>
      <c r="B171" s="63">
        <f>IF(OR(Sequences!$B$17="",'Slot Times'!$H$14=""),"",'Slot Times'!$H$14+Sequences!$E$17/1440)</f>
        <v/>
      </c>
      <c r="C171" s="63">
        <f>IF($B171="","",$B171+Sequences!$D$17/1440)</f>
        <v/>
      </c>
      <c r="D171" s="55">
        <f>IF(Sequences!$B$17="","",Sequences!$K$17)</f>
        <v/>
      </c>
      <c r="E171" s="55">
        <f>IF(Sequences!$B$17="","",Sequences!$L$17)</f>
        <v/>
      </c>
      <c r="F171" s="55">
        <f>IF(Sequences!$B$17="","",Sequences!$B$17)</f>
        <v/>
      </c>
      <c r="G171" s="55">
        <f>IF(OR(Sequences!$B$17="",'Slot Times'!$I$14=""),"","Team: "&amp;'Slot Times'!$I$14)</f>
        <v/>
      </c>
      <c r="H171" s="55">
        <f>IF(Sequences!$B$17="","",IF(Sequences!$F$17="Team + liaisons","Liaisons travel with this block",""))</f>
        <v/>
      </c>
      <c r="I171" s="55">
        <f>IF(Sequences!$B$17="","","PHOT-S"&amp;'Slot Times'!$B$14&amp;"-02")</f>
        <v/>
      </c>
    </row>
    <row r="172">
      <c r="A172" s="55">
        <f>IF(Sequences!$B$18="","",Sequences!$M$16)</f>
        <v/>
      </c>
      <c r="B172" s="63">
        <f>IF(OR(Sequences!$B$18="",'Slot Times'!$H$14=""),"",'Slot Times'!$H$14+Sequences!$E$18/1440)</f>
        <v/>
      </c>
      <c r="C172" s="63">
        <f>IF($B172="","",$B172+Sequences!$D$18/1440)</f>
        <v/>
      </c>
      <c r="D172" s="55">
        <f>IF(Sequences!$B$18="","",Sequences!$K$18)</f>
        <v/>
      </c>
      <c r="E172" s="55">
        <f>IF(Sequences!$B$18="","",Sequences!$L$18)</f>
        <v/>
      </c>
      <c r="F172" s="55">
        <f>IF(Sequences!$B$18="","",Sequences!$B$18)</f>
        <v/>
      </c>
      <c r="G172" s="55">
        <f>IF(OR(Sequences!$B$18="",'Slot Times'!$I$14=""),"","Team: "&amp;'Slot Times'!$I$14)</f>
        <v/>
      </c>
      <c r="H172" s="55">
        <f>IF(Sequences!$B$18="","",IF(Sequences!$F$18="Team + liaisons","Liaisons travel with this block",""))</f>
        <v/>
      </c>
      <c r="I172" s="55">
        <f>IF(Sequences!$B$18="","","PHOT-S"&amp;'Slot Times'!$B$14&amp;"-03")</f>
        <v/>
      </c>
    </row>
    <row r="173">
      <c r="A173" s="55">
        <f>IF(Sequences!$B$19="","",Sequences!$M$16)</f>
        <v/>
      </c>
      <c r="B173" s="63">
        <f>IF(OR(Sequences!$B$19="",'Slot Times'!$H$14=""),"",'Slot Times'!$H$14+Sequences!$E$19/1440)</f>
        <v/>
      </c>
      <c r="C173" s="63">
        <f>IF($B173="","",$B173+Sequences!$D$19/1440)</f>
        <v/>
      </c>
      <c r="D173" s="55">
        <f>IF(Sequences!$B$19="","",Sequences!$K$19)</f>
        <v/>
      </c>
      <c r="E173" s="55">
        <f>IF(Sequences!$B$19="","",Sequences!$L$19)</f>
        <v/>
      </c>
      <c r="F173" s="55">
        <f>IF(Sequences!$B$19="","",Sequences!$B$19)</f>
        <v/>
      </c>
      <c r="G173" s="55">
        <f>IF(OR(Sequences!$B$19="",'Slot Times'!$I$14=""),"","Team: "&amp;'Slot Times'!$I$14)</f>
        <v/>
      </c>
      <c r="H173" s="55">
        <f>IF(Sequences!$B$19="","",IF(Sequences!$F$19="Team + liaisons","Liaisons travel with this block",""))</f>
        <v/>
      </c>
      <c r="I173" s="55">
        <f>IF(Sequences!$B$19="","","PHOT-S"&amp;'Slot Times'!$B$14&amp;"-04")</f>
        <v/>
      </c>
    </row>
    <row r="174">
      <c r="A174" s="55">
        <f>IF(Sequences!$B$20="","",Sequences!$M$16)</f>
        <v/>
      </c>
      <c r="B174" s="63">
        <f>IF(OR(Sequences!$B$20="",'Slot Times'!$H$14=""),"",'Slot Times'!$H$14+Sequences!$E$20/1440)</f>
        <v/>
      </c>
      <c r="C174" s="63">
        <f>IF($B174="","",$B174+Sequences!$D$20/1440)</f>
        <v/>
      </c>
      <c r="D174" s="55">
        <f>IF(Sequences!$B$20="","",Sequences!$K$20)</f>
        <v/>
      </c>
      <c r="E174" s="55">
        <f>IF(Sequences!$B$20="","",Sequences!$L$20)</f>
        <v/>
      </c>
      <c r="F174" s="55">
        <f>IF(Sequences!$B$20="","",Sequences!$B$20)</f>
        <v/>
      </c>
      <c r="G174" s="55">
        <f>IF(OR(Sequences!$B$20="",'Slot Times'!$I$14=""),"","Team: "&amp;'Slot Times'!$I$14)</f>
        <v/>
      </c>
      <c r="H174" s="55">
        <f>IF(Sequences!$B$20="","",IF(Sequences!$F$20="Team + liaisons","Liaisons travel with this block",""))</f>
        <v/>
      </c>
      <c r="I174" s="55">
        <f>IF(Sequences!$B$20="","","PHOT-S"&amp;'Slot Times'!$B$14&amp;"-05")</f>
        <v/>
      </c>
    </row>
    <row r="175">
      <c r="A175" s="55">
        <f>IF(Sequences!$B$21="","",Sequences!$M$16)</f>
        <v/>
      </c>
      <c r="B175" s="63">
        <f>IF(OR(Sequences!$B$21="",'Slot Times'!$H$14=""),"",'Slot Times'!$H$14+Sequences!$E$21/1440)</f>
        <v/>
      </c>
      <c r="C175" s="63">
        <f>IF($B175="","",$B175+Sequences!$D$21/1440)</f>
        <v/>
      </c>
      <c r="D175" s="55">
        <f>IF(Sequences!$B$21="","",Sequences!$K$21)</f>
        <v/>
      </c>
      <c r="E175" s="55">
        <f>IF(Sequences!$B$21="","",Sequences!$L$21)</f>
        <v/>
      </c>
      <c r="F175" s="55">
        <f>IF(Sequences!$B$21="","",Sequences!$B$21)</f>
        <v/>
      </c>
      <c r="G175" s="55">
        <f>IF(OR(Sequences!$B$21="",'Slot Times'!$I$14=""),"","Team: "&amp;'Slot Times'!$I$14)</f>
        <v/>
      </c>
      <c r="H175" s="55">
        <f>IF(Sequences!$B$21="","",IF(Sequences!$F$21="Team + liaisons","Liaisons travel with this block",""))</f>
        <v/>
      </c>
      <c r="I175" s="55">
        <f>IF(Sequences!$B$21="","","PHOT-S"&amp;'Slot Times'!$B$14&amp;"-06")</f>
        <v/>
      </c>
    </row>
    <row r="176">
      <c r="A176" s="55">
        <f>IF(Sequences!$B$22="","",Sequences!$M$16)</f>
        <v/>
      </c>
      <c r="B176" s="63">
        <f>IF(OR(Sequences!$B$22="",'Slot Times'!$H$14=""),"",'Slot Times'!$H$14+Sequences!$E$22/1440)</f>
        <v/>
      </c>
      <c r="C176" s="63">
        <f>IF($B176="","",$B176+Sequences!$D$22/1440)</f>
        <v/>
      </c>
      <c r="D176" s="55">
        <f>IF(Sequences!$B$22="","",Sequences!$K$22)</f>
        <v/>
      </c>
      <c r="E176" s="55">
        <f>IF(Sequences!$B$22="","",Sequences!$L$22)</f>
        <v/>
      </c>
      <c r="F176" s="55">
        <f>IF(Sequences!$B$22="","",Sequences!$B$22)</f>
        <v/>
      </c>
      <c r="G176" s="55">
        <f>IF(OR(Sequences!$B$22="",'Slot Times'!$I$14=""),"","Team: "&amp;'Slot Times'!$I$14)</f>
        <v/>
      </c>
      <c r="H176" s="55">
        <f>IF(Sequences!$B$22="","",IF(Sequences!$F$22="Team + liaisons","Liaisons travel with this block",""))</f>
        <v/>
      </c>
      <c r="I176" s="55">
        <f>IF(Sequences!$B$22="","","PHOT-S"&amp;'Slot Times'!$B$14&amp;"-07")</f>
        <v/>
      </c>
    </row>
    <row r="177">
      <c r="A177" s="55">
        <f>IF(Sequences!$B$23="","",Sequences!$M$16)</f>
        <v/>
      </c>
      <c r="B177" s="63">
        <f>IF(OR(Sequences!$B$23="",'Slot Times'!$H$14=""),"",'Slot Times'!$H$14+Sequences!$E$23/1440)</f>
        <v/>
      </c>
      <c r="C177" s="63">
        <f>IF($B177="","",$B177+Sequences!$D$23/1440)</f>
        <v/>
      </c>
      <c r="D177" s="55">
        <f>IF(Sequences!$B$23="","",Sequences!$K$23)</f>
        <v/>
      </c>
      <c r="E177" s="55">
        <f>IF(Sequences!$B$23="","",Sequences!$L$23)</f>
        <v/>
      </c>
      <c r="F177" s="55">
        <f>IF(Sequences!$B$23="","",Sequences!$B$23)</f>
        <v/>
      </c>
      <c r="G177" s="55">
        <f>IF(OR(Sequences!$B$23="",'Slot Times'!$I$14=""),"","Team: "&amp;'Slot Times'!$I$14)</f>
        <v/>
      </c>
      <c r="H177" s="55">
        <f>IF(Sequences!$B$23="","",IF(Sequences!$F$23="Team + liaisons","Liaisons travel with this block",""))</f>
        <v/>
      </c>
      <c r="I177" s="55">
        <f>IF(Sequences!$B$23="","","PHOT-S"&amp;'Slot Times'!$B$14&amp;"-08")</f>
        <v/>
      </c>
    </row>
    <row r="178">
      <c r="A178" s="55">
        <f>IF(Sequences!$B$24="","",Sequences!$M$16)</f>
        <v/>
      </c>
      <c r="B178" s="63">
        <f>IF(OR(Sequences!$B$24="",'Slot Times'!$H$14=""),"",'Slot Times'!$H$14+Sequences!$E$24/1440)</f>
        <v/>
      </c>
      <c r="C178" s="63">
        <f>IF($B178="","",$B178+Sequences!$D$24/1440)</f>
        <v/>
      </c>
      <c r="D178" s="55">
        <f>IF(Sequences!$B$24="","",Sequences!$K$24)</f>
        <v/>
      </c>
      <c r="E178" s="55">
        <f>IF(Sequences!$B$24="","",Sequences!$L$24)</f>
        <v/>
      </c>
      <c r="F178" s="55">
        <f>IF(Sequences!$B$24="","",Sequences!$B$24)</f>
        <v/>
      </c>
      <c r="G178" s="55">
        <f>IF(OR(Sequences!$B$24="",'Slot Times'!$I$14=""),"","Team: "&amp;'Slot Times'!$I$14)</f>
        <v/>
      </c>
      <c r="H178" s="55">
        <f>IF(Sequences!$B$24="","",IF(Sequences!$F$24="Team + liaisons","Liaisons travel with this block",""))</f>
        <v/>
      </c>
      <c r="I178" s="55">
        <f>IF(Sequences!$B$24="","","PHOT-S"&amp;'Slot Times'!$B$14&amp;"-09")</f>
        <v/>
      </c>
    </row>
    <row r="179">
      <c r="A179" s="55">
        <f>IF(Sequences!$B$25="","",Sequences!$M$16)</f>
        <v/>
      </c>
      <c r="B179" s="63">
        <f>IF(OR(Sequences!$B$25="",'Slot Times'!$H$14=""),"",'Slot Times'!$H$14+Sequences!$E$25/1440)</f>
        <v/>
      </c>
      <c r="C179" s="63">
        <f>IF($B179="","",$B179+Sequences!$D$25/1440)</f>
        <v/>
      </c>
      <c r="D179" s="55">
        <f>IF(Sequences!$B$25="","",Sequences!$K$25)</f>
        <v/>
      </c>
      <c r="E179" s="55">
        <f>IF(Sequences!$B$25="","",Sequences!$L$25)</f>
        <v/>
      </c>
      <c r="F179" s="55">
        <f>IF(Sequences!$B$25="","",Sequences!$B$25)</f>
        <v/>
      </c>
      <c r="G179" s="55">
        <f>IF(OR(Sequences!$B$25="",'Slot Times'!$I$14=""),"","Team: "&amp;'Slot Times'!$I$14)</f>
        <v/>
      </c>
      <c r="H179" s="55">
        <f>IF(Sequences!$B$25="","",IF(Sequences!$F$25="Team + liaisons","Liaisons travel with this block",""))</f>
        <v/>
      </c>
      <c r="I179" s="55">
        <f>IF(Sequences!$B$25="","","PHOT-S"&amp;'Slot Times'!$B$14&amp;"-10")</f>
        <v/>
      </c>
    </row>
    <row r="180">
      <c r="A180" s="55">
        <f>IF(Sequences!$B$26="","",Sequences!$M$16)</f>
        <v/>
      </c>
      <c r="B180" s="63">
        <f>IF(OR(Sequences!$B$26="",'Slot Times'!$H$14=""),"",'Slot Times'!$H$14+Sequences!$E$26/1440)</f>
        <v/>
      </c>
      <c r="C180" s="63">
        <f>IF($B180="","",$B180+Sequences!$D$26/1440)</f>
        <v/>
      </c>
      <c r="D180" s="55">
        <f>IF(Sequences!$B$26="","",Sequences!$K$26)</f>
        <v/>
      </c>
      <c r="E180" s="55">
        <f>IF(Sequences!$B$26="","",Sequences!$L$26)</f>
        <v/>
      </c>
      <c r="F180" s="55">
        <f>IF(Sequences!$B$26="","",Sequences!$B$26)</f>
        <v/>
      </c>
      <c r="G180" s="55">
        <f>IF(OR(Sequences!$B$26="",'Slot Times'!$I$14=""),"","Team: "&amp;'Slot Times'!$I$14)</f>
        <v/>
      </c>
      <c r="H180" s="55">
        <f>IF(Sequences!$B$26="","",IF(Sequences!$F$26="Team + liaisons","Liaisons travel with this block",""))</f>
        <v/>
      </c>
      <c r="I180" s="55">
        <f>IF(Sequences!$B$26="","","PHOT-S"&amp;'Slot Times'!$B$14&amp;"-11")</f>
        <v/>
      </c>
    </row>
    <row r="181">
      <c r="A181" s="55">
        <f>IF(Sequences!$B$27="","",Sequences!$M$16)</f>
        <v/>
      </c>
      <c r="B181" s="63">
        <f>IF(OR(Sequences!$B$27="",'Slot Times'!$H$14=""),"",'Slot Times'!$H$14+Sequences!$E$27/1440)</f>
        <v/>
      </c>
      <c r="C181" s="63">
        <f>IF($B181="","",$B181+Sequences!$D$27/1440)</f>
        <v/>
      </c>
      <c r="D181" s="55">
        <f>IF(Sequences!$B$27="","",Sequences!$K$27)</f>
        <v/>
      </c>
      <c r="E181" s="55">
        <f>IF(Sequences!$B$27="","",Sequences!$L$27)</f>
        <v/>
      </c>
      <c r="F181" s="55">
        <f>IF(Sequences!$B$27="","",Sequences!$B$27)</f>
        <v/>
      </c>
      <c r="G181" s="55">
        <f>IF(OR(Sequences!$B$27="",'Slot Times'!$I$14=""),"","Team: "&amp;'Slot Times'!$I$14)</f>
        <v/>
      </c>
      <c r="H181" s="55">
        <f>IF(Sequences!$B$27="","",IF(Sequences!$F$27="Team + liaisons","Liaisons travel with this block",""))</f>
        <v/>
      </c>
      <c r="I181" s="55">
        <f>IF(Sequences!$B$27="","","PHOT-S"&amp;'Slot Times'!$B$14&amp;"-12")</f>
        <v/>
      </c>
    </row>
    <row r="182">
      <c r="A182" s="55">
        <f>IF(Sequences!$B$28="","",Sequences!$M$16)</f>
        <v/>
      </c>
      <c r="B182" s="63">
        <f>IF(OR(Sequences!$B$28="",'Slot Times'!$H$14=""),"",'Slot Times'!$H$14+Sequences!$E$28/1440)</f>
        <v/>
      </c>
      <c r="C182" s="63">
        <f>IF($B182="","",$B182+Sequences!$D$28/1440)</f>
        <v/>
      </c>
      <c r="D182" s="55">
        <f>IF(Sequences!$B$28="","",Sequences!$K$28)</f>
        <v/>
      </c>
      <c r="E182" s="55">
        <f>IF(Sequences!$B$28="","",Sequences!$L$28)</f>
        <v/>
      </c>
      <c r="F182" s="55">
        <f>IF(Sequences!$B$28="","",Sequences!$B$28)</f>
        <v/>
      </c>
      <c r="G182" s="55">
        <f>IF(OR(Sequences!$B$28="",'Slot Times'!$I$14=""),"","Team: "&amp;'Slot Times'!$I$14)</f>
        <v/>
      </c>
      <c r="H182" s="55">
        <f>IF(Sequences!$B$28="","",IF(Sequences!$F$28="Team + liaisons","Liaisons travel with this block",""))</f>
        <v/>
      </c>
      <c r="I182" s="55">
        <f>IF(Sequences!$B$28="","","PHOT-S"&amp;'Slot Times'!$B$14&amp;"-13")</f>
        <v/>
      </c>
    </row>
    <row r="183">
      <c r="A183" s="55">
        <f>IF(Sequences!$B$29="","",Sequences!$M$16)</f>
        <v/>
      </c>
      <c r="B183" s="63">
        <f>IF(OR(Sequences!$B$29="",'Slot Times'!$H$14=""),"",'Slot Times'!$H$14+Sequences!$E$29/1440)</f>
        <v/>
      </c>
      <c r="C183" s="63">
        <f>IF($B183="","",$B183+Sequences!$D$29/1440)</f>
        <v/>
      </c>
      <c r="D183" s="55">
        <f>IF(Sequences!$B$29="","",Sequences!$K$29)</f>
        <v/>
      </c>
      <c r="E183" s="55">
        <f>IF(Sequences!$B$29="","",Sequences!$L$29)</f>
        <v/>
      </c>
      <c r="F183" s="55">
        <f>IF(Sequences!$B$29="","",Sequences!$B$29)</f>
        <v/>
      </c>
      <c r="G183" s="55">
        <f>IF(OR(Sequences!$B$29="",'Slot Times'!$I$14=""),"","Team: "&amp;'Slot Times'!$I$14)</f>
        <v/>
      </c>
      <c r="H183" s="55">
        <f>IF(Sequences!$B$29="","",IF(Sequences!$F$29="Team + liaisons","Liaisons travel with this block",""))</f>
        <v/>
      </c>
      <c r="I183" s="55">
        <f>IF(Sequences!$B$29="","","PHOT-S"&amp;'Slot Times'!$B$14&amp;"-14")</f>
        <v/>
      </c>
    </row>
    <row r="184">
      <c r="A184" s="55">
        <f>IF(Sequences!$B$16="","",Sequences!$M$16)</f>
        <v/>
      </c>
      <c r="B184" s="63">
        <f>IF(OR(Sequences!$B$16="",'Slot Times'!$H$15=""),"",'Slot Times'!$H$15+Sequences!$E$16/1440)</f>
        <v/>
      </c>
      <c r="C184" s="63">
        <f>IF($B184="","",$B184+Sequences!$D$16/1440)</f>
        <v/>
      </c>
      <c r="D184" s="55">
        <f>IF(Sequences!$B$16="","",Sequences!$K$16)</f>
        <v/>
      </c>
      <c r="E184" s="55">
        <f>IF(Sequences!$B$16="","",Sequences!$L$16)</f>
        <v/>
      </c>
      <c r="F184" s="55">
        <f>IF(Sequences!$B$16="","",Sequences!$B$16)</f>
        <v/>
      </c>
      <c r="G184" s="55">
        <f>IF(OR(Sequences!$B$16="",'Slot Times'!$I$15=""),"","Team: "&amp;'Slot Times'!$I$15)</f>
        <v/>
      </c>
      <c r="H184" s="55">
        <f>IF(Sequences!$B$16="","",IF(Sequences!$F$16="Team + liaisons","Liaisons travel with this block",""))</f>
        <v/>
      </c>
      <c r="I184" s="55">
        <f>IF(Sequences!$B$16="","","PHOT-S"&amp;'Slot Times'!$B$15&amp;"-01")</f>
        <v/>
      </c>
    </row>
    <row r="185">
      <c r="A185" s="55">
        <f>IF(Sequences!$B$17="","",Sequences!$M$16)</f>
        <v/>
      </c>
      <c r="B185" s="63">
        <f>IF(OR(Sequences!$B$17="",'Slot Times'!$H$15=""),"",'Slot Times'!$H$15+Sequences!$E$17/1440)</f>
        <v/>
      </c>
      <c r="C185" s="63">
        <f>IF($B185="","",$B185+Sequences!$D$17/1440)</f>
        <v/>
      </c>
      <c r="D185" s="55">
        <f>IF(Sequences!$B$17="","",Sequences!$K$17)</f>
        <v/>
      </c>
      <c r="E185" s="55">
        <f>IF(Sequences!$B$17="","",Sequences!$L$17)</f>
        <v/>
      </c>
      <c r="F185" s="55">
        <f>IF(Sequences!$B$17="","",Sequences!$B$17)</f>
        <v/>
      </c>
      <c r="G185" s="55">
        <f>IF(OR(Sequences!$B$17="",'Slot Times'!$I$15=""),"","Team: "&amp;'Slot Times'!$I$15)</f>
        <v/>
      </c>
      <c r="H185" s="55">
        <f>IF(Sequences!$B$17="","",IF(Sequences!$F$17="Team + liaisons","Liaisons travel with this block",""))</f>
        <v/>
      </c>
      <c r="I185" s="55">
        <f>IF(Sequences!$B$17="","","PHOT-S"&amp;'Slot Times'!$B$15&amp;"-02")</f>
        <v/>
      </c>
    </row>
    <row r="186">
      <c r="A186" s="55">
        <f>IF(Sequences!$B$18="","",Sequences!$M$16)</f>
        <v/>
      </c>
      <c r="B186" s="63">
        <f>IF(OR(Sequences!$B$18="",'Slot Times'!$H$15=""),"",'Slot Times'!$H$15+Sequences!$E$18/1440)</f>
        <v/>
      </c>
      <c r="C186" s="63">
        <f>IF($B186="","",$B186+Sequences!$D$18/1440)</f>
        <v/>
      </c>
      <c r="D186" s="55">
        <f>IF(Sequences!$B$18="","",Sequences!$K$18)</f>
        <v/>
      </c>
      <c r="E186" s="55">
        <f>IF(Sequences!$B$18="","",Sequences!$L$18)</f>
        <v/>
      </c>
      <c r="F186" s="55">
        <f>IF(Sequences!$B$18="","",Sequences!$B$18)</f>
        <v/>
      </c>
      <c r="G186" s="55">
        <f>IF(OR(Sequences!$B$18="",'Slot Times'!$I$15=""),"","Team: "&amp;'Slot Times'!$I$15)</f>
        <v/>
      </c>
      <c r="H186" s="55">
        <f>IF(Sequences!$B$18="","",IF(Sequences!$F$18="Team + liaisons","Liaisons travel with this block",""))</f>
        <v/>
      </c>
      <c r="I186" s="55">
        <f>IF(Sequences!$B$18="","","PHOT-S"&amp;'Slot Times'!$B$15&amp;"-03")</f>
        <v/>
      </c>
    </row>
    <row r="187">
      <c r="A187" s="55">
        <f>IF(Sequences!$B$19="","",Sequences!$M$16)</f>
        <v/>
      </c>
      <c r="B187" s="63">
        <f>IF(OR(Sequences!$B$19="",'Slot Times'!$H$15=""),"",'Slot Times'!$H$15+Sequences!$E$19/1440)</f>
        <v/>
      </c>
      <c r="C187" s="63">
        <f>IF($B187="","",$B187+Sequences!$D$19/1440)</f>
        <v/>
      </c>
      <c r="D187" s="55">
        <f>IF(Sequences!$B$19="","",Sequences!$K$19)</f>
        <v/>
      </c>
      <c r="E187" s="55">
        <f>IF(Sequences!$B$19="","",Sequences!$L$19)</f>
        <v/>
      </c>
      <c r="F187" s="55">
        <f>IF(Sequences!$B$19="","",Sequences!$B$19)</f>
        <v/>
      </c>
      <c r="G187" s="55">
        <f>IF(OR(Sequences!$B$19="",'Slot Times'!$I$15=""),"","Team: "&amp;'Slot Times'!$I$15)</f>
        <v/>
      </c>
      <c r="H187" s="55">
        <f>IF(Sequences!$B$19="","",IF(Sequences!$F$19="Team + liaisons","Liaisons travel with this block",""))</f>
        <v/>
      </c>
      <c r="I187" s="55">
        <f>IF(Sequences!$B$19="","","PHOT-S"&amp;'Slot Times'!$B$15&amp;"-04")</f>
        <v/>
      </c>
    </row>
    <row r="188">
      <c r="A188" s="55">
        <f>IF(Sequences!$B$20="","",Sequences!$M$16)</f>
        <v/>
      </c>
      <c r="B188" s="63">
        <f>IF(OR(Sequences!$B$20="",'Slot Times'!$H$15=""),"",'Slot Times'!$H$15+Sequences!$E$20/1440)</f>
        <v/>
      </c>
      <c r="C188" s="63">
        <f>IF($B188="","",$B188+Sequences!$D$20/1440)</f>
        <v/>
      </c>
      <c r="D188" s="55">
        <f>IF(Sequences!$B$20="","",Sequences!$K$20)</f>
        <v/>
      </c>
      <c r="E188" s="55">
        <f>IF(Sequences!$B$20="","",Sequences!$L$20)</f>
        <v/>
      </c>
      <c r="F188" s="55">
        <f>IF(Sequences!$B$20="","",Sequences!$B$20)</f>
        <v/>
      </c>
      <c r="G188" s="55">
        <f>IF(OR(Sequences!$B$20="",'Slot Times'!$I$15=""),"","Team: "&amp;'Slot Times'!$I$15)</f>
        <v/>
      </c>
      <c r="H188" s="55">
        <f>IF(Sequences!$B$20="","",IF(Sequences!$F$20="Team + liaisons","Liaisons travel with this block",""))</f>
        <v/>
      </c>
      <c r="I188" s="55">
        <f>IF(Sequences!$B$20="","","PHOT-S"&amp;'Slot Times'!$B$15&amp;"-05")</f>
        <v/>
      </c>
    </row>
    <row r="189">
      <c r="A189" s="55">
        <f>IF(Sequences!$B$21="","",Sequences!$M$16)</f>
        <v/>
      </c>
      <c r="B189" s="63">
        <f>IF(OR(Sequences!$B$21="",'Slot Times'!$H$15=""),"",'Slot Times'!$H$15+Sequences!$E$21/1440)</f>
        <v/>
      </c>
      <c r="C189" s="63">
        <f>IF($B189="","",$B189+Sequences!$D$21/1440)</f>
        <v/>
      </c>
      <c r="D189" s="55">
        <f>IF(Sequences!$B$21="","",Sequences!$K$21)</f>
        <v/>
      </c>
      <c r="E189" s="55">
        <f>IF(Sequences!$B$21="","",Sequences!$L$21)</f>
        <v/>
      </c>
      <c r="F189" s="55">
        <f>IF(Sequences!$B$21="","",Sequences!$B$21)</f>
        <v/>
      </c>
      <c r="G189" s="55">
        <f>IF(OR(Sequences!$B$21="",'Slot Times'!$I$15=""),"","Team: "&amp;'Slot Times'!$I$15)</f>
        <v/>
      </c>
      <c r="H189" s="55">
        <f>IF(Sequences!$B$21="","",IF(Sequences!$F$21="Team + liaisons","Liaisons travel with this block",""))</f>
        <v/>
      </c>
      <c r="I189" s="55">
        <f>IF(Sequences!$B$21="","","PHOT-S"&amp;'Slot Times'!$B$15&amp;"-06")</f>
        <v/>
      </c>
    </row>
    <row r="190">
      <c r="A190" s="55">
        <f>IF(Sequences!$B$22="","",Sequences!$M$16)</f>
        <v/>
      </c>
      <c r="B190" s="63">
        <f>IF(OR(Sequences!$B$22="",'Slot Times'!$H$15=""),"",'Slot Times'!$H$15+Sequences!$E$22/1440)</f>
        <v/>
      </c>
      <c r="C190" s="63">
        <f>IF($B190="","",$B190+Sequences!$D$22/1440)</f>
        <v/>
      </c>
      <c r="D190" s="55">
        <f>IF(Sequences!$B$22="","",Sequences!$K$22)</f>
        <v/>
      </c>
      <c r="E190" s="55">
        <f>IF(Sequences!$B$22="","",Sequences!$L$22)</f>
        <v/>
      </c>
      <c r="F190" s="55">
        <f>IF(Sequences!$B$22="","",Sequences!$B$22)</f>
        <v/>
      </c>
      <c r="G190" s="55">
        <f>IF(OR(Sequences!$B$22="",'Slot Times'!$I$15=""),"","Team: "&amp;'Slot Times'!$I$15)</f>
        <v/>
      </c>
      <c r="H190" s="55">
        <f>IF(Sequences!$B$22="","",IF(Sequences!$F$22="Team + liaisons","Liaisons travel with this block",""))</f>
        <v/>
      </c>
      <c r="I190" s="55">
        <f>IF(Sequences!$B$22="","","PHOT-S"&amp;'Slot Times'!$B$15&amp;"-07")</f>
        <v/>
      </c>
    </row>
    <row r="191">
      <c r="A191" s="55">
        <f>IF(Sequences!$B$23="","",Sequences!$M$16)</f>
        <v/>
      </c>
      <c r="B191" s="63">
        <f>IF(OR(Sequences!$B$23="",'Slot Times'!$H$15=""),"",'Slot Times'!$H$15+Sequences!$E$23/1440)</f>
        <v/>
      </c>
      <c r="C191" s="63">
        <f>IF($B191="","",$B191+Sequences!$D$23/1440)</f>
        <v/>
      </c>
      <c r="D191" s="55">
        <f>IF(Sequences!$B$23="","",Sequences!$K$23)</f>
        <v/>
      </c>
      <c r="E191" s="55">
        <f>IF(Sequences!$B$23="","",Sequences!$L$23)</f>
        <v/>
      </c>
      <c r="F191" s="55">
        <f>IF(Sequences!$B$23="","",Sequences!$B$23)</f>
        <v/>
      </c>
      <c r="G191" s="55">
        <f>IF(OR(Sequences!$B$23="",'Slot Times'!$I$15=""),"","Team: "&amp;'Slot Times'!$I$15)</f>
        <v/>
      </c>
      <c r="H191" s="55">
        <f>IF(Sequences!$B$23="","",IF(Sequences!$F$23="Team + liaisons","Liaisons travel with this block",""))</f>
        <v/>
      </c>
      <c r="I191" s="55">
        <f>IF(Sequences!$B$23="","","PHOT-S"&amp;'Slot Times'!$B$15&amp;"-08")</f>
        <v/>
      </c>
    </row>
    <row r="192">
      <c r="A192" s="55">
        <f>IF(Sequences!$B$24="","",Sequences!$M$16)</f>
        <v/>
      </c>
      <c r="B192" s="63">
        <f>IF(OR(Sequences!$B$24="",'Slot Times'!$H$15=""),"",'Slot Times'!$H$15+Sequences!$E$24/1440)</f>
        <v/>
      </c>
      <c r="C192" s="63">
        <f>IF($B192="","",$B192+Sequences!$D$24/1440)</f>
        <v/>
      </c>
      <c r="D192" s="55">
        <f>IF(Sequences!$B$24="","",Sequences!$K$24)</f>
        <v/>
      </c>
      <c r="E192" s="55">
        <f>IF(Sequences!$B$24="","",Sequences!$L$24)</f>
        <v/>
      </c>
      <c r="F192" s="55">
        <f>IF(Sequences!$B$24="","",Sequences!$B$24)</f>
        <v/>
      </c>
      <c r="G192" s="55">
        <f>IF(OR(Sequences!$B$24="",'Slot Times'!$I$15=""),"","Team: "&amp;'Slot Times'!$I$15)</f>
        <v/>
      </c>
      <c r="H192" s="55">
        <f>IF(Sequences!$B$24="","",IF(Sequences!$F$24="Team + liaisons","Liaisons travel with this block",""))</f>
        <v/>
      </c>
      <c r="I192" s="55">
        <f>IF(Sequences!$B$24="","","PHOT-S"&amp;'Slot Times'!$B$15&amp;"-09")</f>
        <v/>
      </c>
    </row>
    <row r="193">
      <c r="A193" s="55">
        <f>IF(Sequences!$B$25="","",Sequences!$M$16)</f>
        <v/>
      </c>
      <c r="B193" s="63">
        <f>IF(OR(Sequences!$B$25="",'Slot Times'!$H$15=""),"",'Slot Times'!$H$15+Sequences!$E$25/1440)</f>
        <v/>
      </c>
      <c r="C193" s="63">
        <f>IF($B193="","",$B193+Sequences!$D$25/1440)</f>
        <v/>
      </c>
      <c r="D193" s="55">
        <f>IF(Sequences!$B$25="","",Sequences!$K$25)</f>
        <v/>
      </c>
      <c r="E193" s="55">
        <f>IF(Sequences!$B$25="","",Sequences!$L$25)</f>
        <v/>
      </c>
      <c r="F193" s="55">
        <f>IF(Sequences!$B$25="","",Sequences!$B$25)</f>
        <v/>
      </c>
      <c r="G193" s="55">
        <f>IF(OR(Sequences!$B$25="",'Slot Times'!$I$15=""),"","Team: "&amp;'Slot Times'!$I$15)</f>
        <v/>
      </c>
      <c r="H193" s="55">
        <f>IF(Sequences!$B$25="","",IF(Sequences!$F$25="Team + liaisons","Liaisons travel with this block",""))</f>
        <v/>
      </c>
      <c r="I193" s="55">
        <f>IF(Sequences!$B$25="","","PHOT-S"&amp;'Slot Times'!$B$15&amp;"-10")</f>
        <v/>
      </c>
    </row>
    <row r="194">
      <c r="A194" s="55">
        <f>IF(Sequences!$B$26="","",Sequences!$M$16)</f>
        <v/>
      </c>
      <c r="B194" s="63">
        <f>IF(OR(Sequences!$B$26="",'Slot Times'!$H$15=""),"",'Slot Times'!$H$15+Sequences!$E$26/1440)</f>
        <v/>
      </c>
      <c r="C194" s="63">
        <f>IF($B194="","",$B194+Sequences!$D$26/1440)</f>
        <v/>
      </c>
      <c r="D194" s="55">
        <f>IF(Sequences!$B$26="","",Sequences!$K$26)</f>
        <v/>
      </c>
      <c r="E194" s="55">
        <f>IF(Sequences!$B$26="","",Sequences!$L$26)</f>
        <v/>
      </c>
      <c r="F194" s="55">
        <f>IF(Sequences!$B$26="","",Sequences!$B$26)</f>
        <v/>
      </c>
      <c r="G194" s="55">
        <f>IF(OR(Sequences!$B$26="",'Slot Times'!$I$15=""),"","Team: "&amp;'Slot Times'!$I$15)</f>
        <v/>
      </c>
      <c r="H194" s="55">
        <f>IF(Sequences!$B$26="","",IF(Sequences!$F$26="Team + liaisons","Liaisons travel with this block",""))</f>
        <v/>
      </c>
      <c r="I194" s="55">
        <f>IF(Sequences!$B$26="","","PHOT-S"&amp;'Slot Times'!$B$15&amp;"-11")</f>
        <v/>
      </c>
    </row>
    <row r="195">
      <c r="A195" s="55">
        <f>IF(Sequences!$B$27="","",Sequences!$M$16)</f>
        <v/>
      </c>
      <c r="B195" s="63">
        <f>IF(OR(Sequences!$B$27="",'Slot Times'!$H$15=""),"",'Slot Times'!$H$15+Sequences!$E$27/1440)</f>
        <v/>
      </c>
      <c r="C195" s="63">
        <f>IF($B195="","",$B195+Sequences!$D$27/1440)</f>
        <v/>
      </c>
      <c r="D195" s="55">
        <f>IF(Sequences!$B$27="","",Sequences!$K$27)</f>
        <v/>
      </c>
      <c r="E195" s="55">
        <f>IF(Sequences!$B$27="","",Sequences!$L$27)</f>
        <v/>
      </c>
      <c r="F195" s="55">
        <f>IF(Sequences!$B$27="","",Sequences!$B$27)</f>
        <v/>
      </c>
      <c r="G195" s="55">
        <f>IF(OR(Sequences!$B$27="",'Slot Times'!$I$15=""),"","Team: "&amp;'Slot Times'!$I$15)</f>
        <v/>
      </c>
      <c r="H195" s="55">
        <f>IF(Sequences!$B$27="","",IF(Sequences!$F$27="Team + liaisons","Liaisons travel with this block",""))</f>
        <v/>
      </c>
      <c r="I195" s="55">
        <f>IF(Sequences!$B$27="","","PHOT-S"&amp;'Slot Times'!$B$15&amp;"-12")</f>
        <v/>
      </c>
    </row>
    <row r="196">
      <c r="A196" s="55">
        <f>IF(Sequences!$B$28="","",Sequences!$M$16)</f>
        <v/>
      </c>
      <c r="B196" s="63">
        <f>IF(OR(Sequences!$B$28="",'Slot Times'!$H$15=""),"",'Slot Times'!$H$15+Sequences!$E$28/1440)</f>
        <v/>
      </c>
      <c r="C196" s="63">
        <f>IF($B196="","",$B196+Sequences!$D$28/1440)</f>
        <v/>
      </c>
      <c r="D196" s="55">
        <f>IF(Sequences!$B$28="","",Sequences!$K$28)</f>
        <v/>
      </c>
      <c r="E196" s="55">
        <f>IF(Sequences!$B$28="","",Sequences!$L$28)</f>
        <v/>
      </c>
      <c r="F196" s="55">
        <f>IF(Sequences!$B$28="","",Sequences!$B$28)</f>
        <v/>
      </c>
      <c r="G196" s="55">
        <f>IF(OR(Sequences!$B$28="",'Slot Times'!$I$15=""),"","Team: "&amp;'Slot Times'!$I$15)</f>
        <v/>
      </c>
      <c r="H196" s="55">
        <f>IF(Sequences!$B$28="","",IF(Sequences!$F$28="Team + liaisons","Liaisons travel with this block",""))</f>
        <v/>
      </c>
      <c r="I196" s="55">
        <f>IF(Sequences!$B$28="","","PHOT-S"&amp;'Slot Times'!$B$15&amp;"-13")</f>
        <v/>
      </c>
    </row>
    <row r="197">
      <c r="A197" s="55">
        <f>IF(Sequences!$B$29="","",Sequences!$M$16)</f>
        <v/>
      </c>
      <c r="B197" s="63">
        <f>IF(OR(Sequences!$B$29="",'Slot Times'!$H$15=""),"",'Slot Times'!$H$15+Sequences!$E$29/1440)</f>
        <v/>
      </c>
      <c r="C197" s="63">
        <f>IF($B197="","",$B197+Sequences!$D$29/1440)</f>
        <v/>
      </c>
      <c r="D197" s="55">
        <f>IF(Sequences!$B$29="","",Sequences!$K$29)</f>
        <v/>
      </c>
      <c r="E197" s="55">
        <f>IF(Sequences!$B$29="","",Sequences!$L$29)</f>
        <v/>
      </c>
      <c r="F197" s="55">
        <f>IF(Sequences!$B$29="","",Sequences!$B$29)</f>
        <v/>
      </c>
      <c r="G197" s="55">
        <f>IF(OR(Sequences!$B$29="",'Slot Times'!$I$15=""),"","Team: "&amp;'Slot Times'!$I$15)</f>
        <v/>
      </c>
      <c r="H197" s="55">
        <f>IF(Sequences!$B$29="","",IF(Sequences!$F$29="Team + liaisons","Liaisons travel with this block",""))</f>
        <v/>
      </c>
      <c r="I197" s="55">
        <f>IF(Sequences!$B$29="","","PHOT-S"&amp;'Slot Times'!$B$15&amp;"-14")</f>
        <v/>
      </c>
    </row>
    <row r="198">
      <c r="A198" s="55">
        <f>IF(Sequences!$B$16="","",Sequences!$M$16)</f>
        <v/>
      </c>
      <c r="B198" s="63">
        <f>IF(OR(Sequences!$B$16="",'Slot Times'!$H$16=""),"",'Slot Times'!$H$16+Sequences!$E$16/1440)</f>
        <v/>
      </c>
      <c r="C198" s="63">
        <f>IF($B198="","",$B198+Sequences!$D$16/1440)</f>
        <v/>
      </c>
      <c r="D198" s="55">
        <f>IF(Sequences!$B$16="","",Sequences!$K$16)</f>
        <v/>
      </c>
      <c r="E198" s="55">
        <f>IF(Sequences!$B$16="","",Sequences!$L$16)</f>
        <v/>
      </c>
      <c r="F198" s="55">
        <f>IF(Sequences!$B$16="","",Sequences!$B$16)</f>
        <v/>
      </c>
      <c r="G198" s="55">
        <f>IF(OR(Sequences!$B$16="",'Slot Times'!$I$16=""),"","Team: "&amp;'Slot Times'!$I$16)</f>
        <v/>
      </c>
      <c r="H198" s="55">
        <f>IF(Sequences!$B$16="","",IF(Sequences!$F$16="Team + liaisons","Liaisons travel with this block",""))</f>
        <v/>
      </c>
      <c r="I198" s="55">
        <f>IF(Sequences!$B$16="","","PHOT-S"&amp;'Slot Times'!$B$16&amp;"-01")</f>
        <v/>
      </c>
    </row>
    <row r="199">
      <c r="A199" s="55">
        <f>IF(Sequences!$B$17="","",Sequences!$M$16)</f>
        <v/>
      </c>
      <c r="B199" s="63">
        <f>IF(OR(Sequences!$B$17="",'Slot Times'!$H$16=""),"",'Slot Times'!$H$16+Sequences!$E$17/1440)</f>
        <v/>
      </c>
      <c r="C199" s="63">
        <f>IF($B199="","",$B199+Sequences!$D$17/1440)</f>
        <v/>
      </c>
      <c r="D199" s="55">
        <f>IF(Sequences!$B$17="","",Sequences!$K$17)</f>
        <v/>
      </c>
      <c r="E199" s="55">
        <f>IF(Sequences!$B$17="","",Sequences!$L$17)</f>
        <v/>
      </c>
      <c r="F199" s="55">
        <f>IF(Sequences!$B$17="","",Sequences!$B$17)</f>
        <v/>
      </c>
      <c r="G199" s="55">
        <f>IF(OR(Sequences!$B$17="",'Slot Times'!$I$16=""),"","Team: "&amp;'Slot Times'!$I$16)</f>
        <v/>
      </c>
      <c r="H199" s="55">
        <f>IF(Sequences!$B$17="","",IF(Sequences!$F$17="Team + liaisons","Liaisons travel with this block",""))</f>
        <v/>
      </c>
      <c r="I199" s="55">
        <f>IF(Sequences!$B$17="","","PHOT-S"&amp;'Slot Times'!$B$16&amp;"-02")</f>
        <v/>
      </c>
    </row>
    <row r="200">
      <c r="A200" s="55">
        <f>IF(Sequences!$B$18="","",Sequences!$M$16)</f>
        <v/>
      </c>
      <c r="B200" s="63">
        <f>IF(OR(Sequences!$B$18="",'Slot Times'!$H$16=""),"",'Slot Times'!$H$16+Sequences!$E$18/1440)</f>
        <v/>
      </c>
      <c r="C200" s="63">
        <f>IF($B200="","",$B200+Sequences!$D$18/1440)</f>
        <v/>
      </c>
      <c r="D200" s="55">
        <f>IF(Sequences!$B$18="","",Sequences!$K$18)</f>
        <v/>
      </c>
      <c r="E200" s="55">
        <f>IF(Sequences!$B$18="","",Sequences!$L$18)</f>
        <v/>
      </c>
      <c r="F200" s="55">
        <f>IF(Sequences!$B$18="","",Sequences!$B$18)</f>
        <v/>
      </c>
      <c r="G200" s="55">
        <f>IF(OR(Sequences!$B$18="",'Slot Times'!$I$16=""),"","Team: "&amp;'Slot Times'!$I$16)</f>
        <v/>
      </c>
      <c r="H200" s="55">
        <f>IF(Sequences!$B$18="","",IF(Sequences!$F$18="Team + liaisons","Liaisons travel with this block",""))</f>
        <v/>
      </c>
      <c r="I200" s="55">
        <f>IF(Sequences!$B$18="","","PHOT-S"&amp;'Slot Times'!$B$16&amp;"-03")</f>
        <v/>
      </c>
    </row>
    <row r="201">
      <c r="A201" s="55">
        <f>IF(Sequences!$B$19="","",Sequences!$M$16)</f>
        <v/>
      </c>
      <c r="B201" s="63">
        <f>IF(OR(Sequences!$B$19="",'Slot Times'!$H$16=""),"",'Slot Times'!$H$16+Sequences!$E$19/1440)</f>
        <v/>
      </c>
      <c r="C201" s="63">
        <f>IF($B201="","",$B201+Sequences!$D$19/1440)</f>
        <v/>
      </c>
      <c r="D201" s="55">
        <f>IF(Sequences!$B$19="","",Sequences!$K$19)</f>
        <v/>
      </c>
      <c r="E201" s="55">
        <f>IF(Sequences!$B$19="","",Sequences!$L$19)</f>
        <v/>
      </c>
      <c r="F201" s="55">
        <f>IF(Sequences!$B$19="","",Sequences!$B$19)</f>
        <v/>
      </c>
      <c r="G201" s="55">
        <f>IF(OR(Sequences!$B$19="",'Slot Times'!$I$16=""),"","Team: "&amp;'Slot Times'!$I$16)</f>
        <v/>
      </c>
      <c r="H201" s="55">
        <f>IF(Sequences!$B$19="","",IF(Sequences!$F$19="Team + liaisons","Liaisons travel with this block",""))</f>
        <v/>
      </c>
      <c r="I201" s="55">
        <f>IF(Sequences!$B$19="","","PHOT-S"&amp;'Slot Times'!$B$16&amp;"-04")</f>
        <v/>
      </c>
    </row>
    <row r="202">
      <c r="A202" s="55">
        <f>IF(Sequences!$B$20="","",Sequences!$M$16)</f>
        <v/>
      </c>
      <c r="B202" s="63">
        <f>IF(OR(Sequences!$B$20="",'Slot Times'!$H$16=""),"",'Slot Times'!$H$16+Sequences!$E$20/1440)</f>
        <v/>
      </c>
      <c r="C202" s="63">
        <f>IF($B202="","",$B202+Sequences!$D$20/1440)</f>
        <v/>
      </c>
      <c r="D202" s="55">
        <f>IF(Sequences!$B$20="","",Sequences!$K$20)</f>
        <v/>
      </c>
      <c r="E202" s="55">
        <f>IF(Sequences!$B$20="","",Sequences!$L$20)</f>
        <v/>
      </c>
      <c r="F202" s="55">
        <f>IF(Sequences!$B$20="","",Sequences!$B$20)</f>
        <v/>
      </c>
      <c r="G202" s="55">
        <f>IF(OR(Sequences!$B$20="",'Slot Times'!$I$16=""),"","Team: "&amp;'Slot Times'!$I$16)</f>
        <v/>
      </c>
      <c r="H202" s="55">
        <f>IF(Sequences!$B$20="","",IF(Sequences!$F$20="Team + liaisons","Liaisons travel with this block",""))</f>
        <v/>
      </c>
      <c r="I202" s="55">
        <f>IF(Sequences!$B$20="","","PHOT-S"&amp;'Slot Times'!$B$16&amp;"-05")</f>
        <v/>
      </c>
    </row>
    <row r="203">
      <c r="A203" s="55">
        <f>IF(Sequences!$B$21="","",Sequences!$M$16)</f>
        <v/>
      </c>
      <c r="B203" s="63">
        <f>IF(OR(Sequences!$B$21="",'Slot Times'!$H$16=""),"",'Slot Times'!$H$16+Sequences!$E$21/1440)</f>
        <v/>
      </c>
      <c r="C203" s="63">
        <f>IF($B203="","",$B203+Sequences!$D$21/1440)</f>
        <v/>
      </c>
      <c r="D203" s="55">
        <f>IF(Sequences!$B$21="","",Sequences!$K$21)</f>
        <v/>
      </c>
      <c r="E203" s="55">
        <f>IF(Sequences!$B$21="","",Sequences!$L$21)</f>
        <v/>
      </c>
      <c r="F203" s="55">
        <f>IF(Sequences!$B$21="","",Sequences!$B$21)</f>
        <v/>
      </c>
      <c r="G203" s="55">
        <f>IF(OR(Sequences!$B$21="",'Slot Times'!$I$16=""),"","Team: "&amp;'Slot Times'!$I$16)</f>
        <v/>
      </c>
      <c r="H203" s="55">
        <f>IF(Sequences!$B$21="","",IF(Sequences!$F$21="Team + liaisons","Liaisons travel with this block",""))</f>
        <v/>
      </c>
      <c r="I203" s="55">
        <f>IF(Sequences!$B$21="","","PHOT-S"&amp;'Slot Times'!$B$16&amp;"-06")</f>
        <v/>
      </c>
    </row>
    <row r="204">
      <c r="A204" s="55">
        <f>IF(Sequences!$B$22="","",Sequences!$M$16)</f>
        <v/>
      </c>
      <c r="B204" s="63">
        <f>IF(OR(Sequences!$B$22="",'Slot Times'!$H$16=""),"",'Slot Times'!$H$16+Sequences!$E$22/1440)</f>
        <v/>
      </c>
      <c r="C204" s="63">
        <f>IF($B204="","",$B204+Sequences!$D$22/1440)</f>
        <v/>
      </c>
      <c r="D204" s="55">
        <f>IF(Sequences!$B$22="","",Sequences!$K$22)</f>
        <v/>
      </c>
      <c r="E204" s="55">
        <f>IF(Sequences!$B$22="","",Sequences!$L$22)</f>
        <v/>
      </c>
      <c r="F204" s="55">
        <f>IF(Sequences!$B$22="","",Sequences!$B$22)</f>
        <v/>
      </c>
      <c r="G204" s="55">
        <f>IF(OR(Sequences!$B$22="",'Slot Times'!$I$16=""),"","Team: "&amp;'Slot Times'!$I$16)</f>
        <v/>
      </c>
      <c r="H204" s="55">
        <f>IF(Sequences!$B$22="","",IF(Sequences!$F$22="Team + liaisons","Liaisons travel with this block",""))</f>
        <v/>
      </c>
      <c r="I204" s="55">
        <f>IF(Sequences!$B$22="","","PHOT-S"&amp;'Slot Times'!$B$16&amp;"-07")</f>
        <v/>
      </c>
    </row>
    <row r="205">
      <c r="A205" s="55">
        <f>IF(Sequences!$B$23="","",Sequences!$M$16)</f>
        <v/>
      </c>
      <c r="B205" s="63">
        <f>IF(OR(Sequences!$B$23="",'Slot Times'!$H$16=""),"",'Slot Times'!$H$16+Sequences!$E$23/1440)</f>
        <v/>
      </c>
      <c r="C205" s="63">
        <f>IF($B205="","",$B205+Sequences!$D$23/1440)</f>
        <v/>
      </c>
      <c r="D205" s="55">
        <f>IF(Sequences!$B$23="","",Sequences!$K$23)</f>
        <v/>
      </c>
      <c r="E205" s="55">
        <f>IF(Sequences!$B$23="","",Sequences!$L$23)</f>
        <v/>
      </c>
      <c r="F205" s="55">
        <f>IF(Sequences!$B$23="","",Sequences!$B$23)</f>
        <v/>
      </c>
      <c r="G205" s="55">
        <f>IF(OR(Sequences!$B$23="",'Slot Times'!$I$16=""),"","Team: "&amp;'Slot Times'!$I$16)</f>
        <v/>
      </c>
      <c r="H205" s="55">
        <f>IF(Sequences!$B$23="","",IF(Sequences!$F$23="Team + liaisons","Liaisons travel with this block",""))</f>
        <v/>
      </c>
      <c r="I205" s="55">
        <f>IF(Sequences!$B$23="","","PHOT-S"&amp;'Slot Times'!$B$16&amp;"-08")</f>
        <v/>
      </c>
    </row>
    <row r="206">
      <c r="A206" s="55">
        <f>IF(Sequences!$B$24="","",Sequences!$M$16)</f>
        <v/>
      </c>
      <c r="B206" s="63">
        <f>IF(OR(Sequences!$B$24="",'Slot Times'!$H$16=""),"",'Slot Times'!$H$16+Sequences!$E$24/1440)</f>
        <v/>
      </c>
      <c r="C206" s="63">
        <f>IF($B206="","",$B206+Sequences!$D$24/1440)</f>
        <v/>
      </c>
      <c r="D206" s="55">
        <f>IF(Sequences!$B$24="","",Sequences!$K$24)</f>
        <v/>
      </c>
      <c r="E206" s="55">
        <f>IF(Sequences!$B$24="","",Sequences!$L$24)</f>
        <v/>
      </c>
      <c r="F206" s="55">
        <f>IF(Sequences!$B$24="","",Sequences!$B$24)</f>
        <v/>
      </c>
      <c r="G206" s="55">
        <f>IF(OR(Sequences!$B$24="",'Slot Times'!$I$16=""),"","Team: "&amp;'Slot Times'!$I$16)</f>
        <v/>
      </c>
      <c r="H206" s="55">
        <f>IF(Sequences!$B$24="","",IF(Sequences!$F$24="Team + liaisons","Liaisons travel with this block",""))</f>
        <v/>
      </c>
      <c r="I206" s="55">
        <f>IF(Sequences!$B$24="","","PHOT-S"&amp;'Slot Times'!$B$16&amp;"-09")</f>
        <v/>
      </c>
    </row>
    <row r="207">
      <c r="A207" s="55">
        <f>IF(Sequences!$B$25="","",Sequences!$M$16)</f>
        <v/>
      </c>
      <c r="B207" s="63">
        <f>IF(OR(Sequences!$B$25="",'Slot Times'!$H$16=""),"",'Slot Times'!$H$16+Sequences!$E$25/1440)</f>
        <v/>
      </c>
      <c r="C207" s="63">
        <f>IF($B207="","",$B207+Sequences!$D$25/1440)</f>
        <v/>
      </c>
      <c r="D207" s="55">
        <f>IF(Sequences!$B$25="","",Sequences!$K$25)</f>
        <v/>
      </c>
      <c r="E207" s="55">
        <f>IF(Sequences!$B$25="","",Sequences!$L$25)</f>
        <v/>
      </c>
      <c r="F207" s="55">
        <f>IF(Sequences!$B$25="","",Sequences!$B$25)</f>
        <v/>
      </c>
      <c r="G207" s="55">
        <f>IF(OR(Sequences!$B$25="",'Slot Times'!$I$16=""),"","Team: "&amp;'Slot Times'!$I$16)</f>
        <v/>
      </c>
      <c r="H207" s="55">
        <f>IF(Sequences!$B$25="","",IF(Sequences!$F$25="Team + liaisons","Liaisons travel with this block",""))</f>
        <v/>
      </c>
      <c r="I207" s="55">
        <f>IF(Sequences!$B$25="","","PHOT-S"&amp;'Slot Times'!$B$16&amp;"-10")</f>
        <v/>
      </c>
    </row>
    <row r="208">
      <c r="A208" s="55">
        <f>IF(Sequences!$B$26="","",Sequences!$M$16)</f>
        <v/>
      </c>
      <c r="B208" s="63">
        <f>IF(OR(Sequences!$B$26="",'Slot Times'!$H$16=""),"",'Slot Times'!$H$16+Sequences!$E$26/1440)</f>
        <v/>
      </c>
      <c r="C208" s="63">
        <f>IF($B208="","",$B208+Sequences!$D$26/1440)</f>
        <v/>
      </c>
      <c r="D208" s="55">
        <f>IF(Sequences!$B$26="","",Sequences!$K$26)</f>
        <v/>
      </c>
      <c r="E208" s="55">
        <f>IF(Sequences!$B$26="","",Sequences!$L$26)</f>
        <v/>
      </c>
      <c r="F208" s="55">
        <f>IF(Sequences!$B$26="","",Sequences!$B$26)</f>
        <v/>
      </c>
      <c r="G208" s="55">
        <f>IF(OR(Sequences!$B$26="",'Slot Times'!$I$16=""),"","Team: "&amp;'Slot Times'!$I$16)</f>
        <v/>
      </c>
      <c r="H208" s="55">
        <f>IF(Sequences!$B$26="","",IF(Sequences!$F$26="Team + liaisons","Liaisons travel with this block",""))</f>
        <v/>
      </c>
      <c r="I208" s="55">
        <f>IF(Sequences!$B$26="","","PHOT-S"&amp;'Slot Times'!$B$16&amp;"-11")</f>
        <v/>
      </c>
    </row>
    <row r="209">
      <c r="A209" s="55">
        <f>IF(Sequences!$B$27="","",Sequences!$M$16)</f>
        <v/>
      </c>
      <c r="B209" s="63">
        <f>IF(OR(Sequences!$B$27="",'Slot Times'!$H$16=""),"",'Slot Times'!$H$16+Sequences!$E$27/1440)</f>
        <v/>
      </c>
      <c r="C209" s="63">
        <f>IF($B209="","",$B209+Sequences!$D$27/1440)</f>
        <v/>
      </c>
      <c r="D209" s="55">
        <f>IF(Sequences!$B$27="","",Sequences!$K$27)</f>
        <v/>
      </c>
      <c r="E209" s="55">
        <f>IF(Sequences!$B$27="","",Sequences!$L$27)</f>
        <v/>
      </c>
      <c r="F209" s="55">
        <f>IF(Sequences!$B$27="","",Sequences!$B$27)</f>
        <v/>
      </c>
      <c r="G209" s="55">
        <f>IF(OR(Sequences!$B$27="",'Slot Times'!$I$16=""),"","Team: "&amp;'Slot Times'!$I$16)</f>
        <v/>
      </c>
      <c r="H209" s="55">
        <f>IF(Sequences!$B$27="","",IF(Sequences!$F$27="Team + liaisons","Liaisons travel with this block",""))</f>
        <v/>
      </c>
      <c r="I209" s="55">
        <f>IF(Sequences!$B$27="","","PHOT-S"&amp;'Slot Times'!$B$16&amp;"-12")</f>
        <v/>
      </c>
    </row>
    <row r="210">
      <c r="A210" s="55">
        <f>IF(Sequences!$B$28="","",Sequences!$M$16)</f>
        <v/>
      </c>
      <c r="B210" s="63">
        <f>IF(OR(Sequences!$B$28="",'Slot Times'!$H$16=""),"",'Slot Times'!$H$16+Sequences!$E$28/1440)</f>
        <v/>
      </c>
      <c r="C210" s="63">
        <f>IF($B210="","",$B210+Sequences!$D$28/1440)</f>
        <v/>
      </c>
      <c r="D210" s="55">
        <f>IF(Sequences!$B$28="","",Sequences!$K$28)</f>
        <v/>
      </c>
      <c r="E210" s="55">
        <f>IF(Sequences!$B$28="","",Sequences!$L$28)</f>
        <v/>
      </c>
      <c r="F210" s="55">
        <f>IF(Sequences!$B$28="","",Sequences!$B$28)</f>
        <v/>
      </c>
      <c r="G210" s="55">
        <f>IF(OR(Sequences!$B$28="",'Slot Times'!$I$16=""),"","Team: "&amp;'Slot Times'!$I$16)</f>
        <v/>
      </c>
      <c r="H210" s="55">
        <f>IF(Sequences!$B$28="","",IF(Sequences!$F$28="Team + liaisons","Liaisons travel with this block",""))</f>
        <v/>
      </c>
      <c r="I210" s="55">
        <f>IF(Sequences!$B$28="","","PHOT-S"&amp;'Slot Times'!$B$16&amp;"-13")</f>
        <v/>
      </c>
    </row>
    <row r="211">
      <c r="A211" s="55">
        <f>IF(Sequences!$B$29="","",Sequences!$M$16)</f>
        <v/>
      </c>
      <c r="B211" s="63">
        <f>IF(OR(Sequences!$B$29="",'Slot Times'!$H$16=""),"",'Slot Times'!$H$16+Sequences!$E$29/1440)</f>
        <v/>
      </c>
      <c r="C211" s="63">
        <f>IF($B211="","",$B211+Sequences!$D$29/1440)</f>
        <v/>
      </c>
      <c r="D211" s="55">
        <f>IF(Sequences!$B$29="","",Sequences!$K$29)</f>
        <v/>
      </c>
      <c r="E211" s="55">
        <f>IF(Sequences!$B$29="","",Sequences!$L$29)</f>
        <v/>
      </c>
      <c r="F211" s="55">
        <f>IF(Sequences!$B$29="","",Sequences!$B$29)</f>
        <v/>
      </c>
      <c r="G211" s="55">
        <f>IF(OR(Sequences!$B$29="",'Slot Times'!$I$16=""),"","Team: "&amp;'Slot Times'!$I$16)</f>
        <v/>
      </c>
      <c r="H211" s="55">
        <f>IF(Sequences!$B$29="","",IF(Sequences!$F$29="Team + liaisons","Liaisons travel with this block",""))</f>
        <v/>
      </c>
      <c r="I211" s="55">
        <f>IF(Sequences!$B$29="","","PHOT-S"&amp;'Slot Times'!$B$16&amp;"-14")</f>
        <v/>
      </c>
    </row>
    <row r="212">
      <c r="A212" s="55">
        <f>IF(Sequences!$B$16="","",Sequences!$M$16)</f>
        <v/>
      </c>
      <c r="B212" s="63">
        <f>IF(OR(Sequences!$B$16="",'Slot Times'!$H$17=""),"",'Slot Times'!$H$17+Sequences!$E$16/1440)</f>
        <v/>
      </c>
      <c r="C212" s="63">
        <f>IF($B212="","",$B212+Sequences!$D$16/1440)</f>
        <v/>
      </c>
      <c r="D212" s="55">
        <f>IF(Sequences!$B$16="","",Sequences!$K$16)</f>
        <v/>
      </c>
      <c r="E212" s="55">
        <f>IF(Sequences!$B$16="","",Sequences!$L$16)</f>
        <v/>
      </c>
      <c r="F212" s="55">
        <f>IF(Sequences!$B$16="","",Sequences!$B$16)</f>
        <v/>
      </c>
      <c r="G212" s="55">
        <f>IF(OR(Sequences!$B$16="",'Slot Times'!$I$17=""),"","Team: "&amp;'Slot Times'!$I$17)</f>
        <v/>
      </c>
      <c r="H212" s="55">
        <f>IF(Sequences!$B$16="","",IF(Sequences!$F$16="Team + liaisons","Liaisons travel with this block",""))</f>
        <v/>
      </c>
      <c r="I212" s="55">
        <f>IF(Sequences!$B$16="","","PHOT-S"&amp;'Slot Times'!$B$17&amp;"-01")</f>
        <v/>
      </c>
    </row>
    <row r="213">
      <c r="A213" s="55">
        <f>IF(Sequences!$B$17="","",Sequences!$M$16)</f>
        <v/>
      </c>
      <c r="B213" s="63">
        <f>IF(OR(Sequences!$B$17="",'Slot Times'!$H$17=""),"",'Slot Times'!$H$17+Sequences!$E$17/1440)</f>
        <v/>
      </c>
      <c r="C213" s="63">
        <f>IF($B213="","",$B213+Sequences!$D$17/1440)</f>
        <v/>
      </c>
      <c r="D213" s="55">
        <f>IF(Sequences!$B$17="","",Sequences!$K$17)</f>
        <v/>
      </c>
      <c r="E213" s="55">
        <f>IF(Sequences!$B$17="","",Sequences!$L$17)</f>
        <v/>
      </c>
      <c r="F213" s="55">
        <f>IF(Sequences!$B$17="","",Sequences!$B$17)</f>
        <v/>
      </c>
      <c r="G213" s="55">
        <f>IF(OR(Sequences!$B$17="",'Slot Times'!$I$17=""),"","Team: "&amp;'Slot Times'!$I$17)</f>
        <v/>
      </c>
      <c r="H213" s="55">
        <f>IF(Sequences!$B$17="","",IF(Sequences!$F$17="Team + liaisons","Liaisons travel with this block",""))</f>
        <v/>
      </c>
      <c r="I213" s="55">
        <f>IF(Sequences!$B$17="","","PHOT-S"&amp;'Slot Times'!$B$17&amp;"-02")</f>
        <v/>
      </c>
    </row>
    <row r="214">
      <c r="A214" s="55">
        <f>IF(Sequences!$B$18="","",Sequences!$M$16)</f>
        <v/>
      </c>
      <c r="B214" s="63">
        <f>IF(OR(Sequences!$B$18="",'Slot Times'!$H$17=""),"",'Slot Times'!$H$17+Sequences!$E$18/1440)</f>
        <v/>
      </c>
      <c r="C214" s="63">
        <f>IF($B214="","",$B214+Sequences!$D$18/1440)</f>
        <v/>
      </c>
      <c r="D214" s="55">
        <f>IF(Sequences!$B$18="","",Sequences!$K$18)</f>
        <v/>
      </c>
      <c r="E214" s="55">
        <f>IF(Sequences!$B$18="","",Sequences!$L$18)</f>
        <v/>
      </c>
      <c r="F214" s="55">
        <f>IF(Sequences!$B$18="","",Sequences!$B$18)</f>
        <v/>
      </c>
      <c r="G214" s="55">
        <f>IF(OR(Sequences!$B$18="",'Slot Times'!$I$17=""),"","Team: "&amp;'Slot Times'!$I$17)</f>
        <v/>
      </c>
      <c r="H214" s="55">
        <f>IF(Sequences!$B$18="","",IF(Sequences!$F$18="Team + liaisons","Liaisons travel with this block",""))</f>
        <v/>
      </c>
      <c r="I214" s="55">
        <f>IF(Sequences!$B$18="","","PHOT-S"&amp;'Slot Times'!$B$17&amp;"-03")</f>
        <v/>
      </c>
    </row>
    <row r="215">
      <c r="A215" s="55">
        <f>IF(Sequences!$B$19="","",Sequences!$M$16)</f>
        <v/>
      </c>
      <c r="B215" s="63">
        <f>IF(OR(Sequences!$B$19="",'Slot Times'!$H$17=""),"",'Slot Times'!$H$17+Sequences!$E$19/1440)</f>
        <v/>
      </c>
      <c r="C215" s="63">
        <f>IF($B215="","",$B215+Sequences!$D$19/1440)</f>
        <v/>
      </c>
      <c r="D215" s="55">
        <f>IF(Sequences!$B$19="","",Sequences!$K$19)</f>
        <v/>
      </c>
      <c r="E215" s="55">
        <f>IF(Sequences!$B$19="","",Sequences!$L$19)</f>
        <v/>
      </c>
      <c r="F215" s="55">
        <f>IF(Sequences!$B$19="","",Sequences!$B$19)</f>
        <v/>
      </c>
      <c r="G215" s="55">
        <f>IF(OR(Sequences!$B$19="",'Slot Times'!$I$17=""),"","Team: "&amp;'Slot Times'!$I$17)</f>
        <v/>
      </c>
      <c r="H215" s="55">
        <f>IF(Sequences!$B$19="","",IF(Sequences!$F$19="Team + liaisons","Liaisons travel with this block",""))</f>
        <v/>
      </c>
      <c r="I215" s="55">
        <f>IF(Sequences!$B$19="","","PHOT-S"&amp;'Slot Times'!$B$17&amp;"-04")</f>
        <v/>
      </c>
    </row>
    <row r="216">
      <c r="A216" s="55">
        <f>IF(Sequences!$B$20="","",Sequences!$M$16)</f>
        <v/>
      </c>
      <c r="B216" s="63">
        <f>IF(OR(Sequences!$B$20="",'Slot Times'!$H$17=""),"",'Slot Times'!$H$17+Sequences!$E$20/1440)</f>
        <v/>
      </c>
      <c r="C216" s="63">
        <f>IF($B216="","",$B216+Sequences!$D$20/1440)</f>
        <v/>
      </c>
      <c r="D216" s="55">
        <f>IF(Sequences!$B$20="","",Sequences!$K$20)</f>
        <v/>
      </c>
      <c r="E216" s="55">
        <f>IF(Sequences!$B$20="","",Sequences!$L$20)</f>
        <v/>
      </c>
      <c r="F216" s="55">
        <f>IF(Sequences!$B$20="","",Sequences!$B$20)</f>
        <v/>
      </c>
      <c r="G216" s="55">
        <f>IF(OR(Sequences!$B$20="",'Slot Times'!$I$17=""),"","Team: "&amp;'Slot Times'!$I$17)</f>
        <v/>
      </c>
      <c r="H216" s="55">
        <f>IF(Sequences!$B$20="","",IF(Sequences!$F$20="Team + liaisons","Liaisons travel with this block",""))</f>
        <v/>
      </c>
      <c r="I216" s="55">
        <f>IF(Sequences!$B$20="","","PHOT-S"&amp;'Slot Times'!$B$17&amp;"-05")</f>
        <v/>
      </c>
    </row>
    <row r="217">
      <c r="A217" s="55">
        <f>IF(Sequences!$B$21="","",Sequences!$M$16)</f>
        <v/>
      </c>
      <c r="B217" s="63">
        <f>IF(OR(Sequences!$B$21="",'Slot Times'!$H$17=""),"",'Slot Times'!$H$17+Sequences!$E$21/1440)</f>
        <v/>
      </c>
      <c r="C217" s="63">
        <f>IF($B217="","",$B217+Sequences!$D$21/1440)</f>
        <v/>
      </c>
      <c r="D217" s="55">
        <f>IF(Sequences!$B$21="","",Sequences!$K$21)</f>
        <v/>
      </c>
      <c r="E217" s="55">
        <f>IF(Sequences!$B$21="","",Sequences!$L$21)</f>
        <v/>
      </c>
      <c r="F217" s="55">
        <f>IF(Sequences!$B$21="","",Sequences!$B$21)</f>
        <v/>
      </c>
      <c r="G217" s="55">
        <f>IF(OR(Sequences!$B$21="",'Slot Times'!$I$17=""),"","Team: "&amp;'Slot Times'!$I$17)</f>
        <v/>
      </c>
      <c r="H217" s="55">
        <f>IF(Sequences!$B$21="","",IF(Sequences!$F$21="Team + liaisons","Liaisons travel with this block",""))</f>
        <v/>
      </c>
      <c r="I217" s="55">
        <f>IF(Sequences!$B$21="","","PHOT-S"&amp;'Slot Times'!$B$17&amp;"-06")</f>
        <v/>
      </c>
    </row>
    <row r="218">
      <c r="A218" s="55">
        <f>IF(Sequences!$B$22="","",Sequences!$M$16)</f>
        <v/>
      </c>
      <c r="B218" s="63">
        <f>IF(OR(Sequences!$B$22="",'Slot Times'!$H$17=""),"",'Slot Times'!$H$17+Sequences!$E$22/1440)</f>
        <v/>
      </c>
      <c r="C218" s="63">
        <f>IF($B218="","",$B218+Sequences!$D$22/1440)</f>
        <v/>
      </c>
      <c r="D218" s="55">
        <f>IF(Sequences!$B$22="","",Sequences!$K$22)</f>
        <v/>
      </c>
      <c r="E218" s="55">
        <f>IF(Sequences!$B$22="","",Sequences!$L$22)</f>
        <v/>
      </c>
      <c r="F218" s="55">
        <f>IF(Sequences!$B$22="","",Sequences!$B$22)</f>
        <v/>
      </c>
      <c r="G218" s="55">
        <f>IF(OR(Sequences!$B$22="",'Slot Times'!$I$17=""),"","Team: "&amp;'Slot Times'!$I$17)</f>
        <v/>
      </c>
      <c r="H218" s="55">
        <f>IF(Sequences!$B$22="","",IF(Sequences!$F$22="Team + liaisons","Liaisons travel with this block",""))</f>
        <v/>
      </c>
      <c r="I218" s="55">
        <f>IF(Sequences!$B$22="","","PHOT-S"&amp;'Slot Times'!$B$17&amp;"-07")</f>
        <v/>
      </c>
    </row>
    <row r="219">
      <c r="A219" s="55">
        <f>IF(Sequences!$B$23="","",Sequences!$M$16)</f>
        <v/>
      </c>
      <c r="B219" s="63">
        <f>IF(OR(Sequences!$B$23="",'Slot Times'!$H$17=""),"",'Slot Times'!$H$17+Sequences!$E$23/1440)</f>
        <v/>
      </c>
      <c r="C219" s="63">
        <f>IF($B219="","",$B219+Sequences!$D$23/1440)</f>
        <v/>
      </c>
      <c r="D219" s="55">
        <f>IF(Sequences!$B$23="","",Sequences!$K$23)</f>
        <v/>
      </c>
      <c r="E219" s="55">
        <f>IF(Sequences!$B$23="","",Sequences!$L$23)</f>
        <v/>
      </c>
      <c r="F219" s="55">
        <f>IF(Sequences!$B$23="","",Sequences!$B$23)</f>
        <v/>
      </c>
      <c r="G219" s="55">
        <f>IF(OR(Sequences!$B$23="",'Slot Times'!$I$17=""),"","Team: "&amp;'Slot Times'!$I$17)</f>
        <v/>
      </c>
      <c r="H219" s="55">
        <f>IF(Sequences!$B$23="","",IF(Sequences!$F$23="Team + liaisons","Liaisons travel with this block",""))</f>
        <v/>
      </c>
      <c r="I219" s="55">
        <f>IF(Sequences!$B$23="","","PHOT-S"&amp;'Slot Times'!$B$17&amp;"-08")</f>
        <v/>
      </c>
    </row>
    <row r="220">
      <c r="A220" s="55">
        <f>IF(Sequences!$B$24="","",Sequences!$M$16)</f>
        <v/>
      </c>
      <c r="B220" s="63">
        <f>IF(OR(Sequences!$B$24="",'Slot Times'!$H$17=""),"",'Slot Times'!$H$17+Sequences!$E$24/1440)</f>
        <v/>
      </c>
      <c r="C220" s="63">
        <f>IF($B220="","",$B220+Sequences!$D$24/1440)</f>
        <v/>
      </c>
      <c r="D220" s="55">
        <f>IF(Sequences!$B$24="","",Sequences!$K$24)</f>
        <v/>
      </c>
      <c r="E220" s="55">
        <f>IF(Sequences!$B$24="","",Sequences!$L$24)</f>
        <v/>
      </c>
      <c r="F220" s="55">
        <f>IF(Sequences!$B$24="","",Sequences!$B$24)</f>
        <v/>
      </c>
      <c r="G220" s="55">
        <f>IF(OR(Sequences!$B$24="",'Slot Times'!$I$17=""),"","Team: "&amp;'Slot Times'!$I$17)</f>
        <v/>
      </c>
      <c r="H220" s="55">
        <f>IF(Sequences!$B$24="","",IF(Sequences!$F$24="Team + liaisons","Liaisons travel with this block",""))</f>
        <v/>
      </c>
      <c r="I220" s="55">
        <f>IF(Sequences!$B$24="","","PHOT-S"&amp;'Slot Times'!$B$17&amp;"-09")</f>
        <v/>
      </c>
    </row>
    <row r="221">
      <c r="A221" s="55">
        <f>IF(Sequences!$B$25="","",Sequences!$M$16)</f>
        <v/>
      </c>
      <c r="B221" s="63">
        <f>IF(OR(Sequences!$B$25="",'Slot Times'!$H$17=""),"",'Slot Times'!$H$17+Sequences!$E$25/1440)</f>
        <v/>
      </c>
      <c r="C221" s="63">
        <f>IF($B221="","",$B221+Sequences!$D$25/1440)</f>
        <v/>
      </c>
      <c r="D221" s="55">
        <f>IF(Sequences!$B$25="","",Sequences!$K$25)</f>
        <v/>
      </c>
      <c r="E221" s="55">
        <f>IF(Sequences!$B$25="","",Sequences!$L$25)</f>
        <v/>
      </c>
      <c r="F221" s="55">
        <f>IF(Sequences!$B$25="","",Sequences!$B$25)</f>
        <v/>
      </c>
      <c r="G221" s="55">
        <f>IF(OR(Sequences!$B$25="",'Slot Times'!$I$17=""),"","Team: "&amp;'Slot Times'!$I$17)</f>
        <v/>
      </c>
      <c r="H221" s="55">
        <f>IF(Sequences!$B$25="","",IF(Sequences!$F$25="Team + liaisons","Liaisons travel with this block",""))</f>
        <v/>
      </c>
      <c r="I221" s="55">
        <f>IF(Sequences!$B$25="","","PHOT-S"&amp;'Slot Times'!$B$17&amp;"-10")</f>
        <v/>
      </c>
    </row>
    <row r="222">
      <c r="A222" s="55">
        <f>IF(Sequences!$B$26="","",Sequences!$M$16)</f>
        <v/>
      </c>
      <c r="B222" s="63">
        <f>IF(OR(Sequences!$B$26="",'Slot Times'!$H$17=""),"",'Slot Times'!$H$17+Sequences!$E$26/1440)</f>
        <v/>
      </c>
      <c r="C222" s="63">
        <f>IF($B222="","",$B222+Sequences!$D$26/1440)</f>
        <v/>
      </c>
      <c r="D222" s="55">
        <f>IF(Sequences!$B$26="","",Sequences!$K$26)</f>
        <v/>
      </c>
      <c r="E222" s="55">
        <f>IF(Sequences!$B$26="","",Sequences!$L$26)</f>
        <v/>
      </c>
      <c r="F222" s="55">
        <f>IF(Sequences!$B$26="","",Sequences!$B$26)</f>
        <v/>
      </c>
      <c r="G222" s="55">
        <f>IF(OR(Sequences!$B$26="",'Slot Times'!$I$17=""),"","Team: "&amp;'Slot Times'!$I$17)</f>
        <v/>
      </c>
      <c r="H222" s="55">
        <f>IF(Sequences!$B$26="","",IF(Sequences!$F$26="Team + liaisons","Liaisons travel with this block",""))</f>
        <v/>
      </c>
      <c r="I222" s="55">
        <f>IF(Sequences!$B$26="","","PHOT-S"&amp;'Slot Times'!$B$17&amp;"-11")</f>
        <v/>
      </c>
    </row>
    <row r="223">
      <c r="A223" s="55">
        <f>IF(Sequences!$B$27="","",Sequences!$M$16)</f>
        <v/>
      </c>
      <c r="B223" s="63">
        <f>IF(OR(Sequences!$B$27="",'Slot Times'!$H$17=""),"",'Slot Times'!$H$17+Sequences!$E$27/1440)</f>
        <v/>
      </c>
      <c r="C223" s="63">
        <f>IF($B223="","",$B223+Sequences!$D$27/1440)</f>
        <v/>
      </c>
      <c r="D223" s="55">
        <f>IF(Sequences!$B$27="","",Sequences!$K$27)</f>
        <v/>
      </c>
      <c r="E223" s="55">
        <f>IF(Sequences!$B$27="","",Sequences!$L$27)</f>
        <v/>
      </c>
      <c r="F223" s="55">
        <f>IF(Sequences!$B$27="","",Sequences!$B$27)</f>
        <v/>
      </c>
      <c r="G223" s="55">
        <f>IF(OR(Sequences!$B$27="",'Slot Times'!$I$17=""),"","Team: "&amp;'Slot Times'!$I$17)</f>
        <v/>
      </c>
      <c r="H223" s="55">
        <f>IF(Sequences!$B$27="","",IF(Sequences!$F$27="Team + liaisons","Liaisons travel with this block",""))</f>
        <v/>
      </c>
      <c r="I223" s="55">
        <f>IF(Sequences!$B$27="","","PHOT-S"&amp;'Slot Times'!$B$17&amp;"-12")</f>
        <v/>
      </c>
    </row>
    <row r="224">
      <c r="A224" s="55">
        <f>IF(Sequences!$B$28="","",Sequences!$M$16)</f>
        <v/>
      </c>
      <c r="B224" s="63">
        <f>IF(OR(Sequences!$B$28="",'Slot Times'!$H$17=""),"",'Slot Times'!$H$17+Sequences!$E$28/1440)</f>
        <v/>
      </c>
      <c r="C224" s="63">
        <f>IF($B224="","",$B224+Sequences!$D$28/1440)</f>
        <v/>
      </c>
      <c r="D224" s="55">
        <f>IF(Sequences!$B$28="","",Sequences!$K$28)</f>
        <v/>
      </c>
      <c r="E224" s="55">
        <f>IF(Sequences!$B$28="","",Sequences!$L$28)</f>
        <v/>
      </c>
      <c r="F224" s="55">
        <f>IF(Sequences!$B$28="","",Sequences!$B$28)</f>
        <v/>
      </c>
      <c r="G224" s="55">
        <f>IF(OR(Sequences!$B$28="",'Slot Times'!$I$17=""),"","Team: "&amp;'Slot Times'!$I$17)</f>
        <v/>
      </c>
      <c r="H224" s="55">
        <f>IF(Sequences!$B$28="","",IF(Sequences!$F$28="Team + liaisons","Liaisons travel with this block",""))</f>
        <v/>
      </c>
      <c r="I224" s="55">
        <f>IF(Sequences!$B$28="","","PHOT-S"&amp;'Slot Times'!$B$17&amp;"-13")</f>
        <v/>
      </c>
    </row>
    <row r="225">
      <c r="A225" s="55">
        <f>IF(Sequences!$B$29="","",Sequences!$M$16)</f>
        <v/>
      </c>
      <c r="B225" s="63">
        <f>IF(OR(Sequences!$B$29="",'Slot Times'!$H$17=""),"",'Slot Times'!$H$17+Sequences!$E$29/1440)</f>
        <v/>
      </c>
      <c r="C225" s="63">
        <f>IF($B225="","",$B225+Sequences!$D$29/1440)</f>
        <v/>
      </c>
      <c r="D225" s="55">
        <f>IF(Sequences!$B$29="","",Sequences!$K$29)</f>
        <v/>
      </c>
      <c r="E225" s="55">
        <f>IF(Sequences!$B$29="","",Sequences!$L$29)</f>
        <v/>
      </c>
      <c r="F225" s="55">
        <f>IF(Sequences!$B$29="","",Sequences!$B$29)</f>
        <v/>
      </c>
      <c r="G225" s="55">
        <f>IF(OR(Sequences!$B$29="",'Slot Times'!$I$17=""),"","Team: "&amp;'Slot Times'!$I$17)</f>
        <v/>
      </c>
      <c r="H225" s="55">
        <f>IF(Sequences!$B$29="","",IF(Sequences!$F$29="Team + liaisons","Liaisons travel with this block",""))</f>
        <v/>
      </c>
      <c r="I225" s="55">
        <f>IF(Sequences!$B$29="","","PHOT-S"&amp;'Slot Times'!$B$17&amp;"-14")</f>
        <v/>
      </c>
    </row>
    <row r="226">
      <c r="A226" s="55">
        <f>IF(Sequences!$B$30="","",Sequences!$M$30)</f>
        <v/>
      </c>
      <c r="B226" s="63">
        <f>IF(OR(Sequences!$B$30="",'Slot Times'!$H$18=""),"",'Slot Times'!$H$18+Sequences!$E$30/1440)</f>
        <v/>
      </c>
      <c r="C226" s="63">
        <f>IF($B226="","",$B226+Sequences!$D$30/1440)</f>
        <v/>
      </c>
      <c r="D226" s="55">
        <f>IF(Sequences!$B$30="","",Sequences!$K$30)</f>
        <v/>
      </c>
      <c r="E226" s="55">
        <f>IF(Sequences!$B$30="","",Sequences!$L$30)</f>
        <v/>
      </c>
      <c r="F226" s="55">
        <f>IF(Sequences!$B$30="","",Sequences!$B$30)</f>
        <v/>
      </c>
      <c r="G226" s="55">
        <f>IF(OR(Sequences!$B$30="",'Slot Times'!$I$18=""),"","Team: "&amp;'Slot Times'!$I$18)</f>
        <v/>
      </c>
      <c r="H226" s="55">
        <f>IF(Sequences!$B$30="","",IF(Sequences!$F$30="Team + liaisons","Liaisons travel with this block",""))</f>
        <v/>
      </c>
      <c r="I226" s="55">
        <f>IF(Sequences!$B$30="","","SHOW-S"&amp;'Slot Times'!$B$18&amp;"-01")</f>
        <v/>
      </c>
    </row>
    <row r="227">
      <c r="A227" s="55">
        <f>IF(Sequences!$B$31="","",Sequences!$M$30)</f>
        <v/>
      </c>
      <c r="B227" s="63">
        <f>IF(OR(Sequences!$B$31="",'Slot Times'!$H$18=""),"",'Slot Times'!$H$18+Sequences!$E$31/1440)</f>
        <v/>
      </c>
      <c r="C227" s="63">
        <f>IF($B227="","",$B227+Sequences!$D$31/1440)</f>
        <v/>
      </c>
      <c r="D227" s="55">
        <f>IF(Sequences!$B$31="","",Sequences!$K$31)</f>
        <v/>
      </c>
      <c r="E227" s="55">
        <f>IF(Sequences!$B$31="","",Sequences!$L$31)</f>
        <v/>
      </c>
      <c r="F227" s="55">
        <f>IF(Sequences!$B$31="","",Sequences!$B$31)</f>
        <v/>
      </c>
      <c r="G227" s="55">
        <f>IF(OR(Sequences!$B$31="",'Slot Times'!$I$18=""),"","Team: "&amp;'Slot Times'!$I$18)</f>
        <v/>
      </c>
      <c r="H227" s="55">
        <f>IF(Sequences!$B$31="","",IF(Sequences!$F$31="Team + liaisons","Liaisons travel with this block",""))</f>
        <v/>
      </c>
      <c r="I227" s="55">
        <f>IF(Sequences!$B$31="","","SHOW-S"&amp;'Slot Times'!$B$18&amp;"-02")</f>
        <v/>
      </c>
    </row>
    <row r="228">
      <c r="A228" s="55">
        <f>IF(Sequences!$B$32="","",Sequences!$M$30)</f>
        <v/>
      </c>
      <c r="B228" s="63">
        <f>IF(OR(Sequences!$B$32="",'Slot Times'!$H$18=""),"",'Slot Times'!$H$18+Sequences!$E$32/1440)</f>
        <v/>
      </c>
      <c r="C228" s="63">
        <f>IF($B228="","",$B228+Sequences!$D$32/1440)</f>
        <v/>
      </c>
      <c r="D228" s="55">
        <f>IF(Sequences!$B$32="","",Sequences!$K$32)</f>
        <v/>
      </c>
      <c r="E228" s="55">
        <f>IF(Sequences!$B$32="","",Sequences!$L$32)</f>
        <v/>
      </c>
      <c r="F228" s="55">
        <f>IF(Sequences!$B$32="","",Sequences!$B$32)</f>
        <v/>
      </c>
      <c r="G228" s="55">
        <f>IF(OR(Sequences!$B$32="",'Slot Times'!$I$18=""),"","Team: "&amp;'Slot Times'!$I$18)</f>
        <v/>
      </c>
      <c r="H228" s="55">
        <f>IF(Sequences!$B$32="","",IF(Sequences!$F$32="Team + liaisons","Liaisons travel with this block",""))</f>
        <v/>
      </c>
      <c r="I228" s="55">
        <f>IF(Sequences!$B$32="","","SHOW-S"&amp;'Slot Times'!$B$18&amp;"-03")</f>
        <v/>
      </c>
    </row>
    <row r="229">
      <c r="A229" s="55">
        <f>IF(Sequences!$B$33="","",Sequences!$M$30)</f>
        <v/>
      </c>
      <c r="B229" s="63">
        <f>IF(OR(Sequences!$B$33="",'Slot Times'!$H$18=""),"",'Slot Times'!$H$18+Sequences!$E$33/1440)</f>
        <v/>
      </c>
      <c r="C229" s="63">
        <f>IF($B229="","",$B229+Sequences!$D$33/1440)</f>
        <v/>
      </c>
      <c r="D229" s="55">
        <f>IF(Sequences!$B$33="","",Sequences!$K$33)</f>
        <v/>
      </c>
      <c r="E229" s="55">
        <f>IF(Sequences!$B$33="","",Sequences!$L$33)</f>
        <v/>
      </c>
      <c r="F229" s="55">
        <f>IF(Sequences!$B$33="","",Sequences!$B$33)</f>
        <v/>
      </c>
      <c r="G229" s="55">
        <f>IF(OR(Sequences!$B$33="",'Slot Times'!$I$18=""),"","Team: "&amp;'Slot Times'!$I$18)</f>
        <v/>
      </c>
      <c r="H229" s="55">
        <f>IF(Sequences!$B$33="","",IF(Sequences!$F$33="Team + liaisons","Liaisons travel with this block",""))</f>
        <v/>
      </c>
      <c r="I229" s="55">
        <f>IF(Sequences!$B$33="","","SHOW-S"&amp;'Slot Times'!$B$18&amp;"-04")</f>
        <v/>
      </c>
    </row>
    <row r="230">
      <c r="A230" s="55">
        <f>IF(Sequences!$B$34="","",Sequences!$M$30)</f>
        <v/>
      </c>
      <c r="B230" s="63">
        <f>IF(OR(Sequences!$B$34="",'Slot Times'!$H$18=""),"",'Slot Times'!$H$18+Sequences!$E$34/1440)</f>
        <v/>
      </c>
      <c r="C230" s="63">
        <f>IF($B230="","",$B230+Sequences!$D$34/1440)</f>
        <v/>
      </c>
      <c r="D230" s="55">
        <f>IF(Sequences!$B$34="","",Sequences!$K$34)</f>
        <v/>
      </c>
      <c r="E230" s="55">
        <f>IF(Sequences!$B$34="","",Sequences!$L$34)</f>
        <v/>
      </c>
      <c r="F230" s="55">
        <f>IF(Sequences!$B$34="","",Sequences!$B$34)</f>
        <v/>
      </c>
      <c r="G230" s="55">
        <f>IF(OR(Sequences!$B$34="",'Slot Times'!$I$18=""),"","Team: "&amp;'Slot Times'!$I$18)</f>
        <v/>
      </c>
      <c r="H230" s="55">
        <f>IF(Sequences!$B$34="","",IF(Sequences!$F$34="Team + liaisons","Liaisons travel with this block",""))</f>
        <v/>
      </c>
      <c r="I230" s="55">
        <f>IF(Sequences!$B$34="","","SHOW-S"&amp;'Slot Times'!$B$18&amp;"-05")</f>
        <v/>
      </c>
    </row>
    <row r="231">
      <c r="A231" s="55">
        <f>IF(Sequences!$B$35="","",Sequences!$M$30)</f>
        <v/>
      </c>
      <c r="B231" s="63">
        <f>IF(OR(Sequences!$B$35="",'Slot Times'!$H$18=""),"",'Slot Times'!$H$18+Sequences!$E$35/1440)</f>
        <v/>
      </c>
      <c r="C231" s="63">
        <f>IF($B231="","",$B231+Sequences!$D$35/1440)</f>
        <v/>
      </c>
      <c r="D231" s="55">
        <f>IF(Sequences!$B$35="","",Sequences!$K$35)</f>
        <v/>
      </c>
      <c r="E231" s="55">
        <f>IF(Sequences!$B$35="","",Sequences!$L$35)</f>
        <v/>
      </c>
      <c r="F231" s="55">
        <f>IF(Sequences!$B$35="","",Sequences!$B$35)</f>
        <v/>
      </c>
      <c r="G231" s="55">
        <f>IF(OR(Sequences!$B$35="",'Slot Times'!$I$18=""),"","Team: "&amp;'Slot Times'!$I$18)</f>
        <v/>
      </c>
      <c r="H231" s="55">
        <f>IF(Sequences!$B$35="","",IF(Sequences!$F$35="Team + liaisons","Liaisons travel with this block",""))</f>
        <v/>
      </c>
      <c r="I231" s="55">
        <f>IF(Sequences!$B$35="","","SHOW-S"&amp;'Slot Times'!$B$18&amp;"-06")</f>
        <v/>
      </c>
    </row>
    <row r="232">
      <c r="A232" s="55">
        <f>IF(Sequences!$B$36="","",Sequences!$M$30)</f>
        <v/>
      </c>
      <c r="B232" s="63">
        <f>IF(OR(Sequences!$B$36="",'Slot Times'!$H$18=""),"",'Slot Times'!$H$18+Sequences!$E$36/1440)</f>
        <v/>
      </c>
      <c r="C232" s="63">
        <f>IF($B232="","",$B232+Sequences!$D$36/1440)</f>
        <v/>
      </c>
      <c r="D232" s="55">
        <f>IF(Sequences!$B$36="","",Sequences!$K$36)</f>
        <v/>
      </c>
      <c r="E232" s="55">
        <f>IF(Sequences!$B$36="","",Sequences!$L$36)</f>
        <v/>
      </c>
      <c r="F232" s="55">
        <f>IF(Sequences!$B$36="","",Sequences!$B$36)</f>
        <v/>
      </c>
      <c r="G232" s="55">
        <f>IF(OR(Sequences!$B$36="",'Slot Times'!$I$18=""),"","Team: "&amp;'Slot Times'!$I$18)</f>
        <v/>
      </c>
      <c r="H232" s="55">
        <f>IF(Sequences!$B$36="","",IF(Sequences!$F$36="Team + liaisons","Liaisons travel with this block",""))</f>
        <v/>
      </c>
      <c r="I232" s="55">
        <f>IF(Sequences!$B$36="","","SHOW-S"&amp;'Slot Times'!$B$18&amp;"-07")</f>
        <v/>
      </c>
    </row>
    <row r="233">
      <c r="A233" s="55">
        <f>IF(Sequences!$B$37="","",Sequences!$M$30)</f>
        <v/>
      </c>
      <c r="B233" s="63">
        <f>IF(OR(Sequences!$B$37="",'Slot Times'!$H$18=""),"",'Slot Times'!$H$18+Sequences!$E$37/1440)</f>
        <v/>
      </c>
      <c r="C233" s="63">
        <f>IF($B233="","",$B233+Sequences!$D$37/1440)</f>
        <v/>
      </c>
      <c r="D233" s="55">
        <f>IF(Sequences!$B$37="","",Sequences!$K$37)</f>
        <v/>
      </c>
      <c r="E233" s="55">
        <f>IF(Sequences!$B$37="","",Sequences!$L$37)</f>
        <v/>
      </c>
      <c r="F233" s="55">
        <f>IF(Sequences!$B$37="","",Sequences!$B$37)</f>
        <v/>
      </c>
      <c r="G233" s="55">
        <f>IF(OR(Sequences!$B$37="",'Slot Times'!$I$18=""),"","Team: "&amp;'Slot Times'!$I$18)</f>
        <v/>
      </c>
      <c r="H233" s="55">
        <f>IF(Sequences!$B$37="","",IF(Sequences!$F$37="Team + liaisons","Liaisons travel with this block",""))</f>
        <v/>
      </c>
      <c r="I233" s="55">
        <f>IF(Sequences!$B$37="","","SHOW-S"&amp;'Slot Times'!$B$18&amp;"-08")</f>
        <v/>
      </c>
    </row>
    <row r="234">
      <c r="A234" s="55">
        <f>IF(Sequences!$B$38="","",Sequences!$M$30)</f>
        <v/>
      </c>
      <c r="B234" s="63">
        <f>IF(OR(Sequences!$B$38="",'Slot Times'!$H$18=""),"",'Slot Times'!$H$18+Sequences!$E$38/1440)</f>
        <v/>
      </c>
      <c r="C234" s="63">
        <f>IF($B234="","",$B234+Sequences!$D$38/1440)</f>
        <v/>
      </c>
      <c r="D234" s="55">
        <f>IF(Sequences!$B$38="","",Sequences!$K$38)</f>
        <v/>
      </c>
      <c r="E234" s="55">
        <f>IF(Sequences!$B$38="","",Sequences!$L$38)</f>
        <v/>
      </c>
      <c r="F234" s="55">
        <f>IF(Sequences!$B$38="","",Sequences!$B$38)</f>
        <v/>
      </c>
      <c r="G234" s="55">
        <f>IF(OR(Sequences!$B$38="",'Slot Times'!$I$18=""),"","Team: "&amp;'Slot Times'!$I$18)</f>
        <v/>
      </c>
      <c r="H234" s="55">
        <f>IF(Sequences!$B$38="","",IF(Sequences!$F$38="Team + liaisons","Liaisons travel with this block",""))</f>
        <v/>
      </c>
      <c r="I234" s="55">
        <f>IF(Sequences!$B$38="","","SHOW-S"&amp;'Slot Times'!$B$18&amp;"-09")</f>
        <v/>
      </c>
    </row>
    <row r="235">
      <c r="A235" s="55">
        <f>IF(Sequences!$B$39="","",Sequences!$M$30)</f>
        <v/>
      </c>
      <c r="B235" s="63">
        <f>IF(OR(Sequences!$B$39="",'Slot Times'!$H$18=""),"",'Slot Times'!$H$18+Sequences!$E$39/1440)</f>
        <v/>
      </c>
      <c r="C235" s="63">
        <f>IF($B235="","",$B235+Sequences!$D$39/1440)</f>
        <v/>
      </c>
      <c r="D235" s="55">
        <f>IF(Sequences!$B$39="","",Sequences!$K$39)</f>
        <v/>
      </c>
      <c r="E235" s="55">
        <f>IF(Sequences!$B$39="","",Sequences!$L$39)</f>
        <v/>
      </c>
      <c r="F235" s="55">
        <f>IF(Sequences!$B$39="","",Sequences!$B$39)</f>
        <v/>
      </c>
      <c r="G235" s="55">
        <f>IF(OR(Sequences!$B$39="",'Slot Times'!$I$18=""),"","Team: "&amp;'Slot Times'!$I$18)</f>
        <v/>
      </c>
      <c r="H235" s="55">
        <f>IF(Sequences!$B$39="","",IF(Sequences!$F$39="Team + liaisons","Liaisons travel with this block",""))</f>
        <v/>
      </c>
      <c r="I235" s="55">
        <f>IF(Sequences!$B$39="","","SHOW-S"&amp;'Slot Times'!$B$18&amp;"-10")</f>
        <v/>
      </c>
    </row>
    <row r="236">
      <c r="A236" s="55">
        <f>IF(Sequences!$B$40="","",Sequences!$M$30)</f>
        <v/>
      </c>
      <c r="B236" s="63">
        <f>IF(OR(Sequences!$B$40="",'Slot Times'!$H$18=""),"",'Slot Times'!$H$18+Sequences!$E$40/1440)</f>
        <v/>
      </c>
      <c r="C236" s="63">
        <f>IF($B236="","",$B236+Sequences!$D$40/1440)</f>
        <v/>
      </c>
      <c r="D236" s="55">
        <f>IF(Sequences!$B$40="","",Sequences!$K$40)</f>
        <v/>
      </c>
      <c r="E236" s="55">
        <f>IF(Sequences!$B$40="","",Sequences!$L$40)</f>
        <v/>
      </c>
      <c r="F236" s="55">
        <f>IF(Sequences!$B$40="","",Sequences!$B$40)</f>
        <v/>
      </c>
      <c r="G236" s="55">
        <f>IF(OR(Sequences!$B$40="",'Slot Times'!$I$18=""),"","Team: "&amp;'Slot Times'!$I$18)</f>
        <v/>
      </c>
      <c r="H236" s="55">
        <f>IF(Sequences!$B$40="","",IF(Sequences!$F$40="Team + liaisons","Liaisons travel with this block",""))</f>
        <v/>
      </c>
      <c r="I236" s="55">
        <f>IF(Sequences!$B$40="","","SHOW-S"&amp;'Slot Times'!$B$18&amp;"-11")</f>
        <v/>
      </c>
    </row>
    <row r="237">
      <c r="A237" s="55">
        <f>IF(Sequences!$B$41="","",Sequences!$M$30)</f>
        <v/>
      </c>
      <c r="B237" s="63">
        <f>IF(OR(Sequences!$B$41="",'Slot Times'!$H$18=""),"",'Slot Times'!$H$18+Sequences!$E$41/1440)</f>
        <v/>
      </c>
      <c r="C237" s="63">
        <f>IF($B237="","",$B237+Sequences!$D$41/1440)</f>
        <v/>
      </c>
      <c r="D237" s="55">
        <f>IF(Sequences!$B$41="","",Sequences!$K$41)</f>
        <v/>
      </c>
      <c r="E237" s="55">
        <f>IF(Sequences!$B$41="","",Sequences!$L$41)</f>
        <v/>
      </c>
      <c r="F237" s="55">
        <f>IF(Sequences!$B$41="","",Sequences!$B$41)</f>
        <v/>
      </c>
      <c r="G237" s="55">
        <f>IF(OR(Sequences!$B$41="",'Slot Times'!$I$18=""),"","Team: "&amp;'Slot Times'!$I$18)</f>
        <v/>
      </c>
      <c r="H237" s="55">
        <f>IF(Sequences!$B$41="","",IF(Sequences!$F$41="Team + liaisons","Liaisons travel with this block",""))</f>
        <v/>
      </c>
      <c r="I237" s="55">
        <f>IF(Sequences!$B$41="","","SHOW-S"&amp;'Slot Times'!$B$18&amp;"-12")</f>
        <v/>
      </c>
    </row>
    <row r="238">
      <c r="A238" s="55">
        <f>IF(Sequences!$B$42="","",Sequences!$M$30)</f>
        <v/>
      </c>
      <c r="B238" s="63">
        <f>IF(OR(Sequences!$B$42="",'Slot Times'!$H$18=""),"",'Slot Times'!$H$18+Sequences!$E$42/1440)</f>
        <v/>
      </c>
      <c r="C238" s="63">
        <f>IF($B238="","",$B238+Sequences!$D$42/1440)</f>
        <v/>
      </c>
      <c r="D238" s="55">
        <f>IF(Sequences!$B$42="","",Sequences!$K$42)</f>
        <v/>
      </c>
      <c r="E238" s="55">
        <f>IF(Sequences!$B$42="","",Sequences!$L$42)</f>
        <v/>
      </c>
      <c r="F238" s="55">
        <f>IF(Sequences!$B$42="","",Sequences!$B$42)</f>
        <v/>
      </c>
      <c r="G238" s="55">
        <f>IF(OR(Sequences!$B$42="",'Slot Times'!$I$18=""),"","Team: "&amp;'Slot Times'!$I$18)</f>
        <v/>
      </c>
      <c r="H238" s="55">
        <f>IF(Sequences!$B$42="","",IF(Sequences!$F$42="Team + liaisons","Liaisons travel with this block",""))</f>
        <v/>
      </c>
      <c r="I238" s="55">
        <f>IF(Sequences!$B$42="","","SHOW-S"&amp;'Slot Times'!$B$18&amp;"-13")</f>
        <v/>
      </c>
    </row>
    <row r="239">
      <c r="A239" s="55">
        <f>IF(Sequences!$B$43="","",Sequences!$M$30)</f>
        <v/>
      </c>
      <c r="B239" s="63">
        <f>IF(OR(Sequences!$B$43="",'Slot Times'!$H$18=""),"",'Slot Times'!$H$18+Sequences!$E$43/1440)</f>
        <v/>
      </c>
      <c r="C239" s="63">
        <f>IF($B239="","",$B239+Sequences!$D$43/1440)</f>
        <v/>
      </c>
      <c r="D239" s="55">
        <f>IF(Sequences!$B$43="","",Sequences!$K$43)</f>
        <v/>
      </c>
      <c r="E239" s="55">
        <f>IF(Sequences!$B$43="","",Sequences!$L$43)</f>
        <v/>
      </c>
      <c r="F239" s="55">
        <f>IF(Sequences!$B$43="","",Sequences!$B$43)</f>
        <v/>
      </c>
      <c r="G239" s="55">
        <f>IF(OR(Sequences!$B$43="",'Slot Times'!$I$18=""),"","Team: "&amp;'Slot Times'!$I$18)</f>
        <v/>
      </c>
      <c r="H239" s="55">
        <f>IF(Sequences!$B$43="","",IF(Sequences!$F$43="Team + liaisons","Liaisons travel with this block",""))</f>
        <v/>
      </c>
      <c r="I239" s="55">
        <f>IF(Sequences!$B$43="","","SHOW-S"&amp;'Slot Times'!$B$18&amp;"-14")</f>
        <v/>
      </c>
    </row>
    <row r="240">
      <c r="A240" s="55">
        <f>IF(Sequences!$B$30="","",Sequences!$M$30)</f>
        <v/>
      </c>
      <c r="B240" s="63">
        <f>IF(OR(Sequences!$B$30="",'Slot Times'!$H$19=""),"",'Slot Times'!$H$19+Sequences!$E$30/1440)</f>
        <v/>
      </c>
      <c r="C240" s="63">
        <f>IF($B240="","",$B240+Sequences!$D$30/1440)</f>
        <v/>
      </c>
      <c r="D240" s="55">
        <f>IF(Sequences!$B$30="","",Sequences!$K$30)</f>
        <v/>
      </c>
      <c r="E240" s="55">
        <f>IF(Sequences!$B$30="","",Sequences!$L$30)</f>
        <v/>
      </c>
      <c r="F240" s="55">
        <f>IF(Sequences!$B$30="","",Sequences!$B$30)</f>
        <v/>
      </c>
      <c r="G240" s="55">
        <f>IF(OR(Sequences!$B$30="",'Slot Times'!$I$19=""),"","Team: "&amp;'Slot Times'!$I$19)</f>
        <v/>
      </c>
      <c r="H240" s="55">
        <f>IF(Sequences!$B$30="","",IF(Sequences!$F$30="Team + liaisons","Liaisons travel with this block",""))</f>
        <v/>
      </c>
      <c r="I240" s="55">
        <f>IF(Sequences!$B$30="","","SHOW-S"&amp;'Slot Times'!$B$19&amp;"-01")</f>
        <v/>
      </c>
    </row>
    <row r="241">
      <c r="A241" s="55">
        <f>IF(Sequences!$B$31="","",Sequences!$M$30)</f>
        <v/>
      </c>
      <c r="B241" s="63">
        <f>IF(OR(Sequences!$B$31="",'Slot Times'!$H$19=""),"",'Slot Times'!$H$19+Sequences!$E$31/1440)</f>
        <v/>
      </c>
      <c r="C241" s="63">
        <f>IF($B241="","",$B241+Sequences!$D$31/1440)</f>
        <v/>
      </c>
      <c r="D241" s="55">
        <f>IF(Sequences!$B$31="","",Sequences!$K$31)</f>
        <v/>
      </c>
      <c r="E241" s="55">
        <f>IF(Sequences!$B$31="","",Sequences!$L$31)</f>
        <v/>
      </c>
      <c r="F241" s="55">
        <f>IF(Sequences!$B$31="","",Sequences!$B$31)</f>
        <v/>
      </c>
      <c r="G241" s="55">
        <f>IF(OR(Sequences!$B$31="",'Slot Times'!$I$19=""),"","Team: "&amp;'Slot Times'!$I$19)</f>
        <v/>
      </c>
      <c r="H241" s="55">
        <f>IF(Sequences!$B$31="","",IF(Sequences!$F$31="Team + liaisons","Liaisons travel with this block",""))</f>
        <v/>
      </c>
      <c r="I241" s="55">
        <f>IF(Sequences!$B$31="","","SHOW-S"&amp;'Slot Times'!$B$19&amp;"-02")</f>
        <v/>
      </c>
    </row>
    <row r="242">
      <c r="A242" s="55">
        <f>IF(Sequences!$B$32="","",Sequences!$M$30)</f>
        <v/>
      </c>
      <c r="B242" s="63">
        <f>IF(OR(Sequences!$B$32="",'Slot Times'!$H$19=""),"",'Slot Times'!$H$19+Sequences!$E$32/1440)</f>
        <v/>
      </c>
      <c r="C242" s="63">
        <f>IF($B242="","",$B242+Sequences!$D$32/1440)</f>
        <v/>
      </c>
      <c r="D242" s="55">
        <f>IF(Sequences!$B$32="","",Sequences!$K$32)</f>
        <v/>
      </c>
      <c r="E242" s="55">
        <f>IF(Sequences!$B$32="","",Sequences!$L$32)</f>
        <v/>
      </c>
      <c r="F242" s="55">
        <f>IF(Sequences!$B$32="","",Sequences!$B$32)</f>
        <v/>
      </c>
      <c r="G242" s="55">
        <f>IF(OR(Sequences!$B$32="",'Slot Times'!$I$19=""),"","Team: "&amp;'Slot Times'!$I$19)</f>
        <v/>
      </c>
      <c r="H242" s="55">
        <f>IF(Sequences!$B$32="","",IF(Sequences!$F$32="Team + liaisons","Liaisons travel with this block",""))</f>
        <v/>
      </c>
      <c r="I242" s="55">
        <f>IF(Sequences!$B$32="","","SHOW-S"&amp;'Slot Times'!$B$19&amp;"-03")</f>
        <v/>
      </c>
    </row>
    <row r="243">
      <c r="A243" s="55">
        <f>IF(Sequences!$B$33="","",Sequences!$M$30)</f>
        <v/>
      </c>
      <c r="B243" s="63">
        <f>IF(OR(Sequences!$B$33="",'Slot Times'!$H$19=""),"",'Slot Times'!$H$19+Sequences!$E$33/1440)</f>
        <v/>
      </c>
      <c r="C243" s="63">
        <f>IF($B243="","",$B243+Sequences!$D$33/1440)</f>
        <v/>
      </c>
      <c r="D243" s="55">
        <f>IF(Sequences!$B$33="","",Sequences!$K$33)</f>
        <v/>
      </c>
      <c r="E243" s="55">
        <f>IF(Sequences!$B$33="","",Sequences!$L$33)</f>
        <v/>
      </c>
      <c r="F243" s="55">
        <f>IF(Sequences!$B$33="","",Sequences!$B$33)</f>
        <v/>
      </c>
      <c r="G243" s="55">
        <f>IF(OR(Sequences!$B$33="",'Slot Times'!$I$19=""),"","Team: "&amp;'Slot Times'!$I$19)</f>
        <v/>
      </c>
      <c r="H243" s="55">
        <f>IF(Sequences!$B$33="","",IF(Sequences!$F$33="Team + liaisons","Liaisons travel with this block",""))</f>
        <v/>
      </c>
      <c r="I243" s="55">
        <f>IF(Sequences!$B$33="","","SHOW-S"&amp;'Slot Times'!$B$19&amp;"-04")</f>
        <v/>
      </c>
    </row>
    <row r="244">
      <c r="A244" s="55">
        <f>IF(Sequences!$B$34="","",Sequences!$M$30)</f>
        <v/>
      </c>
      <c r="B244" s="63">
        <f>IF(OR(Sequences!$B$34="",'Slot Times'!$H$19=""),"",'Slot Times'!$H$19+Sequences!$E$34/1440)</f>
        <v/>
      </c>
      <c r="C244" s="63">
        <f>IF($B244="","",$B244+Sequences!$D$34/1440)</f>
        <v/>
      </c>
      <c r="D244" s="55">
        <f>IF(Sequences!$B$34="","",Sequences!$K$34)</f>
        <v/>
      </c>
      <c r="E244" s="55">
        <f>IF(Sequences!$B$34="","",Sequences!$L$34)</f>
        <v/>
      </c>
      <c r="F244" s="55">
        <f>IF(Sequences!$B$34="","",Sequences!$B$34)</f>
        <v/>
      </c>
      <c r="G244" s="55">
        <f>IF(OR(Sequences!$B$34="",'Slot Times'!$I$19=""),"","Team: "&amp;'Slot Times'!$I$19)</f>
        <v/>
      </c>
      <c r="H244" s="55">
        <f>IF(Sequences!$B$34="","",IF(Sequences!$F$34="Team + liaisons","Liaisons travel with this block",""))</f>
        <v/>
      </c>
      <c r="I244" s="55">
        <f>IF(Sequences!$B$34="","","SHOW-S"&amp;'Slot Times'!$B$19&amp;"-05")</f>
        <v/>
      </c>
    </row>
    <row r="245">
      <c r="A245" s="55">
        <f>IF(Sequences!$B$35="","",Sequences!$M$30)</f>
        <v/>
      </c>
      <c r="B245" s="63">
        <f>IF(OR(Sequences!$B$35="",'Slot Times'!$H$19=""),"",'Slot Times'!$H$19+Sequences!$E$35/1440)</f>
        <v/>
      </c>
      <c r="C245" s="63">
        <f>IF($B245="","",$B245+Sequences!$D$35/1440)</f>
        <v/>
      </c>
      <c r="D245" s="55">
        <f>IF(Sequences!$B$35="","",Sequences!$K$35)</f>
        <v/>
      </c>
      <c r="E245" s="55">
        <f>IF(Sequences!$B$35="","",Sequences!$L$35)</f>
        <v/>
      </c>
      <c r="F245" s="55">
        <f>IF(Sequences!$B$35="","",Sequences!$B$35)</f>
        <v/>
      </c>
      <c r="G245" s="55">
        <f>IF(OR(Sequences!$B$35="",'Slot Times'!$I$19=""),"","Team: "&amp;'Slot Times'!$I$19)</f>
        <v/>
      </c>
      <c r="H245" s="55">
        <f>IF(Sequences!$B$35="","",IF(Sequences!$F$35="Team + liaisons","Liaisons travel with this block",""))</f>
        <v/>
      </c>
      <c r="I245" s="55">
        <f>IF(Sequences!$B$35="","","SHOW-S"&amp;'Slot Times'!$B$19&amp;"-06")</f>
        <v/>
      </c>
    </row>
    <row r="246">
      <c r="A246" s="55">
        <f>IF(Sequences!$B$36="","",Sequences!$M$30)</f>
        <v/>
      </c>
      <c r="B246" s="63">
        <f>IF(OR(Sequences!$B$36="",'Slot Times'!$H$19=""),"",'Slot Times'!$H$19+Sequences!$E$36/1440)</f>
        <v/>
      </c>
      <c r="C246" s="63">
        <f>IF($B246="","",$B246+Sequences!$D$36/1440)</f>
        <v/>
      </c>
      <c r="D246" s="55">
        <f>IF(Sequences!$B$36="","",Sequences!$K$36)</f>
        <v/>
      </c>
      <c r="E246" s="55">
        <f>IF(Sequences!$B$36="","",Sequences!$L$36)</f>
        <v/>
      </c>
      <c r="F246" s="55">
        <f>IF(Sequences!$B$36="","",Sequences!$B$36)</f>
        <v/>
      </c>
      <c r="G246" s="55">
        <f>IF(OR(Sequences!$B$36="",'Slot Times'!$I$19=""),"","Team: "&amp;'Slot Times'!$I$19)</f>
        <v/>
      </c>
      <c r="H246" s="55">
        <f>IF(Sequences!$B$36="","",IF(Sequences!$F$36="Team + liaisons","Liaisons travel with this block",""))</f>
        <v/>
      </c>
      <c r="I246" s="55">
        <f>IF(Sequences!$B$36="","","SHOW-S"&amp;'Slot Times'!$B$19&amp;"-07")</f>
        <v/>
      </c>
    </row>
    <row r="247">
      <c r="A247" s="55">
        <f>IF(Sequences!$B$37="","",Sequences!$M$30)</f>
        <v/>
      </c>
      <c r="B247" s="63">
        <f>IF(OR(Sequences!$B$37="",'Slot Times'!$H$19=""),"",'Slot Times'!$H$19+Sequences!$E$37/1440)</f>
        <v/>
      </c>
      <c r="C247" s="63">
        <f>IF($B247="","",$B247+Sequences!$D$37/1440)</f>
        <v/>
      </c>
      <c r="D247" s="55">
        <f>IF(Sequences!$B$37="","",Sequences!$K$37)</f>
        <v/>
      </c>
      <c r="E247" s="55">
        <f>IF(Sequences!$B$37="","",Sequences!$L$37)</f>
        <v/>
      </c>
      <c r="F247" s="55">
        <f>IF(Sequences!$B$37="","",Sequences!$B$37)</f>
        <v/>
      </c>
      <c r="G247" s="55">
        <f>IF(OR(Sequences!$B$37="",'Slot Times'!$I$19=""),"","Team: "&amp;'Slot Times'!$I$19)</f>
        <v/>
      </c>
      <c r="H247" s="55">
        <f>IF(Sequences!$B$37="","",IF(Sequences!$F$37="Team + liaisons","Liaisons travel with this block",""))</f>
        <v/>
      </c>
      <c r="I247" s="55">
        <f>IF(Sequences!$B$37="","","SHOW-S"&amp;'Slot Times'!$B$19&amp;"-08")</f>
        <v/>
      </c>
    </row>
    <row r="248">
      <c r="A248" s="55">
        <f>IF(Sequences!$B$38="","",Sequences!$M$30)</f>
        <v/>
      </c>
      <c r="B248" s="63">
        <f>IF(OR(Sequences!$B$38="",'Slot Times'!$H$19=""),"",'Slot Times'!$H$19+Sequences!$E$38/1440)</f>
        <v/>
      </c>
      <c r="C248" s="63">
        <f>IF($B248="","",$B248+Sequences!$D$38/1440)</f>
        <v/>
      </c>
      <c r="D248" s="55">
        <f>IF(Sequences!$B$38="","",Sequences!$K$38)</f>
        <v/>
      </c>
      <c r="E248" s="55">
        <f>IF(Sequences!$B$38="","",Sequences!$L$38)</f>
        <v/>
      </c>
      <c r="F248" s="55">
        <f>IF(Sequences!$B$38="","",Sequences!$B$38)</f>
        <v/>
      </c>
      <c r="G248" s="55">
        <f>IF(OR(Sequences!$B$38="",'Slot Times'!$I$19=""),"","Team: "&amp;'Slot Times'!$I$19)</f>
        <v/>
      </c>
      <c r="H248" s="55">
        <f>IF(Sequences!$B$38="","",IF(Sequences!$F$38="Team + liaisons","Liaisons travel with this block",""))</f>
        <v/>
      </c>
      <c r="I248" s="55">
        <f>IF(Sequences!$B$38="","","SHOW-S"&amp;'Slot Times'!$B$19&amp;"-09")</f>
        <v/>
      </c>
    </row>
    <row r="249">
      <c r="A249" s="55">
        <f>IF(Sequences!$B$39="","",Sequences!$M$30)</f>
        <v/>
      </c>
      <c r="B249" s="63">
        <f>IF(OR(Sequences!$B$39="",'Slot Times'!$H$19=""),"",'Slot Times'!$H$19+Sequences!$E$39/1440)</f>
        <v/>
      </c>
      <c r="C249" s="63">
        <f>IF($B249="","",$B249+Sequences!$D$39/1440)</f>
        <v/>
      </c>
      <c r="D249" s="55">
        <f>IF(Sequences!$B$39="","",Sequences!$K$39)</f>
        <v/>
      </c>
      <c r="E249" s="55">
        <f>IF(Sequences!$B$39="","",Sequences!$L$39)</f>
        <v/>
      </c>
      <c r="F249" s="55">
        <f>IF(Sequences!$B$39="","",Sequences!$B$39)</f>
        <v/>
      </c>
      <c r="G249" s="55">
        <f>IF(OR(Sequences!$B$39="",'Slot Times'!$I$19=""),"","Team: "&amp;'Slot Times'!$I$19)</f>
        <v/>
      </c>
      <c r="H249" s="55">
        <f>IF(Sequences!$B$39="","",IF(Sequences!$F$39="Team + liaisons","Liaisons travel with this block",""))</f>
        <v/>
      </c>
      <c r="I249" s="55">
        <f>IF(Sequences!$B$39="","","SHOW-S"&amp;'Slot Times'!$B$19&amp;"-10")</f>
        <v/>
      </c>
    </row>
    <row r="250">
      <c r="A250" s="55">
        <f>IF(Sequences!$B$40="","",Sequences!$M$30)</f>
        <v/>
      </c>
      <c r="B250" s="63">
        <f>IF(OR(Sequences!$B$40="",'Slot Times'!$H$19=""),"",'Slot Times'!$H$19+Sequences!$E$40/1440)</f>
        <v/>
      </c>
      <c r="C250" s="63">
        <f>IF($B250="","",$B250+Sequences!$D$40/1440)</f>
        <v/>
      </c>
      <c r="D250" s="55">
        <f>IF(Sequences!$B$40="","",Sequences!$K$40)</f>
        <v/>
      </c>
      <c r="E250" s="55">
        <f>IF(Sequences!$B$40="","",Sequences!$L$40)</f>
        <v/>
      </c>
      <c r="F250" s="55">
        <f>IF(Sequences!$B$40="","",Sequences!$B$40)</f>
        <v/>
      </c>
      <c r="G250" s="55">
        <f>IF(OR(Sequences!$B$40="",'Slot Times'!$I$19=""),"","Team: "&amp;'Slot Times'!$I$19)</f>
        <v/>
      </c>
      <c r="H250" s="55">
        <f>IF(Sequences!$B$40="","",IF(Sequences!$F$40="Team + liaisons","Liaisons travel with this block",""))</f>
        <v/>
      </c>
      <c r="I250" s="55">
        <f>IF(Sequences!$B$40="","","SHOW-S"&amp;'Slot Times'!$B$19&amp;"-11")</f>
        <v/>
      </c>
    </row>
    <row r="251">
      <c r="A251" s="55">
        <f>IF(Sequences!$B$41="","",Sequences!$M$30)</f>
        <v/>
      </c>
      <c r="B251" s="63">
        <f>IF(OR(Sequences!$B$41="",'Slot Times'!$H$19=""),"",'Slot Times'!$H$19+Sequences!$E$41/1440)</f>
        <v/>
      </c>
      <c r="C251" s="63">
        <f>IF($B251="","",$B251+Sequences!$D$41/1440)</f>
        <v/>
      </c>
      <c r="D251" s="55">
        <f>IF(Sequences!$B$41="","",Sequences!$K$41)</f>
        <v/>
      </c>
      <c r="E251" s="55">
        <f>IF(Sequences!$B$41="","",Sequences!$L$41)</f>
        <v/>
      </c>
      <c r="F251" s="55">
        <f>IF(Sequences!$B$41="","",Sequences!$B$41)</f>
        <v/>
      </c>
      <c r="G251" s="55">
        <f>IF(OR(Sequences!$B$41="",'Slot Times'!$I$19=""),"","Team: "&amp;'Slot Times'!$I$19)</f>
        <v/>
      </c>
      <c r="H251" s="55">
        <f>IF(Sequences!$B$41="","",IF(Sequences!$F$41="Team + liaisons","Liaisons travel with this block",""))</f>
        <v/>
      </c>
      <c r="I251" s="55">
        <f>IF(Sequences!$B$41="","","SHOW-S"&amp;'Slot Times'!$B$19&amp;"-12")</f>
        <v/>
      </c>
    </row>
    <row r="252">
      <c r="A252" s="55">
        <f>IF(Sequences!$B$42="","",Sequences!$M$30)</f>
        <v/>
      </c>
      <c r="B252" s="63">
        <f>IF(OR(Sequences!$B$42="",'Slot Times'!$H$19=""),"",'Slot Times'!$H$19+Sequences!$E$42/1440)</f>
        <v/>
      </c>
      <c r="C252" s="63">
        <f>IF($B252="","",$B252+Sequences!$D$42/1440)</f>
        <v/>
      </c>
      <c r="D252" s="55">
        <f>IF(Sequences!$B$42="","",Sequences!$K$42)</f>
        <v/>
      </c>
      <c r="E252" s="55">
        <f>IF(Sequences!$B$42="","",Sequences!$L$42)</f>
        <v/>
      </c>
      <c r="F252" s="55">
        <f>IF(Sequences!$B$42="","",Sequences!$B$42)</f>
        <v/>
      </c>
      <c r="G252" s="55">
        <f>IF(OR(Sequences!$B$42="",'Slot Times'!$I$19=""),"","Team: "&amp;'Slot Times'!$I$19)</f>
        <v/>
      </c>
      <c r="H252" s="55">
        <f>IF(Sequences!$B$42="","",IF(Sequences!$F$42="Team + liaisons","Liaisons travel with this block",""))</f>
        <v/>
      </c>
      <c r="I252" s="55">
        <f>IF(Sequences!$B$42="","","SHOW-S"&amp;'Slot Times'!$B$19&amp;"-13")</f>
        <v/>
      </c>
    </row>
    <row r="253">
      <c r="A253" s="55">
        <f>IF(Sequences!$B$43="","",Sequences!$M$30)</f>
        <v/>
      </c>
      <c r="B253" s="63">
        <f>IF(OR(Sequences!$B$43="",'Slot Times'!$H$19=""),"",'Slot Times'!$H$19+Sequences!$E$43/1440)</f>
        <v/>
      </c>
      <c r="C253" s="63">
        <f>IF($B253="","",$B253+Sequences!$D$43/1440)</f>
        <v/>
      </c>
      <c r="D253" s="55">
        <f>IF(Sequences!$B$43="","",Sequences!$K$43)</f>
        <v/>
      </c>
      <c r="E253" s="55">
        <f>IF(Sequences!$B$43="","",Sequences!$L$43)</f>
        <v/>
      </c>
      <c r="F253" s="55">
        <f>IF(Sequences!$B$43="","",Sequences!$B$43)</f>
        <v/>
      </c>
      <c r="G253" s="55">
        <f>IF(OR(Sequences!$B$43="",'Slot Times'!$I$19=""),"","Team: "&amp;'Slot Times'!$I$19)</f>
        <v/>
      </c>
      <c r="H253" s="55">
        <f>IF(Sequences!$B$43="","",IF(Sequences!$F$43="Team + liaisons","Liaisons travel with this block",""))</f>
        <v/>
      </c>
      <c r="I253" s="55">
        <f>IF(Sequences!$B$43="","","SHOW-S"&amp;'Slot Times'!$B$19&amp;"-14")</f>
        <v/>
      </c>
    </row>
    <row r="254">
      <c r="A254" s="55">
        <f>IF(Sequences!$B$30="","",Sequences!$M$30)</f>
        <v/>
      </c>
      <c r="B254" s="63">
        <f>IF(OR(Sequences!$B$30="",'Slot Times'!$H$20=""),"",'Slot Times'!$H$20+Sequences!$E$30/1440)</f>
        <v/>
      </c>
      <c r="C254" s="63">
        <f>IF($B254="","",$B254+Sequences!$D$30/1440)</f>
        <v/>
      </c>
      <c r="D254" s="55">
        <f>IF(Sequences!$B$30="","",Sequences!$K$30)</f>
        <v/>
      </c>
      <c r="E254" s="55">
        <f>IF(Sequences!$B$30="","",Sequences!$L$30)</f>
        <v/>
      </c>
      <c r="F254" s="55">
        <f>IF(Sequences!$B$30="","",Sequences!$B$30)</f>
        <v/>
      </c>
      <c r="G254" s="55">
        <f>IF(OR(Sequences!$B$30="",'Slot Times'!$I$20=""),"","Team: "&amp;'Slot Times'!$I$20)</f>
        <v/>
      </c>
      <c r="H254" s="55">
        <f>IF(Sequences!$B$30="","",IF(Sequences!$F$30="Team + liaisons","Liaisons travel with this block",""))</f>
        <v/>
      </c>
      <c r="I254" s="55">
        <f>IF(Sequences!$B$30="","","SHOW-S"&amp;'Slot Times'!$B$20&amp;"-01")</f>
        <v/>
      </c>
    </row>
    <row r="255">
      <c r="A255" s="55">
        <f>IF(Sequences!$B$31="","",Sequences!$M$30)</f>
        <v/>
      </c>
      <c r="B255" s="63">
        <f>IF(OR(Sequences!$B$31="",'Slot Times'!$H$20=""),"",'Slot Times'!$H$20+Sequences!$E$31/1440)</f>
        <v/>
      </c>
      <c r="C255" s="63">
        <f>IF($B255="","",$B255+Sequences!$D$31/1440)</f>
        <v/>
      </c>
      <c r="D255" s="55">
        <f>IF(Sequences!$B$31="","",Sequences!$K$31)</f>
        <v/>
      </c>
      <c r="E255" s="55">
        <f>IF(Sequences!$B$31="","",Sequences!$L$31)</f>
        <v/>
      </c>
      <c r="F255" s="55">
        <f>IF(Sequences!$B$31="","",Sequences!$B$31)</f>
        <v/>
      </c>
      <c r="G255" s="55">
        <f>IF(OR(Sequences!$B$31="",'Slot Times'!$I$20=""),"","Team: "&amp;'Slot Times'!$I$20)</f>
        <v/>
      </c>
      <c r="H255" s="55">
        <f>IF(Sequences!$B$31="","",IF(Sequences!$F$31="Team + liaisons","Liaisons travel with this block",""))</f>
        <v/>
      </c>
      <c r="I255" s="55">
        <f>IF(Sequences!$B$31="","","SHOW-S"&amp;'Slot Times'!$B$20&amp;"-02")</f>
        <v/>
      </c>
    </row>
    <row r="256">
      <c r="A256" s="55">
        <f>IF(Sequences!$B$32="","",Sequences!$M$30)</f>
        <v/>
      </c>
      <c r="B256" s="63">
        <f>IF(OR(Sequences!$B$32="",'Slot Times'!$H$20=""),"",'Slot Times'!$H$20+Sequences!$E$32/1440)</f>
        <v/>
      </c>
      <c r="C256" s="63">
        <f>IF($B256="","",$B256+Sequences!$D$32/1440)</f>
        <v/>
      </c>
      <c r="D256" s="55">
        <f>IF(Sequences!$B$32="","",Sequences!$K$32)</f>
        <v/>
      </c>
      <c r="E256" s="55">
        <f>IF(Sequences!$B$32="","",Sequences!$L$32)</f>
        <v/>
      </c>
      <c r="F256" s="55">
        <f>IF(Sequences!$B$32="","",Sequences!$B$32)</f>
        <v/>
      </c>
      <c r="G256" s="55">
        <f>IF(OR(Sequences!$B$32="",'Slot Times'!$I$20=""),"","Team: "&amp;'Slot Times'!$I$20)</f>
        <v/>
      </c>
      <c r="H256" s="55">
        <f>IF(Sequences!$B$32="","",IF(Sequences!$F$32="Team + liaisons","Liaisons travel with this block",""))</f>
        <v/>
      </c>
      <c r="I256" s="55">
        <f>IF(Sequences!$B$32="","","SHOW-S"&amp;'Slot Times'!$B$20&amp;"-03")</f>
        <v/>
      </c>
    </row>
    <row r="257">
      <c r="A257" s="55">
        <f>IF(Sequences!$B$33="","",Sequences!$M$30)</f>
        <v/>
      </c>
      <c r="B257" s="63">
        <f>IF(OR(Sequences!$B$33="",'Slot Times'!$H$20=""),"",'Slot Times'!$H$20+Sequences!$E$33/1440)</f>
        <v/>
      </c>
      <c r="C257" s="63">
        <f>IF($B257="","",$B257+Sequences!$D$33/1440)</f>
        <v/>
      </c>
      <c r="D257" s="55">
        <f>IF(Sequences!$B$33="","",Sequences!$K$33)</f>
        <v/>
      </c>
      <c r="E257" s="55">
        <f>IF(Sequences!$B$33="","",Sequences!$L$33)</f>
        <v/>
      </c>
      <c r="F257" s="55">
        <f>IF(Sequences!$B$33="","",Sequences!$B$33)</f>
        <v/>
      </c>
      <c r="G257" s="55">
        <f>IF(OR(Sequences!$B$33="",'Slot Times'!$I$20=""),"","Team: "&amp;'Slot Times'!$I$20)</f>
        <v/>
      </c>
      <c r="H257" s="55">
        <f>IF(Sequences!$B$33="","",IF(Sequences!$F$33="Team + liaisons","Liaisons travel with this block",""))</f>
        <v/>
      </c>
      <c r="I257" s="55">
        <f>IF(Sequences!$B$33="","","SHOW-S"&amp;'Slot Times'!$B$20&amp;"-04")</f>
        <v/>
      </c>
    </row>
    <row r="258">
      <c r="A258" s="55">
        <f>IF(Sequences!$B$34="","",Sequences!$M$30)</f>
        <v/>
      </c>
      <c r="B258" s="63">
        <f>IF(OR(Sequences!$B$34="",'Slot Times'!$H$20=""),"",'Slot Times'!$H$20+Sequences!$E$34/1440)</f>
        <v/>
      </c>
      <c r="C258" s="63">
        <f>IF($B258="","",$B258+Sequences!$D$34/1440)</f>
        <v/>
      </c>
      <c r="D258" s="55">
        <f>IF(Sequences!$B$34="","",Sequences!$K$34)</f>
        <v/>
      </c>
      <c r="E258" s="55">
        <f>IF(Sequences!$B$34="","",Sequences!$L$34)</f>
        <v/>
      </c>
      <c r="F258" s="55">
        <f>IF(Sequences!$B$34="","",Sequences!$B$34)</f>
        <v/>
      </c>
      <c r="G258" s="55">
        <f>IF(OR(Sequences!$B$34="",'Slot Times'!$I$20=""),"","Team: "&amp;'Slot Times'!$I$20)</f>
        <v/>
      </c>
      <c r="H258" s="55">
        <f>IF(Sequences!$B$34="","",IF(Sequences!$F$34="Team + liaisons","Liaisons travel with this block",""))</f>
        <v/>
      </c>
      <c r="I258" s="55">
        <f>IF(Sequences!$B$34="","","SHOW-S"&amp;'Slot Times'!$B$20&amp;"-05")</f>
        <v/>
      </c>
    </row>
    <row r="259">
      <c r="A259" s="55">
        <f>IF(Sequences!$B$35="","",Sequences!$M$30)</f>
        <v/>
      </c>
      <c r="B259" s="63">
        <f>IF(OR(Sequences!$B$35="",'Slot Times'!$H$20=""),"",'Slot Times'!$H$20+Sequences!$E$35/1440)</f>
        <v/>
      </c>
      <c r="C259" s="63">
        <f>IF($B259="","",$B259+Sequences!$D$35/1440)</f>
        <v/>
      </c>
      <c r="D259" s="55">
        <f>IF(Sequences!$B$35="","",Sequences!$K$35)</f>
        <v/>
      </c>
      <c r="E259" s="55">
        <f>IF(Sequences!$B$35="","",Sequences!$L$35)</f>
        <v/>
      </c>
      <c r="F259" s="55">
        <f>IF(Sequences!$B$35="","",Sequences!$B$35)</f>
        <v/>
      </c>
      <c r="G259" s="55">
        <f>IF(OR(Sequences!$B$35="",'Slot Times'!$I$20=""),"","Team: "&amp;'Slot Times'!$I$20)</f>
        <v/>
      </c>
      <c r="H259" s="55">
        <f>IF(Sequences!$B$35="","",IF(Sequences!$F$35="Team + liaisons","Liaisons travel with this block",""))</f>
        <v/>
      </c>
      <c r="I259" s="55">
        <f>IF(Sequences!$B$35="","","SHOW-S"&amp;'Slot Times'!$B$20&amp;"-06")</f>
        <v/>
      </c>
    </row>
    <row r="260">
      <c r="A260" s="55">
        <f>IF(Sequences!$B$36="","",Sequences!$M$30)</f>
        <v/>
      </c>
      <c r="B260" s="63">
        <f>IF(OR(Sequences!$B$36="",'Slot Times'!$H$20=""),"",'Slot Times'!$H$20+Sequences!$E$36/1440)</f>
        <v/>
      </c>
      <c r="C260" s="63">
        <f>IF($B260="","",$B260+Sequences!$D$36/1440)</f>
        <v/>
      </c>
      <c r="D260" s="55">
        <f>IF(Sequences!$B$36="","",Sequences!$K$36)</f>
        <v/>
      </c>
      <c r="E260" s="55">
        <f>IF(Sequences!$B$36="","",Sequences!$L$36)</f>
        <v/>
      </c>
      <c r="F260" s="55">
        <f>IF(Sequences!$B$36="","",Sequences!$B$36)</f>
        <v/>
      </c>
      <c r="G260" s="55">
        <f>IF(OR(Sequences!$B$36="",'Slot Times'!$I$20=""),"","Team: "&amp;'Slot Times'!$I$20)</f>
        <v/>
      </c>
      <c r="H260" s="55">
        <f>IF(Sequences!$B$36="","",IF(Sequences!$F$36="Team + liaisons","Liaisons travel with this block",""))</f>
        <v/>
      </c>
      <c r="I260" s="55">
        <f>IF(Sequences!$B$36="","","SHOW-S"&amp;'Slot Times'!$B$20&amp;"-07")</f>
        <v/>
      </c>
    </row>
    <row r="261">
      <c r="A261" s="55">
        <f>IF(Sequences!$B$37="","",Sequences!$M$30)</f>
        <v/>
      </c>
      <c r="B261" s="63">
        <f>IF(OR(Sequences!$B$37="",'Slot Times'!$H$20=""),"",'Slot Times'!$H$20+Sequences!$E$37/1440)</f>
        <v/>
      </c>
      <c r="C261" s="63">
        <f>IF($B261="","",$B261+Sequences!$D$37/1440)</f>
        <v/>
      </c>
      <c r="D261" s="55">
        <f>IF(Sequences!$B$37="","",Sequences!$K$37)</f>
        <v/>
      </c>
      <c r="E261" s="55">
        <f>IF(Sequences!$B$37="","",Sequences!$L$37)</f>
        <v/>
      </c>
      <c r="F261" s="55">
        <f>IF(Sequences!$B$37="","",Sequences!$B$37)</f>
        <v/>
      </c>
      <c r="G261" s="55">
        <f>IF(OR(Sequences!$B$37="",'Slot Times'!$I$20=""),"","Team: "&amp;'Slot Times'!$I$20)</f>
        <v/>
      </c>
      <c r="H261" s="55">
        <f>IF(Sequences!$B$37="","",IF(Sequences!$F$37="Team + liaisons","Liaisons travel with this block",""))</f>
        <v/>
      </c>
      <c r="I261" s="55">
        <f>IF(Sequences!$B$37="","","SHOW-S"&amp;'Slot Times'!$B$20&amp;"-08")</f>
        <v/>
      </c>
    </row>
    <row r="262">
      <c r="A262" s="55">
        <f>IF(Sequences!$B$38="","",Sequences!$M$30)</f>
        <v/>
      </c>
      <c r="B262" s="63">
        <f>IF(OR(Sequences!$B$38="",'Slot Times'!$H$20=""),"",'Slot Times'!$H$20+Sequences!$E$38/1440)</f>
        <v/>
      </c>
      <c r="C262" s="63">
        <f>IF($B262="","",$B262+Sequences!$D$38/1440)</f>
        <v/>
      </c>
      <c r="D262" s="55">
        <f>IF(Sequences!$B$38="","",Sequences!$K$38)</f>
        <v/>
      </c>
      <c r="E262" s="55">
        <f>IF(Sequences!$B$38="","",Sequences!$L$38)</f>
        <v/>
      </c>
      <c r="F262" s="55">
        <f>IF(Sequences!$B$38="","",Sequences!$B$38)</f>
        <v/>
      </c>
      <c r="G262" s="55">
        <f>IF(OR(Sequences!$B$38="",'Slot Times'!$I$20=""),"","Team: "&amp;'Slot Times'!$I$20)</f>
        <v/>
      </c>
      <c r="H262" s="55">
        <f>IF(Sequences!$B$38="","",IF(Sequences!$F$38="Team + liaisons","Liaisons travel with this block",""))</f>
        <v/>
      </c>
      <c r="I262" s="55">
        <f>IF(Sequences!$B$38="","","SHOW-S"&amp;'Slot Times'!$B$20&amp;"-09")</f>
        <v/>
      </c>
    </row>
    <row r="263">
      <c r="A263" s="55">
        <f>IF(Sequences!$B$39="","",Sequences!$M$30)</f>
        <v/>
      </c>
      <c r="B263" s="63">
        <f>IF(OR(Sequences!$B$39="",'Slot Times'!$H$20=""),"",'Slot Times'!$H$20+Sequences!$E$39/1440)</f>
        <v/>
      </c>
      <c r="C263" s="63">
        <f>IF($B263="","",$B263+Sequences!$D$39/1440)</f>
        <v/>
      </c>
      <c r="D263" s="55">
        <f>IF(Sequences!$B$39="","",Sequences!$K$39)</f>
        <v/>
      </c>
      <c r="E263" s="55">
        <f>IF(Sequences!$B$39="","",Sequences!$L$39)</f>
        <v/>
      </c>
      <c r="F263" s="55">
        <f>IF(Sequences!$B$39="","",Sequences!$B$39)</f>
        <v/>
      </c>
      <c r="G263" s="55">
        <f>IF(OR(Sequences!$B$39="",'Slot Times'!$I$20=""),"","Team: "&amp;'Slot Times'!$I$20)</f>
        <v/>
      </c>
      <c r="H263" s="55">
        <f>IF(Sequences!$B$39="","",IF(Sequences!$F$39="Team + liaisons","Liaisons travel with this block",""))</f>
        <v/>
      </c>
      <c r="I263" s="55">
        <f>IF(Sequences!$B$39="","","SHOW-S"&amp;'Slot Times'!$B$20&amp;"-10")</f>
        <v/>
      </c>
    </row>
    <row r="264">
      <c r="A264" s="55">
        <f>IF(Sequences!$B$40="","",Sequences!$M$30)</f>
        <v/>
      </c>
      <c r="B264" s="63">
        <f>IF(OR(Sequences!$B$40="",'Slot Times'!$H$20=""),"",'Slot Times'!$H$20+Sequences!$E$40/1440)</f>
        <v/>
      </c>
      <c r="C264" s="63">
        <f>IF($B264="","",$B264+Sequences!$D$40/1440)</f>
        <v/>
      </c>
      <c r="D264" s="55">
        <f>IF(Sequences!$B$40="","",Sequences!$K$40)</f>
        <v/>
      </c>
      <c r="E264" s="55">
        <f>IF(Sequences!$B$40="","",Sequences!$L$40)</f>
        <v/>
      </c>
      <c r="F264" s="55">
        <f>IF(Sequences!$B$40="","",Sequences!$B$40)</f>
        <v/>
      </c>
      <c r="G264" s="55">
        <f>IF(OR(Sequences!$B$40="",'Slot Times'!$I$20=""),"","Team: "&amp;'Slot Times'!$I$20)</f>
        <v/>
      </c>
      <c r="H264" s="55">
        <f>IF(Sequences!$B$40="","",IF(Sequences!$F$40="Team + liaisons","Liaisons travel with this block",""))</f>
        <v/>
      </c>
      <c r="I264" s="55">
        <f>IF(Sequences!$B$40="","","SHOW-S"&amp;'Slot Times'!$B$20&amp;"-11")</f>
        <v/>
      </c>
    </row>
    <row r="265">
      <c r="A265" s="55">
        <f>IF(Sequences!$B$41="","",Sequences!$M$30)</f>
        <v/>
      </c>
      <c r="B265" s="63">
        <f>IF(OR(Sequences!$B$41="",'Slot Times'!$H$20=""),"",'Slot Times'!$H$20+Sequences!$E$41/1440)</f>
        <v/>
      </c>
      <c r="C265" s="63">
        <f>IF($B265="","",$B265+Sequences!$D$41/1440)</f>
        <v/>
      </c>
      <c r="D265" s="55">
        <f>IF(Sequences!$B$41="","",Sequences!$K$41)</f>
        <v/>
      </c>
      <c r="E265" s="55">
        <f>IF(Sequences!$B$41="","",Sequences!$L$41)</f>
        <v/>
      </c>
      <c r="F265" s="55">
        <f>IF(Sequences!$B$41="","",Sequences!$B$41)</f>
        <v/>
      </c>
      <c r="G265" s="55">
        <f>IF(OR(Sequences!$B$41="",'Slot Times'!$I$20=""),"","Team: "&amp;'Slot Times'!$I$20)</f>
        <v/>
      </c>
      <c r="H265" s="55">
        <f>IF(Sequences!$B$41="","",IF(Sequences!$F$41="Team + liaisons","Liaisons travel with this block",""))</f>
        <v/>
      </c>
      <c r="I265" s="55">
        <f>IF(Sequences!$B$41="","","SHOW-S"&amp;'Slot Times'!$B$20&amp;"-12")</f>
        <v/>
      </c>
    </row>
    <row r="266">
      <c r="A266" s="55">
        <f>IF(Sequences!$B$42="","",Sequences!$M$30)</f>
        <v/>
      </c>
      <c r="B266" s="63">
        <f>IF(OR(Sequences!$B$42="",'Slot Times'!$H$20=""),"",'Slot Times'!$H$20+Sequences!$E$42/1440)</f>
        <v/>
      </c>
      <c r="C266" s="63">
        <f>IF($B266="","",$B266+Sequences!$D$42/1440)</f>
        <v/>
      </c>
      <c r="D266" s="55">
        <f>IF(Sequences!$B$42="","",Sequences!$K$42)</f>
        <v/>
      </c>
      <c r="E266" s="55">
        <f>IF(Sequences!$B$42="","",Sequences!$L$42)</f>
        <v/>
      </c>
      <c r="F266" s="55">
        <f>IF(Sequences!$B$42="","",Sequences!$B$42)</f>
        <v/>
      </c>
      <c r="G266" s="55">
        <f>IF(OR(Sequences!$B$42="",'Slot Times'!$I$20=""),"","Team: "&amp;'Slot Times'!$I$20)</f>
        <v/>
      </c>
      <c r="H266" s="55">
        <f>IF(Sequences!$B$42="","",IF(Sequences!$F$42="Team + liaisons","Liaisons travel with this block",""))</f>
        <v/>
      </c>
      <c r="I266" s="55">
        <f>IF(Sequences!$B$42="","","SHOW-S"&amp;'Slot Times'!$B$20&amp;"-13")</f>
        <v/>
      </c>
    </row>
    <row r="267">
      <c r="A267" s="55">
        <f>IF(Sequences!$B$43="","",Sequences!$M$30)</f>
        <v/>
      </c>
      <c r="B267" s="63">
        <f>IF(OR(Sequences!$B$43="",'Slot Times'!$H$20=""),"",'Slot Times'!$H$20+Sequences!$E$43/1440)</f>
        <v/>
      </c>
      <c r="C267" s="63">
        <f>IF($B267="","",$B267+Sequences!$D$43/1440)</f>
        <v/>
      </c>
      <c r="D267" s="55">
        <f>IF(Sequences!$B$43="","",Sequences!$K$43)</f>
        <v/>
      </c>
      <c r="E267" s="55">
        <f>IF(Sequences!$B$43="","",Sequences!$L$43)</f>
        <v/>
      </c>
      <c r="F267" s="55">
        <f>IF(Sequences!$B$43="","",Sequences!$B$43)</f>
        <v/>
      </c>
      <c r="G267" s="55">
        <f>IF(OR(Sequences!$B$43="",'Slot Times'!$I$20=""),"","Team: "&amp;'Slot Times'!$I$20)</f>
        <v/>
      </c>
      <c r="H267" s="55">
        <f>IF(Sequences!$B$43="","",IF(Sequences!$F$43="Team + liaisons","Liaisons travel with this block",""))</f>
        <v/>
      </c>
      <c r="I267" s="55">
        <f>IF(Sequences!$B$43="","","SHOW-S"&amp;'Slot Times'!$B$20&amp;"-14")</f>
        <v/>
      </c>
    </row>
    <row r="268">
      <c r="A268" s="55">
        <f>IF(Sequences!$B$30="","",Sequences!$M$30)</f>
        <v/>
      </c>
      <c r="B268" s="63">
        <f>IF(OR(Sequences!$B$30="",'Slot Times'!$H$21=""),"",'Slot Times'!$H$21+Sequences!$E$30/1440)</f>
        <v/>
      </c>
      <c r="C268" s="63">
        <f>IF($B268="","",$B268+Sequences!$D$30/1440)</f>
        <v/>
      </c>
      <c r="D268" s="55">
        <f>IF(Sequences!$B$30="","",Sequences!$K$30)</f>
        <v/>
      </c>
      <c r="E268" s="55">
        <f>IF(Sequences!$B$30="","",Sequences!$L$30)</f>
        <v/>
      </c>
      <c r="F268" s="55">
        <f>IF(Sequences!$B$30="","",Sequences!$B$30)</f>
        <v/>
      </c>
      <c r="G268" s="55">
        <f>IF(OR(Sequences!$B$30="",'Slot Times'!$I$21=""),"","Team: "&amp;'Slot Times'!$I$21)</f>
        <v/>
      </c>
      <c r="H268" s="55">
        <f>IF(Sequences!$B$30="","",IF(Sequences!$F$30="Team + liaisons","Liaisons travel with this block",""))</f>
        <v/>
      </c>
      <c r="I268" s="55">
        <f>IF(Sequences!$B$30="","","SHOW-S"&amp;'Slot Times'!$B$21&amp;"-01")</f>
        <v/>
      </c>
    </row>
    <row r="269">
      <c r="A269" s="55">
        <f>IF(Sequences!$B$31="","",Sequences!$M$30)</f>
        <v/>
      </c>
      <c r="B269" s="63">
        <f>IF(OR(Sequences!$B$31="",'Slot Times'!$H$21=""),"",'Slot Times'!$H$21+Sequences!$E$31/1440)</f>
        <v/>
      </c>
      <c r="C269" s="63">
        <f>IF($B269="","",$B269+Sequences!$D$31/1440)</f>
        <v/>
      </c>
      <c r="D269" s="55">
        <f>IF(Sequences!$B$31="","",Sequences!$K$31)</f>
        <v/>
      </c>
      <c r="E269" s="55">
        <f>IF(Sequences!$B$31="","",Sequences!$L$31)</f>
        <v/>
      </c>
      <c r="F269" s="55">
        <f>IF(Sequences!$B$31="","",Sequences!$B$31)</f>
        <v/>
      </c>
      <c r="G269" s="55">
        <f>IF(OR(Sequences!$B$31="",'Slot Times'!$I$21=""),"","Team: "&amp;'Slot Times'!$I$21)</f>
        <v/>
      </c>
      <c r="H269" s="55">
        <f>IF(Sequences!$B$31="","",IF(Sequences!$F$31="Team + liaisons","Liaisons travel with this block",""))</f>
        <v/>
      </c>
      <c r="I269" s="55">
        <f>IF(Sequences!$B$31="","","SHOW-S"&amp;'Slot Times'!$B$21&amp;"-02")</f>
        <v/>
      </c>
    </row>
    <row r="270">
      <c r="A270" s="55">
        <f>IF(Sequences!$B$32="","",Sequences!$M$30)</f>
        <v/>
      </c>
      <c r="B270" s="63">
        <f>IF(OR(Sequences!$B$32="",'Slot Times'!$H$21=""),"",'Slot Times'!$H$21+Sequences!$E$32/1440)</f>
        <v/>
      </c>
      <c r="C270" s="63">
        <f>IF($B270="","",$B270+Sequences!$D$32/1440)</f>
        <v/>
      </c>
      <c r="D270" s="55">
        <f>IF(Sequences!$B$32="","",Sequences!$K$32)</f>
        <v/>
      </c>
      <c r="E270" s="55">
        <f>IF(Sequences!$B$32="","",Sequences!$L$32)</f>
        <v/>
      </c>
      <c r="F270" s="55">
        <f>IF(Sequences!$B$32="","",Sequences!$B$32)</f>
        <v/>
      </c>
      <c r="G270" s="55">
        <f>IF(OR(Sequences!$B$32="",'Slot Times'!$I$21=""),"","Team: "&amp;'Slot Times'!$I$21)</f>
        <v/>
      </c>
      <c r="H270" s="55">
        <f>IF(Sequences!$B$32="","",IF(Sequences!$F$32="Team + liaisons","Liaisons travel with this block",""))</f>
        <v/>
      </c>
      <c r="I270" s="55">
        <f>IF(Sequences!$B$32="","","SHOW-S"&amp;'Slot Times'!$B$21&amp;"-03")</f>
        <v/>
      </c>
    </row>
    <row r="271">
      <c r="A271" s="55">
        <f>IF(Sequences!$B$33="","",Sequences!$M$30)</f>
        <v/>
      </c>
      <c r="B271" s="63">
        <f>IF(OR(Sequences!$B$33="",'Slot Times'!$H$21=""),"",'Slot Times'!$H$21+Sequences!$E$33/1440)</f>
        <v/>
      </c>
      <c r="C271" s="63">
        <f>IF($B271="","",$B271+Sequences!$D$33/1440)</f>
        <v/>
      </c>
      <c r="D271" s="55">
        <f>IF(Sequences!$B$33="","",Sequences!$K$33)</f>
        <v/>
      </c>
      <c r="E271" s="55">
        <f>IF(Sequences!$B$33="","",Sequences!$L$33)</f>
        <v/>
      </c>
      <c r="F271" s="55">
        <f>IF(Sequences!$B$33="","",Sequences!$B$33)</f>
        <v/>
      </c>
      <c r="G271" s="55">
        <f>IF(OR(Sequences!$B$33="",'Slot Times'!$I$21=""),"","Team: "&amp;'Slot Times'!$I$21)</f>
        <v/>
      </c>
      <c r="H271" s="55">
        <f>IF(Sequences!$B$33="","",IF(Sequences!$F$33="Team + liaisons","Liaisons travel with this block",""))</f>
        <v/>
      </c>
      <c r="I271" s="55">
        <f>IF(Sequences!$B$33="","","SHOW-S"&amp;'Slot Times'!$B$21&amp;"-04")</f>
        <v/>
      </c>
    </row>
    <row r="272">
      <c r="A272" s="55">
        <f>IF(Sequences!$B$34="","",Sequences!$M$30)</f>
        <v/>
      </c>
      <c r="B272" s="63">
        <f>IF(OR(Sequences!$B$34="",'Slot Times'!$H$21=""),"",'Slot Times'!$H$21+Sequences!$E$34/1440)</f>
        <v/>
      </c>
      <c r="C272" s="63">
        <f>IF($B272="","",$B272+Sequences!$D$34/1440)</f>
        <v/>
      </c>
      <c r="D272" s="55">
        <f>IF(Sequences!$B$34="","",Sequences!$K$34)</f>
        <v/>
      </c>
      <c r="E272" s="55">
        <f>IF(Sequences!$B$34="","",Sequences!$L$34)</f>
        <v/>
      </c>
      <c r="F272" s="55">
        <f>IF(Sequences!$B$34="","",Sequences!$B$34)</f>
        <v/>
      </c>
      <c r="G272" s="55">
        <f>IF(OR(Sequences!$B$34="",'Slot Times'!$I$21=""),"","Team: "&amp;'Slot Times'!$I$21)</f>
        <v/>
      </c>
      <c r="H272" s="55">
        <f>IF(Sequences!$B$34="","",IF(Sequences!$F$34="Team + liaisons","Liaisons travel with this block",""))</f>
        <v/>
      </c>
      <c r="I272" s="55">
        <f>IF(Sequences!$B$34="","","SHOW-S"&amp;'Slot Times'!$B$21&amp;"-05")</f>
        <v/>
      </c>
    </row>
    <row r="273">
      <c r="A273" s="55">
        <f>IF(Sequences!$B$35="","",Sequences!$M$30)</f>
        <v/>
      </c>
      <c r="B273" s="63">
        <f>IF(OR(Sequences!$B$35="",'Slot Times'!$H$21=""),"",'Slot Times'!$H$21+Sequences!$E$35/1440)</f>
        <v/>
      </c>
      <c r="C273" s="63">
        <f>IF($B273="","",$B273+Sequences!$D$35/1440)</f>
        <v/>
      </c>
      <c r="D273" s="55">
        <f>IF(Sequences!$B$35="","",Sequences!$K$35)</f>
        <v/>
      </c>
      <c r="E273" s="55">
        <f>IF(Sequences!$B$35="","",Sequences!$L$35)</f>
        <v/>
      </c>
      <c r="F273" s="55">
        <f>IF(Sequences!$B$35="","",Sequences!$B$35)</f>
        <v/>
      </c>
      <c r="G273" s="55">
        <f>IF(OR(Sequences!$B$35="",'Slot Times'!$I$21=""),"","Team: "&amp;'Slot Times'!$I$21)</f>
        <v/>
      </c>
      <c r="H273" s="55">
        <f>IF(Sequences!$B$35="","",IF(Sequences!$F$35="Team + liaisons","Liaisons travel with this block",""))</f>
        <v/>
      </c>
      <c r="I273" s="55">
        <f>IF(Sequences!$B$35="","","SHOW-S"&amp;'Slot Times'!$B$21&amp;"-06")</f>
        <v/>
      </c>
    </row>
    <row r="274">
      <c r="A274" s="55">
        <f>IF(Sequences!$B$36="","",Sequences!$M$30)</f>
        <v/>
      </c>
      <c r="B274" s="63">
        <f>IF(OR(Sequences!$B$36="",'Slot Times'!$H$21=""),"",'Slot Times'!$H$21+Sequences!$E$36/1440)</f>
        <v/>
      </c>
      <c r="C274" s="63">
        <f>IF($B274="","",$B274+Sequences!$D$36/1440)</f>
        <v/>
      </c>
      <c r="D274" s="55">
        <f>IF(Sequences!$B$36="","",Sequences!$K$36)</f>
        <v/>
      </c>
      <c r="E274" s="55">
        <f>IF(Sequences!$B$36="","",Sequences!$L$36)</f>
        <v/>
      </c>
      <c r="F274" s="55">
        <f>IF(Sequences!$B$36="","",Sequences!$B$36)</f>
        <v/>
      </c>
      <c r="G274" s="55">
        <f>IF(OR(Sequences!$B$36="",'Slot Times'!$I$21=""),"","Team: "&amp;'Slot Times'!$I$21)</f>
        <v/>
      </c>
      <c r="H274" s="55">
        <f>IF(Sequences!$B$36="","",IF(Sequences!$F$36="Team + liaisons","Liaisons travel with this block",""))</f>
        <v/>
      </c>
      <c r="I274" s="55">
        <f>IF(Sequences!$B$36="","","SHOW-S"&amp;'Slot Times'!$B$21&amp;"-07")</f>
        <v/>
      </c>
    </row>
    <row r="275">
      <c r="A275" s="55">
        <f>IF(Sequences!$B$37="","",Sequences!$M$30)</f>
        <v/>
      </c>
      <c r="B275" s="63">
        <f>IF(OR(Sequences!$B$37="",'Slot Times'!$H$21=""),"",'Slot Times'!$H$21+Sequences!$E$37/1440)</f>
        <v/>
      </c>
      <c r="C275" s="63">
        <f>IF($B275="","",$B275+Sequences!$D$37/1440)</f>
        <v/>
      </c>
      <c r="D275" s="55">
        <f>IF(Sequences!$B$37="","",Sequences!$K$37)</f>
        <v/>
      </c>
      <c r="E275" s="55">
        <f>IF(Sequences!$B$37="","",Sequences!$L$37)</f>
        <v/>
      </c>
      <c r="F275" s="55">
        <f>IF(Sequences!$B$37="","",Sequences!$B$37)</f>
        <v/>
      </c>
      <c r="G275" s="55">
        <f>IF(OR(Sequences!$B$37="",'Slot Times'!$I$21=""),"","Team: "&amp;'Slot Times'!$I$21)</f>
        <v/>
      </c>
      <c r="H275" s="55">
        <f>IF(Sequences!$B$37="","",IF(Sequences!$F$37="Team + liaisons","Liaisons travel with this block",""))</f>
        <v/>
      </c>
      <c r="I275" s="55">
        <f>IF(Sequences!$B$37="","","SHOW-S"&amp;'Slot Times'!$B$21&amp;"-08")</f>
        <v/>
      </c>
    </row>
    <row r="276">
      <c r="A276" s="55">
        <f>IF(Sequences!$B$38="","",Sequences!$M$30)</f>
        <v/>
      </c>
      <c r="B276" s="63">
        <f>IF(OR(Sequences!$B$38="",'Slot Times'!$H$21=""),"",'Slot Times'!$H$21+Sequences!$E$38/1440)</f>
        <v/>
      </c>
      <c r="C276" s="63">
        <f>IF($B276="","",$B276+Sequences!$D$38/1440)</f>
        <v/>
      </c>
      <c r="D276" s="55">
        <f>IF(Sequences!$B$38="","",Sequences!$K$38)</f>
        <v/>
      </c>
      <c r="E276" s="55">
        <f>IF(Sequences!$B$38="","",Sequences!$L$38)</f>
        <v/>
      </c>
      <c r="F276" s="55">
        <f>IF(Sequences!$B$38="","",Sequences!$B$38)</f>
        <v/>
      </c>
      <c r="G276" s="55">
        <f>IF(OR(Sequences!$B$38="",'Slot Times'!$I$21=""),"","Team: "&amp;'Slot Times'!$I$21)</f>
        <v/>
      </c>
      <c r="H276" s="55">
        <f>IF(Sequences!$B$38="","",IF(Sequences!$F$38="Team + liaisons","Liaisons travel with this block",""))</f>
        <v/>
      </c>
      <c r="I276" s="55">
        <f>IF(Sequences!$B$38="","","SHOW-S"&amp;'Slot Times'!$B$21&amp;"-09")</f>
        <v/>
      </c>
    </row>
    <row r="277">
      <c r="A277" s="55">
        <f>IF(Sequences!$B$39="","",Sequences!$M$30)</f>
        <v/>
      </c>
      <c r="B277" s="63">
        <f>IF(OR(Sequences!$B$39="",'Slot Times'!$H$21=""),"",'Slot Times'!$H$21+Sequences!$E$39/1440)</f>
        <v/>
      </c>
      <c r="C277" s="63">
        <f>IF($B277="","",$B277+Sequences!$D$39/1440)</f>
        <v/>
      </c>
      <c r="D277" s="55">
        <f>IF(Sequences!$B$39="","",Sequences!$K$39)</f>
        <v/>
      </c>
      <c r="E277" s="55">
        <f>IF(Sequences!$B$39="","",Sequences!$L$39)</f>
        <v/>
      </c>
      <c r="F277" s="55">
        <f>IF(Sequences!$B$39="","",Sequences!$B$39)</f>
        <v/>
      </c>
      <c r="G277" s="55">
        <f>IF(OR(Sequences!$B$39="",'Slot Times'!$I$21=""),"","Team: "&amp;'Slot Times'!$I$21)</f>
        <v/>
      </c>
      <c r="H277" s="55">
        <f>IF(Sequences!$B$39="","",IF(Sequences!$F$39="Team + liaisons","Liaisons travel with this block",""))</f>
        <v/>
      </c>
      <c r="I277" s="55">
        <f>IF(Sequences!$B$39="","","SHOW-S"&amp;'Slot Times'!$B$21&amp;"-10")</f>
        <v/>
      </c>
    </row>
    <row r="278">
      <c r="A278" s="55">
        <f>IF(Sequences!$B$40="","",Sequences!$M$30)</f>
        <v/>
      </c>
      <c r="B278" s="63">
        <f>IF(OR(Sequences!$B$40="",'Slot Times'!$H$21=""),"",'Slot Times'!$H$21+Sequences!$E$40/1440)</f>
        <v/>
      </c>
      <c r="C278" s="63">
        <f>IF($B278="","",$B278+Sequences!$D$40/1440)</f>
        <v/>
      </c>
      <c r="D278" s="55">
        <f>IF(Sequences!$B$40="","",Sequences!$K$40)</f>
        <v/>
      </c>
      <c r="E278" s="55">
        <f>IF(Sequences!$B$40="","",Sequences!$L$40)</f>
        <v/>
      </c>
      <c r="F278" s="55">
        <f>IF(Sequences!$B$40="","",Sequences!$B$40)</f>
        <v/>
      </c>
      <c r="G278" s="55">
        <f>IF(OR(Sequences!$B$40="",'Slot Times'!$I$21=""),"","Team: "&amp;'Slot Times'!$I$21)</f>
        <v/>
      </c>
      <c r="H278" s="55">
        <f>IF(Sequences!$B$40="","",IF(Sequences!$F$40="Team + liaisons","Liaisons travel with this block",""))</f>
        <v/>
      </c>
      <c r="I278" s="55">
        <f>IF(Sequences!$B$40="","","SHOW-S"&amp;'Slot Times'!$B$21&amp;"-11")</f>
        <v/>
      </c>
    </row>
    <row r="279">
      <c r="A279" s="55">
        <f>IF(Sequences!$B$41="","",Sequences!$M$30)</f>
        <v/>
      </c>
      <c r="B279" s="63">
        <f>IF(OR(Sequences!$B$41="",'Slot Times'!$H$21=""),"",'Slot Times'!$H$21+Sequences!$E$41/1440)</f>
        <v/>
      </c>
      <c r="C279" s="63">
        <f>IF($B279="","",$B279+Sequences!$D$41/1440)</f>
        <v/>
      </c>
      <c r="D279" s="55">
        <f>IF(Sequences!$B$41="","",Sequences!$K$41)</f>
        <v/>
      </c>
      <c r="E279" s="55">
        <f>IF(Sequences!$B$41="","",Sequences!$L$41)</f>
        <v/>
      </c>
      <c r="F279" s="55">
        <f>IF(Sequences!$B$41="","",Sequences!$B$41)</f>
        <v/>
      </c>
      <c r="G279" s="55">
        <f>IF(OR(Sequences!$B$41="",'Slot Times'!$I$21=""),"","Team: "&amp;'Slot Times'!$I$21)</f>
        <v/>
      </c>
      <c r="H279" s="55">
        <f>IF(Sequences!$B$41="","",IF(Sequences!$F$41="Team + liaisons","Liaisons travel with this block",""))</f>
        <v/>
      </c>
      <c r="I279" s="55">
        <f>IF(Sequences!$B$41="","","SHOW-S"&amp;'Slot Times'!$B$21&amp;"-12")</f>
        <v/>
      </c>
    </row>
    <row r="280">
      <c r="A280" s="55">
        <f>IF(Sequences!$B$42="","",Sequences!$M$30)</f>
        <v/>
      </c>
      <c r="B280" s="63">
        <f>IF(OR(Sequences!$B$42="",'Slot Times'!$H$21=""),"",'Slot Times'!$H$21+Sequences!$E$42/1440)</f>
        <v/>
      </c>
      <c r="C280" s="63">
        <f>IF($B280="","",$B280+Sequences!$D$42/1440)</f>
        <v/>
      </c>
      <c r="D280" s="55">
        <f>IF(Sequences!$B$42="","",Sequences!$K$42)</f>
        <v/>
      </c>
      <c r="E280" s="55">
        <f>IF(Sequences!$B$42="","",Sequences!$L$42)</f>
        <v/>
      </c>
      <c r="F280" s="55">
        <f>IF(Sequences!$B$42="","",Sequences!$B$42)</f>
        <v/>
      </c>
      <c r="G280" s="55">
        <f>IF(OR(Sequences!$B$42="",'Slot Times'!$I$21=""),"","Team: "&amp;'Slot Times'!$I$21)</f>
        <v/>
      </c>
      <c r="H280" s="55">
        <f>IF(Sequences!$B$42="","",IF(Sequences!$F$42="Team + liaisons","Liaisons travel with this block",""))</f>
        <v/>
      </c>
      <c r="I280" s="55">
        <f>IF(Sequences!$B$42="","","SHOW-S"&amp;'Slot Times'!$B$21&amp;"-13")</f>
        <v/>
      </c>
    </row>
    <row r="281">
      <c r="A281" s="55">
        <f>IF(Sequences!$B$43="","",Sequences!$M$30)</f>
        <v/>
      </c>
      <c r="B281" s="63">
        <f>IF(OR(Sequences!$B$43="",'Slot Times'!$H$21=""),"",'Slot Times'!$H$21+Sequences!$E$43/1440)</f>
        <v/>
      </c>
      <c r="C281" s="63">
        <f>IF($B281="","",$B281+Sequences!$D$43/1440)</f>
        <v/>
      </c>
      <c r="D281" s="55">
        <f>IF(Sequences!$B$43="","",Sequences!$K$43)</f>
        <v/>
      </c>
      <c r="E281" s="55">
        <f>IF(Sequences!$B$43="","",Sequences!$L$43)</f>
        <v/>
      </c>
      <c r="F281" s="55">
        <f>IF(Sequences!$B$43="","",Sequences!$B$43)</f>
        <v/>
      </c>
      <c r="G281" s="55">
        <f>IF(OR(Sequences!$B$43="",'Slot Times'!$I$21=""),"","Team: "&amp;'Slot Times'!$I$21)</f>
        <v/>
      </c>
      <c r="H281" s="55">
        <f>IF(Sequences!$B$43="","",IF(Sequences!$F$43="Team + liaisons","Liaisons travel with this block",""))</f>
        <v/>
      </c>
      <c r="I281" s="55">
        <f>IF(Sequences!$B$43="","","SHOW-S"&amp;'Slot Times'!$B$21&amp;"-14")</f>
        <v/>
      </c>
    </row>
    <row r="282">
      <c r="A282" s="55">
        <f>IF(Sequences!$B$30="","",Sequences!$M$30)</f>
        <v/>
      </c>
      <c r="B282" s="63">
        <f>IF(OR(Sequences!$B$30="",'Slot Times'!$H$22=""),"",'Slot Times'!$H$22+Sequences!$E$30/1440)</f>
        <v/>
      </c>
      <c r="C282" s="63">
        <f>IF($B282="","",$B282+Sequences!$D$30/1440)</f>
        <v/>
      </c>
      <c r="D282" s="55">
        <f>IF(Sequences!$B$30="","",Sequences!$K$30)</f>
        <v/>
      </c>
      <c r="E282" s="55">
        <f>IF(Sequences!$B$30="","",Sequences!$L$30)</f>
        <v/>
      </c>
      <c r="F282" s="55">
        <f>IF(Sequences!$B$30="","",Sequences!$B$30)</f>
        <v/>
      </c>
      <c r="G282" s="55">
        <f>IF(OR(Sequences!$B$30="",'Slot Times'!$I$22=""),"","Team: "&amp;'Slot Times'!$I$22)</f>
        <v/>
      </c>
      <c r="H282" s="55">
        <f>IF(Sequences!$B$30="","",IF(Sequences!$F$30="Team + liaisons","Liaisons travel with this block",""))</f>
        <v/>
      </c>
      <c r="I282" s="55">
        <f>IF(Sequences!$B$30="","","SHOW-S"&amp;'Slot Times'!$B$22&amp;"-01")</f>
        <v/>
      </c>
    </row>
    <row r="283">
      <c r="A283" s="55">
        <f>IF(Sequences!$B$31="","",Sequences!$M$30)</f>
        <v/>
      </c>
      <c r="B283" s="63">
        <f>IF(OR(Sequences!$B$31="",'Slot Times'!$H$22=""),"",'Slot Times'!$H$22+Sequences!$E$31/1440)</f>
        <v/>
      </c>
      <c r="C283" s="63">
        <f>IF($B283="","",$B283+Sequences!$D$31/1440)</f>
        <v/>
      </c>
      <c r="D283" s="55">
        <f>IF(Sequences!$B$31="","",Sequences!$K$31)</f>
        <v/>
      </c>
      <c r="E283" s="55">
        <f>IF(Sequences!$B$31="","",Sequences!$L$31)</f>
        <v/>
      </c>
      <c r="F283" s="55">
        <f>IF(Sequences!$B$31="","",Sequences!$B$31)</f>
        <v/>
      </c>
      <c r="G283" s="55">
        <f>IF(OR(Sequences!$B$31="",'Slot Times'!$I$22=""),"","Team: "&amp;'Slot Times'!$I$22)</f>
        <v/>
      </c>
      <c r="H283" s="55">
        <f>IF(Sequences!$B$31="","",IF(Sequences!$F$31="Team + liaisons","Liaisons travel with this block",""))</f>
        <v/>
      </c>
      <c r="I283" s="55">
        <f>IF(Sequences!$B$31="","","SHOW-S"&amp;'Slot Times'!$B$22&amp;"-02")</f>
        <v/>
      </c>
    </row>
    <row r="284">
      <c r="A284" s="55">
        <f>IF(Sequences!$B$32="","",Sequences!$M$30)</f>
        <v/>
      </c>
      <c r="B284" s="63">
        <f>IF(OR(Sequences!$B$32="",'Slot Times'!$H$22=""),"",'Slot Times'!$H$22+Sequences!$E$32/1440)</f>
        <v/>
      </c>
      <c r="C284" s="63">
        <f>IF($B284="","",$B284+Sequences!$D$32/1440)</f>
        <v/>
      </c>
      <c r="D284" s="55">
        <f>IF(Sequences!$B$32="","",Sequences!$K$32)</f>
        <v/>
      </c>
      <c r="E284" s="55">
        <f>IF(Sequences!$B$32="","",Sequences!$L$32)</f>
        <v/>
      </c>
      <c r="F284" s="55">
        <f>IF(Sequences!$B$32="","",Sequences!$B$32)</f>
        <v/>
      </c>
      <c r="G284" s="55">
        <f>IF(OR(Sequences!$B$32="",'Slot Times'!$I$22=""),"","Team: "&amp;'Slot Times'!$I$22)</f>
        <v/>
      </c>
      <c r="H284" s="55">
        <f>IF(Sequences!$B$32="","",IF(Sequences!$F$32="Team + liaisons","Liaisons travel with this block",""))</f>
        <v/>
      </c>
      <c r="I284" s="55">
        <f>IF(Sequences!$B$32="","","SHOW-S"&amp;'Slot Times'!$B$22&amp;"-03")</f>
        <v/>
      </c>
    </row>
    <row r="285">
      <c r="A285" s="55">
        <f>IF(Sequences!$B$33="","",Sequences!$M$30)</f>
        <v/>
      </c>
      <c r="B285" s="63">
        <f>IF(OR(Sequences!$B$33="",'Slot Times'!$H$22=""),"",'Slot Times'!$H$22+Sequences!$E$33/1440)</f>
        <v/>
      </c>
      <c r="C285" s="63">
        <f>IF($B285="","",$B285+Sequences!$D$33/1440)</f>
        <v/>
      </c>
      <c r="D285" s="55">
        <f>IF(Sequences!$B$33="","",Sequences!$K$33)</f>
        <v/>
      </c>
      <c r="E285" s="55">
        <f>IF(Sequences!$B$33="","",Sequences!$L$33)</f>
        <v/>
      </c>
      <c r="F285" s="55">
        <f>IF(Sequences!$B$33="","",Sequences!$B$33)</f>
        <v/>
      </c>
      <c r="G285" s="55">
        <f>IF(OR(Sequences!$B$33="",'Slot Times'!$I$22=""),"","Team: "&amp;'Slot Times'!$I$22)</f>
        <v/>
      </c>
      <c r="H285" s="55">
        <f>IF(Sequences!$B$33="","",IF(Sequences!$F$33="Team + liaisons","Liaisons travel with this block",""))</f>
        <v/>
      </c>
      <c r="I285" s="55">
        <f>IF(Sequences!$B$33="","","SHOW-S"&amp;'Slot Times'!$B$22&amp;"-04")</f>
        <v/>
      </c>
    </row>
    <row r="286">
      <c r="A286" s="55">
        <f>IF(Sequences!$B$34="","",Sequences!$M$30)</f>
        <v/>
      </c>
      <c r="B286" s="63">
        <f>IF(OR(Sequences!$B$34="",'Slot Times'!$H$22=""),"",'Slot Times'!$H$22+Sequences!$E$34/1440)</f>
        <v/>
      </c>
      <c r="C286" s="63">
        <f>IF($B286="","",$B286+Sequences!$D$34/1440)</f>
        <v/>
      </c>
      <c r="D286" s="55">
        <f>IF(Sequences!$B$34="","",Sequences!$K$34)</f>
        <v/>
      </c>
      <c r="E286" s="55">
        <f>IF(Sequences!$B$34="","",Sequences!$L$34)</f>
        <v/>
      </c>
      <c r="F286" s="55">
        <f>IF(Sequences!$B$34="","",Sequences!$B$34)</f>
        <v/>
      </c>
      <c r="G286" s="55">
        <f>IF(OR(Sequences!$B$34="",'Slot Times'!$I$22=""),"","Team: "&amp;'Slot Times'!$I$22)</f>
        <v/>
      </c>
      <c r="H286" s="55">
        <f>IF(Sequences!$B$34="","",IF(Sequences!$F$34="Team + liaisons","Liaisons travel with this block",""))</f>
        <v/>
      </c>
      <c r="I286" s="55">
        <f>IF(Sequences!$B$34="","","SHOW-S"&amp;'Slot Times'!$B$22&amp;"-05")</f>
        <v/>
      </c>
    </row>
    <row r="287">
      <c r="A287" s="55">
        <f>IF(Sequences!$B$35="","",Sequences!$M$30)</f>
        <v/>
      </c>
      <c r="B287" s="63">
        <f>IF(OR(Sequences!$B$35="",'Slot Times'!$H$22=""),"",'Slot Times'!$H$22+Sequences!$E$35/1440)</f>
        <v/>
      </c>
      <c r="C287" s="63">
        <f>IF($B287="","",$B287+Sequences!$D$35/1440)</f>
        <v/>
      </c>
      <c r="D287" s="55">
        <f>IF(Sequences!$B$35="","",Sequences!$K$35)</f>
        <v/>
      </c>
      <c r="E287" s="55">
        <f>IF(Sequences!$B$35="","",Sequences!$L$35)</f>
        <v/>
      </c>
      <c r="F287" s="55">
        <f>IF(Sequences!$B$35="","",Sequences!$B$35)</f>
        <v/>
      </c>
      <c r="G287" s="55">
        <f>IF(OR(Sequences!$B$35="",'Slot Times'!$I$22=""),"","Team: "&amp;'Slot Times'!$I$22)</f>
        <v/>
      </c>
      <c r="H287" s="55">
        <f>IF(Sequences!$B$35="","",IF(Sequences!$F$35="Team + liaisons","Liaisons travel with this block",""))</f>
        <v/>
      </c>
      <c r="I287" s="55">
        <f>IF(Sequences!$B$35="","","SHOW-S"&amp;'Slot Times'!$B$22&amp;"-06")</f>
        <v/>
      </c>
    </row>
    <row r="288">
      <c r="A288" s="55">
        <f>IF(Sequences!$B$36="","",Sequences!$M$30)</f>
        <v/>
      </c>
      <c r="B288" s="63">
        <f>IF(OR(Sequences!$B$36="",'Slot Times'!$H$22=""),"",'Slot Times'!$H$22+Sequences!$E$36/1440)</f>
        <v/>
      </c>
      <c r="C288" s="63">
        <f>IF($B288="","",$B288+Sequences!$D$36/1440)</f>
        <v/>
      </c>
      <c r="D288" s="55">
        <f>IF(Sequences!$B$36="","",Sequences!$K$36)</f>
        <v/>
      </c>
      <c r="E288" s="55">
        <f>IF(Sequences!$B$36="","",Sequences!$L$36)</f>
        <v/>
      </c>
      <c r="F288" s="55">
        <f>IF(Sequences!$B$36="","",Sequences!$B$36)</f>
        <v/>
      </c>
      <c r="G288" s="55">
        <f>IF(OR(Sequences!$B$36="",'Slot Times'!$I$22=""),"","Team: "&amp;'Slot Times'!$I$22)</f>
        <v/>
      </c>
      <c r="H288" s="55">
        <f>IF(Sequences!$B$36="","",IF(Sequences!$F$36="Team + liaisons","Liaisons travel with this block",""))</f>
        <v/>
      </c>
      <c r="I288" s="55">
        <f>IF(Sequences!$B$36="","","SHOW-S"&amp;'Slot Times'!$B$22&amp;"-07")</f>
        <v/>
      </c>
    </row>
    <row r="289">
      <c r="A289" s="55">
        <f>IF(Sequences!$B$37="","",Sequences!$M$30)</f>
        <v/>
      </c>
      <c r="B289" s="63">
        <f>IF(OR(Sequences!$B$37="",'Slot Times'!$H$22=""),"",'Slot Times'!$H$22+Sequences!$E$37/1440)</f>
        <v/>
      </c>
      <c r="C289" s="63">
        <f>IF($B289="","",$B289+Sequences!$D$37/1440)</f>
        <v/>
      </c>
      <c r="D289" s="55">
        <f>IF(Sequences!$B$37="","",Sequences!$K$37)</f>
        <v/>
      </c>
      <c r="E289" s="55">
        <f>IF(Sequences!$B$37="","",Sequences!$L$37)</f>
        <v/>
      </c>
      <c r="F289" s="55">
        <f>IF(Sequences!$B$37="","",Sequences!$B$37)</f>
        <v/>
      </c>
      <c r="G289" s="55">
        <f>IF(OR(Sequences!$B$37="",'Slot Times'!$I$22=""),"","Team: "&amp;'Slot Times'!$I$22)</f>
        <v/>
      </c>
      <c r="H289" s="55">
        <f>IF(Sequences!$B$37="","",IF(Sequences!$F$37="Team + liaisons","Liaisons travel with this block",""))</f>
        <v/>
      </c>
      <c r="I289" s="55">
        <f>IF(Sequences!$B$37="","","SHOW-S"&amp;'Slot Times'!$B$22&amp;"-08")</f>
        <v/>
      </c>
    </row>
    <row r="290">
      <c r="A290" s="55">
        <f>IF(Sequences!$B$38="","",Sequences!$M$30)</f>
        <v/>
      </c>
      <c r="B290" s="63">
        <f>IF(OR(Sequences!$B$38="",'Slot Times'!$H$22=""),"",'Slot Times'!$H$22+Sequences!$E$38/1440)</f>
        <v/>
      </c>
      <c r="C290" s="63">
        <f>IF($B290="","",$B290+Sequences!$D$38/1440)</f>
        <v/>
      </c>
      <c r="D290" s="55">
        <f>IF(Sequences!$B$38="","",Sequences!$K$38)</f>
        <v/>
      </c>
      <c r="E290" s="55">
        <f>IF(Sequences!$B$38="","",Sequences!$L$38)</f>
        <v/>
      </c>
      <c r="F290" s="55">
        <f>IF(Sequences!$B$38="","",Sequences!$B$38)</f>
        <v/>
      </c>
      <c r="G290" s="55">
        <f>IF(OR(Sequences!$B$38="",'Slot Times'!$I$22=""),"","Team: "&amp;'Slot Times'!$I$22)</f>
        <v/>
      </c>
      <c r="H290" s="55">
        <f>IF(Sequences!$B$38="","",IF(Sequences!$F$38="Team + liaisons","Liaisons travel with this block",""))</f>
        <v/>
      </c>
      <c r="I290" s="55">
        <f>IF(Sequences!$B$38="","","SHOW-S"&amp;'Slot Times'!$B$22&amp;"-09")</f>
        <v/>
      </c>
    </row>
    <row r="291">
      <c r="A291" s="55">
        <f>IF(Sequences!$B$39="","",Sequences!$M$30)</f>
        <v/>
      </c>
      <c r="B291" s="63">
        <f>IF(OR(Sequences!$B$39="",'Slot Times'!$H$22=""),"",'Slot Times'!$H$22+Sequences!$E$39/1440)</f>
        <v/>
      </c>
      <c r="C291" s="63">
        <f>IF($B291="","",$B291+Sequences!$D$39/1440)</f>
        <v/>
      </c>
      <c r="D291" s="55">
        <f>IF(Sequences!$B$39="","",Sequences!$K$39)</f>
        <v/>
      </c>
      <c r="E291" s="55">
        <f>IF(Sequences!$B$39="","",Sequences!$L$39)</f>
        <v/>
      </c>
      <c r="F291" s="55">
        <f>IF(Sequences!$B$39="","",Sequences!$B$39)</f>
        <v/>
      </c>
      <c r="G291" s="55">
        <f>IF(OR(Sequences!$B$39="",'Slot Times'!$I$22=""),"","Team: "&amp;'Slot Times'!$I$22)</f>
        <v/>
      </c>
      <c r="H291" s="55">
        <f>IF(Sequences!$B$39="","",IF(Sequences!$F$39="Team + liaisons","Liaisons travel with this block",""))</f>
        <v/>
      </c>
      <c r="I291" s="55">
        <f>IF(Sequences!$B$39="","","SHOW-S"&amp;'Slot Times'!$B$22&amp;"-10")</f>
        <v/>
      </c>
    </row>
    <row r="292">
      <c r="A292" s="55">
        <f>IF(Sequences!$B$40="","",Sequences!$M$30)</f>
        <v/>
      </c>
      <c r="B292" s="63">
        <f>IF(OR(Sequences!$B$40="",'Slot Times'!$H$22=""),"",'Slot Times'!$H$22+Sequences!$E$40/1440)</f>
        <v/>
      </c>
      <c r="C292" s="63">
        <f>IF($B292="","",$B292+Sequences!$D$40/1440)</f>
        <v/>
      </c>
      <c r="D292" s="55">
        <f>IF(Sequences!$B$40="","",Sequences!$K$40)</f>
        <v/>
      </c>
      <c r="E292" s="55">
        <f>IF(Sequences!$B$40="","",Sequences!$L$40)</f>
        <v/>
      </c>
      <c r="F292" s="55">
        <f>IF(Sequences!$B$40="","",Sequences!$B$40)</f>
        <v/>
      </c>
      <c r="G292" s="55">
        <f>IF(OR(Sequences!$B$40="",'Slot Times'!$I$22=""),"","Team: "&amp;'Slot Times'!$I$22)</f>
        <v/>
      </c>
      <c r="H292" s="55">
        <f>IF(Sequences!$B$40="","",IF(Sequences!$F$40="Team + liaisons","Liaisons travel with this block",""))</f>
        <v/>
      </c>
      <c r="I292" s="55">
        <f>IF(Sequences!$B$40="","","SHOW-S"&amp;'Slot Times'!$B$22&amp;"-11")</f>
        <v/>
      </c>
    </row>
    <row r="293">
      <c r="A293" s="55">
        <f>IF(Sequences!$B$41="","",Sequences!$M$30)</f>
        <v/>
      </c>
      <c r="B293" s="63">
        <f>IF(OR(Sequences!$B$41="",'Slot Times'!$H$22=""),"",'Slot Times'!$H$22+Sequences!$E$41/1440)</f>
        <v/>
      </c>
      <c r="C293" s="63">
        <f>IF($B293="","",$B293+Sequences!$D$41/1440)</f>
        <v/>
      </c>
      <c r="D293" s="55">
        <f>IF(Sequences!$B$41="","",Sequences!$K$41)</f>
        <v/>
      </c>
      <c r="E293" s="55">
        <f>IF(Sequences!$B$41="","",Sequences!$L$41)</f>
        <v/>
      </c>
      <c r="F293" s="55">
        <f>IF(Sequences!$B$41="","",Sequences!$B$41)</f>
        <v/>
      </c>
      <c r="G293" s="55">
        <f>IF(OR(Sequences!$B$41="",'Slot Times'!$I$22=""),"","Team: "&amp;'Slot Times'!$I$22)</f>
        <v/>
      </c>
      <c r="H293" s="55">
        <f>IF(Sequences!$B$41="","",IF(Sequences!$F$41="Team + liaisons","Liaisons travel with this block",""))</f>
        <v/>
      </c>
      <c r="I293" s="55">
        <f>IF(Sequences!$B$41="","","SHOW-S"&amp;'Slot Times'!$B$22&amp;"-12")</f>
        <v/>
      </c>
    </row>
    <row r="294">
      <c r="A294" s="55">
        <f>IF(Sequences!$B$42="","",Sequences!$M$30)</f>
        <v/>
      </c>
      <c r="B294" s="63">
        <f>IF(OR(Sequences!$B$42="",'Slot Times'!$H$22=""),"",'Slot Times'!$H$22+Sequences!$E$42/1440)</f>
        <v/>
      </c>
      <c r="C294" s="63">
        <f>IF($B294="","",$B294+Sequences!$D$42/1440)</f>
        <v/>
      </c>
      <c r="D294" s="55">
        <f>IF(Sequences!$B$42="","",Sequences!$K$42)</f>
        <v/>
      </c>
      <c r="E294" s="55">
        <f>IF(Sequences!$B$42="","",Sequences!$L$42)</f>
        <v/>
      </c>
      <c r="F294" s="55">
        <f>IF(Sequences!$B$42="","",Sequences!$B$42)</f>
        <v/>
      </c>
      <c r="G294" s="55">
        <f>IF(OR(Sequences!$B$42="",'Slot Times'!$I$22=""),"","Team: "&amp;'Slot Times'!$I$22)</f>
        <v/>
      </c>
      <c r="H294" s="55">
        <f>IF(Sequences!$B$42="","",IF(Sequences!$F$42="Team + liaisons","Liaisons travel with this block",""))</f>
        <v/>
      </c>
      <c r="I294" s="55">
        <f>IF(Sequences!$B$42="","","SHOW-S"&amp;'Slot Times'!$B$22&amp;"-13")</f>
        <v/>
      </c>
    </row>
    <row r="295">
      <c r="A295" s="55">
        <f>IF(Sequences!$B$43="","",Sequences!$M$30)</f>
        <v/>
      </c>
      <c r="B295" s="63">
        <f>IF(OR(Sequences!$B$43="",'Slot Times'!$H$22=""),"",'Slot Times'!$H$22+Sequences!$E$43/1440)</f>
        <v/>
      </c>
      <c r="C295" s="63">
        <f>IF($B295="","",$B295+Sequences!$D$43/1440)</f>
        <v/>
      </c>
      <c r="D295" s="55">
        <f>IF(Sequences!$B$43="","",Sequences!$K$43)</f>
        <v/>
      </c>
      <c r="E295" s="55">
        <f>IF(Sequences!$B$43="","",Sequences!$L$43)</f>
        <v/>
      </c>
      <c r="F295" s="55">
        <f>IF(Sequences!$B$43="","",Sequences!$B$43)</f>
        <v/>
      </c>
      <c r="G295" s="55">
        <f>IF(OR(Sequences!$B$43="",'Slot Times'!$I$22=""),"","Team: "&amp;'Slot Times'!$I$22)</f>
        <v/>
      </c>
      <c r="H295" s="55">
        <f>IF(Sequences!$B$43="","",IF(Sequences!$F$43="Team + liaisons","Liaisons travel with this block",""))</f>
        <v/>
      </c>
      <c r="I295" s="55">
        <f>IF(Sequences!$B$43="","","SHOW-S"&amp;'Slot Times'!$B$22&amp;"-14")</f>
        <v/>
      </c>
    </row>
    <row r="296">
      <c r="A296" s="55">
        <f>IF(Sequences!$B$30="","",Sequences!$M$30)</f>
        <v/>
      </c>
      <c r="B296" s="63">
        <f>IF(OR(Sequences!$B$30="",'Slot Times'!$H$23=""),"",'Slot Times'!$H$23+Sequences!$E$30/1440)</f>
        <v/>
      </c>
      <c r="C296" s="63">
        <f>IF($B296="","",$B296+Sequences!$D$30/1440)</f>
        <v/>
      </c>
      <c r="D296" s="55">
        <f>IF(Sequences!$B$30="","",Sequences!$K$30)</f>
        <v/>
      </c>
      <c r="E296" s="55">
        <f>IF(Sequences!$B$30="","",Sequences!$L$30)</f>
        <v/>
      </c>
      <c r="F296" s="55">
        <f>IF(Sequences!$B$30="","",Sequences!$B$30)</f>
        <v/>
      </c>
      <c r="G296" s="55">
        <f>IF(OR(Sequences!$B$30="",'Slot Times'!$I$23=""),"","Team: "&amp;'Slot Times'!$I$23)</f>
        <v/>
      </c>
      <c r="H296" s="55">
        <f>IF(Sequences!$B$30="","",IF(Sequences!$F$30="Team + liaisons","Liaisons travel with this block",""))</f>
        <v/>
      </c>
      <c r="I296" s="55">
        <f>IF(Sequences!$B$30="","","SHOW-S"&amp;'Slot Times'!$B$23&amp;"-01")</f>
        <v/>
      </c>
    </row>
    <row r="297">
      <c r="A297" s="55">
        <f>IF(Sequences!$B$31="","",Sequences!$M$30)</f>
        <v/>
      </c>
      <c r="B297" s="63">
        <f>IF(OR(Sequences!$B$31="",'Slot Times'!$H$23=""),"",'Slot Times'!$H$23+Sequences!$E$31/1440)</f>
        <v/>
      </c>
      <c r="C297" s="63">
        <f>IF($B297="","",$B297+Sequences!$D$31/1440)</f>
        <v/>
      </c>
      <c r="D297" s="55">
        <f>IF(Sequences!$B$31="","",Sequences!$K$31)</f>
        <v/>
      </c>
      <c r="E297" s="55">
        <f>IF(Sequences!$B$31="","",Sequences!$L$31)</f>
        <v/>
      </c>
      <c r="F297" s="55">
        <f>IF(Sequences!$B$31="","",Sequences!$B$31)</f>
        <v/>
      </c>
      <c r="G297" s="55">
        <f>IF(OR(Sequences!$B$31="",'Slot Times'!$I$23=""),"","Team: "&amp;'Slot Times'!$I$23)</f>
        <v/>
      </c>
      <c r="H297" s="55">
        <f>IF(Sequences!$B$31="","",IF(Sequences!$F$31="Team + liaisons","Liaisons travel with this block",""))</f>
        <v/>
      </c>
      <c r="I297" s="55">
        <f>IF(Sequences!$B$31="","","SHOW-S"&amp;'Slot Times'!$B$23&amp;"-02")</f>
        <v/>
      </c>
    </row>
    <row r="298">
      <c r="A298" s="55">
        <f>IF(Sequences!$B$32="","",Sequences!$M$30)</f>
        <v/>
      </c>
      <c r="B298" s="63">
        <f>IF(OR(Sequences!$B$32="",'Slot Times'!$H$23=""),"",'Slot Times'!$H$23+Sequences!$E$32/1440)</f>
        <v/>
      </c>
      <c r="C298" s="63">
        <f>IF($B298="","",$B298+Sequences!$D$32/1440)</f>
        <v/>
      </c>
      <c r="D298" s="55">
        <f>IF(Sequences!$B$32="","",Sequences!$K$32)</f>
        <v/>
      </c>
      <c r="E298" s="55">
        <f>IF(Sequences!$B$32="","",Sequences!$L$32)</f>
        <v/>
      </c>
      <c r="F298" s="55">
        <f>IF(Sequences!$B$32="","",Sequences!$B$32)</f>
        <v/>
      </c>
      <c r="G298" s="55">
        <f>IF(OR(Sequences!$B$32="",'Slot Times'!$I$23=""),"","Team: "&amp;'Slot Times'!$I$23)</f>
        <v/>
      </c>
      <c r="H298" s="55">
        <f>IF(Sequences!$B$32="","",IF(Sequences!$F$32="Team + liaisons","Liaisons travel with this block",""))</f>
        <v/>
      </c>
      <c r="I298" s="55">
        <f>IF(Sequences!$B$32="","","SHOW-S"&amp;'Slot Times'!$B$23&amp;"-03")</f>
        <v/>
      </c>
    </row>
    <row r="299">
      <c r="A299" s="55">
        <f>IF(Sequences!$B$33="","",Sequences!$M$30)</f>
        <v/>
      </c>
      <c r="B299" s="63">
        <f>IF(OR(Sequences!$B$33="",'Slot Times'!$H$23=""),"",'Slot Times'!$H$23+Sequences!$E$33/1440)</f>
        <v/>
      </c>
      <c r="C299" s="63">
        <f>IF($B299="","",$B299+Sequences!$D$33/1440)</f>
        <v/>
      </c>
      <c r="D299" s="55">
        <f>IF(Sequences!$B$33="","",Sequences!$K$33)</f>
        <v/>
      </c>
      <c r="E299" s="55">
        <f>IF(Sequences!$B$33="","",Sequences!$L$33)</f>
        <v/>
      </c>
      <c r="F299" s="55">
        <f>IF(Sequences!$B$33="","",Sequences!$B$33)</f>
        <v/>
      </c>
      <c r="G299" s="55">
        <f>IF(OR(Sequences!$B$33="",'Slot Times'!$I$23=""),"","Team: "&amp;'Slot Times'!$I$23)</f>
        <v/>
      </c>
      <c r="H299" s="55">
        <f>IF(Sequences!$B$33="","",IF(Sequences!$F$33="Team + liaisons","Liaisons travel with this block",""))</f>
        <v/>
      </c>
      <c r="I299" s="55">
        <f>IF(Sequences!$B$33="","","SHOW-S"&amp;'Slot Times'!$B$23&amp;"-04")</f>
        <v/>
      </c>
    </row>
    <row r="300">
      <c r="A300" s="55">
        <f>IF(Sequences!$B$34="","",Sequences!$M$30)</f>
        <v/>
      </c>
      <c r="B300" s="63">
        <f>IF(OR(Sequences!$B$34="",'Slot Times'!$H$23=""),"",'Slot Times'!$H$23+Sequences!$E$34/1440)</f>
        <v/>
      </c>
      <c r="C300" s="63">
        <f>IF($B300="","",$B300+Sequences!$D$34/1440)</f>
        <v/>
      </c>
      <c r="D300" s="55">
        <f>IF(Sequences!$B$34="","",Sequences!$K$34)</f>
        <v/>
      </c>
      <c r="E300" s="55">
        <f>IF(Sequences!$B$34="","",Sequences!$L$34)</f>
        <v/>
      </c>
      <c r="F300" s="55">
        <f>IF(Sequences!$B$34="","",Sequences!$B$34)</f>
        <v/>
      </c>
      <c r="G300" s="55">
        <f>IF(OR(Sequences!$B$34="",'Slot Times'!$I$23=""),"","Team: "&amp;'Slot Times'!$I$23)</f>
        <v/>
      </c>
      <c r="H300" s="55">
        <f>IF(Sequences!$B$34="","",IF(Sequences!$F$34="Team + liaisons","Liaisons travel with this block",""))</f>
        <v/>
      </c>
      <c r="I300" s="55">
        <f>IF(Sequences!$B$34="","","SHOW-S"&amp;'Slot Times'!$B$23&amp;"-05")</f>
        <v/>
      </c>
    </row>
    <row r="301">
      <c r="A301" s="55">
        <f>IF(Sequences!$B$35="","",Sequences!$M$30)</f>
        <v/>
      </c>
      <c r="B301" s="63">
        <f>IF(OR(Sequences!$B$35="",'Slot Times'!$H$23=""),"",'Slot Times'!$H$23+Sequences!$E$35/1440)</f>
        <v/>
      </c>
      <c r="C301" s="63">
        <f>IF($B301="","",$B301+Sequences!$D$35/1440)</f>
        <v/>
      </c>
      <c r="D301" s="55">
        <f>IF(Sequences!$B$35="","",Sequences!$K$35)</f>
        <v/>
      </c>
      <c r="E301" s="55">
        <f>IF(Sequences!$B$35="","",Sequences!$L$35)</f>
        <v/>
      </c>
      <c r="F301" s="55">
        <f>IF(Sequences!$B$35="","",Sequences!$B$35)</f>
        <v/>
      </c>
      <c r="G301" s="55">
        <f>IF(OR(Sequences!$B$35="",'Slot Times'!$I$23=""),"","Team: "&amp;'Slot Times'!$I$23)</f>
        <v/>
      </c>
      <c r="H301" s="55">
        <f>IF(Sequences!$B$35="","",IF(Sequences!$F$35="Team + liaisons","Liaisons travel with this block",""))</f>
        <v/>
      </c>
      <c r="I301" s="55">
        <f>IF(Sequences!$B$35="","","SHOW-S"&amp;'Slot Times'!$B$23&amp;"-06")</f>
        <v/>
      </c>
    </row>
    <row r="302">
      <c r="A302" s="55">
        <f>IF(Sequences!$B$36="","",Sequences!$M$30)</f>
        <v/>
      </c>
      <c r="B302" s="63">
        <f>IF(OR(Sequences!$B$36="",'Slot Times'!$H$23=""),"",'Slot Times'!$H$23+Sequences!$E$36/1440)</f>
        <v/>
      </c>
      <c r="C302" s="63">
        <f>IF($B302="","",$B302+Sequences!$D$36/1440)</f>
        <v/>
      </c>
      <c r="D302" s="55">
        <f>IF(Sequences!$B$36="","",Sequences!$K$36)</f>
        <v/>
      </c>
      <c r="E302" s="55">
        <f>IF(Sequences!$B$36="","",Sequences!$L$36)</f>
        <v/>
      </c>
      <c r="F302" s="55">
        <f>IF(Sequences!$B$36="","",Sequences!$B$36)</f>
        <v/>
      </c>
      <c r="G302" s="55">
        <f>IF(OR(Sequences!$B$36="",'Slot Times'!$I$23=""),"","Team: "&amp;'Slot Times'!$I$23)</f>
        <v/>
      </c>
      <c r="H302" s="55">
        <f>IF(Sequences!$B$36="","",IF(Sequences!$F$36="Team + liaisons","Liaisons travel with this block",""))</f>
        <v/>
      </c>
      <c r="I302" s="55">
        <f>IF(Sequences!$B$36="","","SHOW-S"&amp;'Slot Times'!$B$23&amp;"-07")</f>
        <v/>
      </c>
    </row>
    <row r="303">
      <c r="A303" s="55">
        <f>IF(Sequences!$B$37="","",Sequences!$M$30)</f>
        <v/>
      </c>
      <c r="B303" s="63">
        <f>IF(OR(Sequences!$B$37="",'Slot Times'!$H$23=""),"",'Slot Times'!$H$23+Sequences!$E$37/1440)</f>
        <v/>
      </c>
      <c r="C303" s="63">
        <f>IF($B303="","",$B303+Sequences!$D$37/1440)</f>
        <v/>
      </c>
      <c r="D303" s="55">
        <f>IF(Sequences!$B$37="","",Sequences!$K$37)</f>
        <v/>
      </c>
      <c r="E303" s="55">
        <f>IF(Sequences!$B$37="","",Sequences!$L$37)</f>
        <v/>
      </c>
      <c r="F303" s="55">
        <f>IF(Sequences!$B$37="","",Sequences!$B$37)</f>
        <v/>
      </c>
      <c r="G303" s="55">
        <f>IF(OR(Sequences!$B$37="",'Slot Times'!$I$23=""),"","Team: "&amp;'Slot Times'!$I$23)</f>
        <v/>
      </c>
      <c r="H303" s="55">
        <f>IF(Sequences!$B$37="","",IF(Sequences!$F$37="Team + liaisons","Liaisons travel with this block",""))</f>
        <v/>
      </c>
      <c r="I303" s="55">
        <f>IF(Sequences!$B$37="","","SHOW-S"&amp;'Slot Times'!$B$23&amp;"-08")</f>
        <v/>
      </c>
    </row>
    <row r="304">
      <c r="A304" s="55">
        <f>IF(Sequences!$B$38="","",Sequences!$M$30)</f>
        <v/>
      </c>
      <c r="B304" s="63">
        <f>IF(OR(Sequences!$B$38="",'Slot Times'!$H$23=""),"",'Slot Times'!$H$23+Sequences!$E$38/1440)</f>
        <v/>
      </c>
      <c r="C304" s="63">
        <f>IF($B304="","",$B304+Sequences!$D$38/1440)</f>
        <v/>
      </c>
      <c r="D304" s="55">
        <f>IF(Sequences!$B$38="","",Sequences!$K$38)</f>
        <v/>
      </c>
      <c r="E304" s="55">
        <f>IF(Sequences!$B$38="","",Sequences!$L$38)</f>
        <v/>
      </c>
      <c r="F304" s="55">
        <f>IF(Sequences!$B$38="","",Sequences!$B$38)</f>
        <v/>
      </c>
      <c r="G304" s="55">
        <f>IF(OR(Sequences!$B$38="",'Slot Times'!$I$23=""),"","Team: "&amp;'Slot Times'!$I$23)</f>
        <v/>
      </c>
      <c r="H304" s="55">
        <f>IF(Sequences!$B$38="","",IF(Sequences!$F$38="Team + liaisons","Liaisons travel with this block",""))</f>
        <v/>
      </c>
      <c r="I304" s="55">
        <f>IF(Sequences!$B$38="","","SHOW-S"&amp;'Slot Times'!$B$23&amp;"-09")</f>
        <v/>
      </c>
    </row>
    <row r="305">
      <c r="A305" s="55">
        <f>IF(Sequences!$B$39="","",Sequences!$M$30)</f>
        <v/>
      </c>
      <c r="B305" s="63">
        <f>IF(OR(Sequences!$B$39="",'Slot Times'!$H$23=""),"",'Slot Times'!$H$23+Sequences!$E$39/1440)</f>
        <v/>
      </c>
      <c r="C305" s="63">
        <f>IF($B305="","",$B305+Sequences!$D$39/1440)</f>
        <v/>
      </c>
      <c r="D305" s="55">
        <f>IF(Sequences!$B$39="","",Sequences!$K$39)</f>
        <v/>
      </c>
      <c r="E305" s="55">
        <f>IF(Sequences!$B$39="","",Sequences!$L$39)</f>
        <v/>
      </c>
      <c r="F305" s="55">
        <f>IF(Sequences!$B$39="","",Sequences!$B$39)</f>
        <v/>
      </c>
      <c r="G305" s="55">
        <f>IF(OR(Sequences!$B$39="",'Slot Times'!$I$23=""),"","Team: "&amp;'Slot Times'!$I$23)</f>
        <v/>
      </c>
      <c r="H305" s="55">
        <f>IF(Sequences!$B$39="","",IF(Sequences!$F$39="Team + liaisons","Liaisons travel with this block",""))</f>
        <v/>
      </c>
      <c r="I305" s="55">
        <f>IF(Sequences!$B$39="","","SHOW-S"&amp;'Slot Times'!$B$23&amp;"-10")</f>
        <v/>
      </c>
    </row>
    <row r="306">
      <c r="A306" s="55">
        <f>IF(Sequences!$B$40="","",Sequences!$M$30)</f>
        <v/>
      </c>
      <c r="B306" s="63">
        <f>IF(OR(Sequences!$B$40="",'Slot Times'!$H$23=""),"",'Slot Times'!$H$23+Sequences!$E$40/1440)</f>
        <v/>
      </c>
      <c r="C306" s="63">
        <f>IF($B306="","",$B306+Sequences!$D$40/1440)</f>
        <v/>
      </c>
      <c r="D306" s="55">
        <f>IF(Sequences!$B$40="","",Sequences!$K$40)</f>
        <v/>
      </c>
      <c r="E306" s="55">
        <f>IF(Sequences!$B$40="","",Sequences!$L$40)</f>
        <v/>
      </c>
      <c r="F306" s="55">
        <f>IF(Sequences!$B$40="","",Sequences!$B$40)</f>
        <v/>
      </c>
      <c r="G306" s="55">
        <f>IF(OR(Sequences!$B$40="",'Slot Times'!$I$23=""),"","Team: "&amp;'Slot Times'!$I$23)</f>
        <v/>
      </c>
      <c r="H306" s="55">
        <f>IF(Sequences!$B$40="","",IF(Sequences!$F$40="Team + liaisons","Liaisons travel with this block",""))</f>
        <v/>
      </c>
      <c r="I306" s="55">
        <f>IF(Sequences!$B$40="","","SHOW-S"&amp;'Slot Times'!$B$23&amp;"-11")</f>
        <v/>
      </c>
    </row>
    <row r="307">
      <c r="A307" s="55">
        <f>IF(Sequences!$B$41="","",Sequences!$M$30)</f>
        <v/>
      </c>
      <c r="B307" s="63">
        <f>IF(OR(Sequences!$B$41="",'Slot Times'!$H$23=""),"",'Slot Times'!$H$23+Sequences!$E$41/1440)</f>
        <v/>
      </c>
      <c r="C307" s="63">
        <f>IF($B307="","",$B307+Sequences!$D$41/1440)</f>
        <v/>
      </c>
      <c r="D307" s="55">
        <f>IF(Sequences!$B$41="","",Sequences!$K$41)</f>
        <v/>
      </c>
      <c r="E307" s="55">
        <f>IF(Sequences!$B$41="","",Sequences!$L$41)</f>
        <v/>
      </c>
      <c r="F307" s="55">
        <f>IF(Sequences!$B$41="","",Sequences!$B$41)</f>
        <v/>
      </c>
      <c r="G307" s="55">
        <f>IF(OR(Sequences!$B$41="",'Slot Times'!$I$23=""),"","Team: "&amp;'Slot Times'!$I$23)</f>
        <v/>
      </c>
      <c r="H307" s="55">
        <f>IF(Sequences!$B$41="","",IF(Sequences!$F$41="Team + liaisons","Liaisons travel with this block",""))</f>
        <v/>
      </c>
      <c r="I307" s="55">
        <f>IF(Sequences!$B$41="","","SHOW-S"&amp;'Slot Times'!$B$23&amp;"-12")</f>
        <v/>
      </c>
    </row>
    <row r="308">
      <c r="A308" s="55">
        <f>IF(Sequences!$B$42="","",Sequences!$M$30)</f>
        <v/>
      </c>
      <c r="B308" s="63">
        <f>IF(OR(Sequences!$B$42="",'Slot Times'!$H$23=""),"",'Slot Times'!$H$23+Sequences!$E$42/1440)</f>
        <v/>
      </c>
      <c r="C308" s="63">
        <f>IF($B308="","",$B308+Sequences!$D$42/1440)</f>
        <v/>
      </c>
      <c r="D308" s="55">
        <f>IF(Sequences!$B$42="","",Sequences!$K$42)</f>
        <v/>
      </c>
      <c r="E308" s="55">
        <f>IF(Sequences!$B$42="","",Sequences!$L$42)</f>
        <v/>
      </c>
      <c r="F308" s="55">
        <f>IF(Sequences!$B$42="","",Sequences!$B$42)</f>
        <v/>
      </c>
      <c r="G308" s="55">
        <f>IF(OR(Sequences!$B$42="",'Slot Times'!$I$23=""),"","Team: "&amp;'Slot Times'!$I$23)</f>
        <v/>
      </c>
      <c r="H308" s="55">
        <f>IF(Sequences!$B$42="","",IF(Sequences!$F$42="Team + liaisons","Liaisons travel with this block",""))</f>
        <v/>
      </c>
      <c r="I308" s="55">
        <f>IF(Sequences!$B$42="","","SHOW-S"&amp;'Slot Times'!$B$23&amp;"-13")</f>
        <v/>
      </c>
    </row>
    <row r="309">
      <c r="A309" s="55">
        <f>IF(Sequences!$B$43="","",Sequences!$M$30)</f>
        <v/>
      </c>
      <c r="B309" s="63">
        <f>IF(OR(Sequences!$B$43="",'Slot Times'!$H$23=""),"",'Slot Times'!$H$23+Sequences!$E$43/1440)</f>
        <v/>
      </c>
      <c r="C309" s="63">
        <f>IF($B309="","",$B309+Sequences!$D$43/1440)</f>
        <v/>
      </c>
      <c r="D309" s="55">
        <f>IF(Sequences!$B$43="","",Sequences!$K$43)</f>
        <v/>
      </c>
      <c r="E309" s="55">
        <f>IF(Sequences!$B$43="","",Sequences!$L$43)</f>
        <v/>
      </c>
      <c r="F309" s="55">
        <f>IF(Sequences!$B$43="","",Sequences!$B$43)</f>
        <v/>
      </c>
      <c r="G309" s="55">
        <f>IF(OR(Sequences!$B$43="",'Slot Times'!$I$23=""),"","Team: "&amp;'Slot Times'!$I$23)</f>
        <v/>
      </c>
      <c r="H309" s="55">
        <f>IF(Sequences!$B$43="","",IF(Sequences!$F$43="Team + liaisons","Liaisons travel with this block",""))</f>
        <v/>
      </c>
      <c r="I309" s="55">
        <f>IF(Sequences!$B$43="","","SHOW-S"&amp;'Slot Times'!$B$23&amp;"-14")</f>
        <v/>
      </c>
    </row>
    <row r="310">
      <c r="A310" s="55">
        <f>IF(Sequences!$B$30="","",Sequences!$M$30)</f>
        <v/>
      </c>
      <c r="B310" s="63">
        <f>IF(OR(Sequences!$B$30="",'Slot Times'!$H$24=""),"",'Slot Times'!$H$24+Sequences!$E$30/1440)</f>
        <v/>
      </c>
      <c r="C310" s="63">
        <f>IF($B310="","",$B310+Sequences!$D$30/1440)</f>
        <v/>
      </c>
      <c r="D310" s="55">
        <f>IF(Sequences!$B$30="","",Sequences!$K$30)</f>
        <v/>
      </c>
      <c r="E310" s="55">
        <f>IF(Sequences!$B$30="","",Sequences!$L$30)</f>
        <v/>
      </c>
      <c r="F310" s="55">
        <f>IF(Sequences!$B$30="","",Sequences!$B$30)</f>
        <v/>
      </c>
      <c r="G310" s="55">
        <f>IF(OR(Sequences!$B$30="",'Slot Times'!$I$24=""),"","Team: "&amp;'Slot Times'!$I$24)</f>
        <v/>
      </c>
      <c r="H310" s="55">
        <f>IF(Sequences!$B$30="","",IF(Sequences!$F$30="Team + liaisons","Liaisons travel with this block",""))</f>
        <v/>
      </c>
      <c r="I310" s="55">
        <f>IF(Sequences!$B$30="","","SHOW-S"&amp;'Slot Times'!$B$24&amp;"-01")</f>
        <v/>
      </c>
    </row>
    <row r="311">
      <c r="A311" s="55">
        <f>IF(Sequences!$B$31="","",Sequences!$M$30)</f>
        <v/>
      </c>
      <c r="B311" s="63">
        <f>IF(OR(Sequences!$B$31="",'Slot Times'!$H$24=""),"",'Slot Times'!$H$24+Sequences!$E$31/1440)</f>
        <v/>
      </c>
      <c r="C311" s="63">
        <f>IF($B311="","",$B311+Sequences!$D$31/1440)</f>
        <v/>
      </c>
      <c r="D311" s="55">
        <f>IF(Sequences!$B$31="","",Sequences!$K$31)</f>
        <v/>
      </c>
      <c r="E311" s="55">
        <f>IF(Sequences!$B$31="","",Sequences!$L$31)</f>
        <v/>
      </c>
      <c r="F311" s="55">
        <f>IF(Sequences!$B$31="","",Sequences!$B$31)</f>
        <v/>
      </c>
      <c r="G311" s="55">
        <f>IF(OR(Sequences!$B$31="",'Slot Times'!$I$24=""),"","Team: "&amp;'Slot Times'!$I$24)</f>
        <v/>
      </c>
      <c r="H311" s="55">
        <f>IF(Sequences!$B$31="","",IF(Sequences!$F$31="Team + liaisons","Liaisons travel with this block",""))</f>
        <v/>
      </c>
      <c r="I311" s="55">
        <f>IF(Sequences!$B$31="","","SHOW-S"&amp;'Slot Times'!$B$24&amp;"-02")</f>
        <v/>
      </c>
    </row>
    <row r="312">
      <c r="A312" s="55">
        <f>IF(Sequences!$B$32="","",Sequences!$M$30)</f>
        <v/>
      </c>
      <c r="B312" s="63">
        <f>IF(OR(Sequences!$B$32="",'Slot Times'!$H$24=""),"",'Slot Times'!$H$24+Sequences!$E$32/1440)</f>
        <v/>
      </c>
      <c r="C312" s="63">
        <f>IF($B312="","",$B312+Sequences!$D$32/1440)</f>
        <v/>
      </c>
      <c r="D312" s="55">
        <f>IF(Sequences!$B$32="","",Sequences!$K$32)</f>
        <v/>
      </c>
      <c r="E312" s="55">
        <f>IF(Sequences!$B$32="","",Sequences!$L$32)</f>
        <v/>
      </c>
      <c r="F312" s="55">
        <f>IF(Sequences!$B$32="","",Sequences!$B$32)</f>
        <v/>
      </c>
      <c r="G312" s="55">
        <f>IF(OR(Sequences!$B$32="",'Slot Times'!$I$24=""),"","Team: "&amp;'Slot Times'!$I$24)</f>
        <v/>
      </c>
      <c r="H312" s="55">
        <f>IF(Sequences!$B$32="","",IF(Sequences!$F$32="Team + liaisons","Liaisons travel with this block",""))</f>
        <v/>
      </c>
      <c r="I312" s="55">
        <f>IF(Sequences!$B$32="","","SHOW-S"&amp;'Slot Times'!$B$24&amp;"-03")</f>
        <v/>
      </c>
    </row>
    <row r="313">
      <c r="A313" s="55">
        <f>IF(Sequences!$B$33="","",Sequences!$M$30)</f>
        <v/>
      </c>
      <c r="B313" s="63">
        <f>IF(OR(Sequences!$B$33="",'Slot Times'!$H$24=""),"",'Slot Times'!$H$24+Sequences!$E$33/1440)</f>
        <v/>
      </c>
      <c r="C313" s="63">
        <f>IF($B313="","",$B313+Sequences!$D$33/1440)</f>
        <v/>
      </c>
      <c r="D313" s="55">
        <f>IF(Sequences!$B$33="","",Sequences!$K$33)</f>
        <v/>
      </c>
      <c r="E313" s="55">
        <f>IF(Sequences!$B$33="","",Sequences!$L$33)</f>
        <v/>
      </c>
      <c r="F313" s="55">
        <f>IF(Sequences!$B$33="","",Sequences!$B$33)</f>
        <v/>
      </c>
      <c r="G313" s="55">
        <f>IF(OR(Sequences!$B$33="",'Slot Times'!$I$24=""),"","Team: "&amp;'Slot Times'!$I$24)</f>
        <v/>
      </c>
      <c r="H313" s="55">
        <f>IF(Sequences!$B$33="","",IF(Sequences!$F$33="Team + liaisons","Liaisons travel with this block",""))</f>
        <v/>
      </c>
      <c r="I313" s="55">
        <f>IF(Sequences!$B$33="","","SHOW-S"&amp;'Slot Times'!$B$24&amp;"-04")</f>
        <v/>
      </c>
    </row>
    <row r="314">
      <c r="A314" s="55">
        <f>IF(Sequences!$B$34="","",Sequences!$M$30)</f>
        <v/>
      </c>
      <c r="B314" s="63">
        <f>IF(OR(Sequences!$B$34="",'Slot Times'!$H$24=""),"",'Slot Times'!$H$24+Sequences!$E$34/1440)</f>
        <v/>
      </c>
      <c r="C314" s="63">
        <f>IF($B314="","",$B314+Sequences!$D$34/1440)</f>
        <v/>
      </c>
      <c r="D314" s="55">
        <f>IF(Sequences!$B$34="","",Sequences!$K$34)</f>
        <v/>
      </c>
      <c r="E314" s="55">
        <f>IF(Sequences!$B$34="","",Sequences!$L$34)</f>
        <v/>
      </c>
      <c r="F314" s="55">
        <f>IF(Sequences!$B$34="","",Sequences!$B$34)</f>
        <v/>
      </c>
      <c r="G314" s="55">
        <f>IF(OR(Sequences!$B$34="",'Slot Times'!$I$24=""),"","Team: "&amp;'Slot Times'!$I$24)</f>
        <v/>
      </c>
      <c r="H314" s="55">
        <f>IF(Sequences!$B$34="","",IF(Sequences!$F$34="Team + liaisons","Liaisons travel with this block",""))</f>
        <v/>
      </c>
      <c r="I314" s="55">
        <f>IF(Sequences!$B$34="","","SHOW-S"&amp;'Slot Times'!$B$24&amp;"-05")</f>
        <v/>
      </c>
    </row>
    <row r="315">
      <c r="A315" s="55">
        <f>IF(Sequences!$B$35="","",Sequences!$M$30)</f>
        <v/>
      </c>
      <c r="B315" s="63">
        <f>IF(OR(Sequences!$B$35="",'Slot Times'!$H$24=""),"",'Slot Times'!$H$24+Sequences!$E$35/1440)</f>
        <v/>
      </c>
      <c r="C315" s="63">
        <f>IF($B315="","",$B315+Sequences!$D$35/1440)</f>
        <v/>
      </c>
      <c r="D315" s="55">
        <f>IF(Sequences!$B$35="","",Sequences!$K$35)</f>
        <v/>
      </c>
      <c r="E315" s="55">
        <f>IF(Sequences!$B$35="","",Sequences!$L$35)</f>
        <v/>
      </c>
      <c r="F315" s="55">
        <f>IF(Sequences!$B$35="","",Sequences!$B$35)</f>
        <v/>
      </c>
      <c r="G315" s="55">
        <f>IF(OR(Sequences!$B$35="",'Slot Times'!$I$24=""),"","Team: "&amp;'Slot Times'!$I$24)</f>
        <v/>
      </c>
      <c r="H315" s="55">
        <f>IF(Sequences!$B$35="","",IF(Sequences!$F$35="Team + liaisons","Liaisons travel with this block",""))</f>
        <v/>
      </c>
      <c r="I315" s="55">
        <f>IF(Sequences!$B$35="","","SHOW-S"&amp;'Slot Times'!$B$24&amp;"-06")</f>
        <v/>
      </c>
    </row>
    <row r="316">
      <c r="A316" s="55">
        <f>IF(Sequences!$B$36="","",Sequences!$M$30)</f>
        <v/>
      </c>
      <c r="B316" s="63">
        <f>IF(OR(Sequences!$B$36="",'Slot Times'!$H$24=""),"",'Slot Times'!$H$24+Sequences!$E$36/1440)</f>
        <v/>
      </c>
      <c r="C316" s="63">
        <f>IF($B316="","",$B316+Sequences!$D$36/1440)</f>
        <v/>
      </c>
      <c r="D316" s="55">
        <f>IF(Sequences!$B$36="","",Sequences!$K$36)</f>
        <v/>
      </c>
      <c r="E316" s="55">
        <f>IF(Sequences!$B$36="","",Sequences!$L$36)</f>
        <v/>
      </c>
      <c r="F316" s="55">
        <f>IF(Sequences!$B$36="","",Sequences!$B$36)</f>
        <v/>
      </c>
      <c r="G316" s="55">
        <f>IF(OR(Sequences!$B$36="",'Slot Times'!$I$24=""),"","Team: "&amp;'Slot Times'!$I$24)</f>
        <v/>
      </c>
      <c r="H316" s="55">
        <f>IF(Sequences!$B$36="","",IF(Sequences!$F$36="Team + liaisons","Liaisons travel with this block",""))</f>
        <v/>
      </c>
      <c r="I316" s="55">
        <f>IF(Sequences!$B$36="","","SHOW-S"&amp;'Slot Times'!$B$24&amp;"-07")</f>
        <v/>
      </c>
    </row>
    <row r="317">
      <c r="A317" s="55">
        <f>IF(Sequences!$B$37="","",Sequences!$M$30)</f>
        <v/>
      </c>
      <c r="B317" s="63">
        <f>IF(OR(Sequences!$B$37="",'Slot Times'!$H$24=""),"",'Slot Times'!$H$24+Sequences!$E$37/1440)</f>
        <v/>
      </c>
      <c r="C317" s="63">
        <f>IF($B317="","",$B317+Sequences!$D$37/1440)</f>
        <v/>
      </c>
      <c r="D317" s="55">
        <f>IF(Sequences!$B$37="","",Sequences!$K$37)</f>
        <v/>
      </c>
      <c r="E317" s="55">
        <f>IF(Sequences!$B$37="","",Sequences!$L$37)</f>
        <v/>
      </c>
      <c r="F317" s="55">
        <f>IF(Sequences!$B$37="","",Sequences!$B$37)</f>
        <v/>
      </c>
      <c r="G317" s="55">
        <f>IF(OR(Sequences!$B$37="",'Slot Times'!$I$24=""),"","Team: "&amp;'Slot Times'!$I$24)</f>
        <v/>
      </c>
      <c r="H317" s="55">
        <f>IF(Sequences!$B$37="","",IF(Sequences!$F$37="Team + liaisons","Liaisons travel with this block",""))</f>
        <v/>
      </c>
      <c r="I317" s="55">
        <f>IF(Sequences!$B$37="","","SHOW-S"&amp;'Slot Times'!$B$24&amp;"-08")</f>
        <v/>
      </c>
    </row>
    <row r="318">
      <c r="A318" s="55">
        <f>IF(Sequences!$B$38="","",Sequences!$M$30)</f>
        <v/>
      </c>
      <c r="B318" s="63">
        <f>IF(OR(Sequences!$B$38="",'Slot Times'!$H$24=""),"",'Slot Times'!$H$24+Sequences!$E$38/1440)</f>
        <v/>
      </c>
      <c r="C318" s="63">
        <f>IF($B318="","",$B318+Sequences!$D$38/1440)</f>
        <v/>
      </c>
      <c r="D318" s="55">
        <f>IF(Sequences!$B$38="","",Sequences!$K$38)</f>
        <v/>
      </c>
      <c r="E318" s="55">
        <f>IF(Sequences!$B$38="","",Sequences!$L$38)</f>
        <v/>
      </c>
      <c r="F318" s="55">
        <f>IF(Sequences!$B$38="","",Sequences!$B$38)</f>
        <v/>
      </c>
      <c r="G318" s="55">
        <f>IF(OR(Sequences!$B$38="",'Slot Times'!$I$24=""),"","Team: "&amp;'Slot Times'!$I$24)</f>
        <v/>
      </c>
      <c r="H318" s="55">
        <f>IF(Sequences!$B$38="","",IF(Sequences!$F$38="Team + liaisons","Liaisons travel with this block",""))</f>
        <v/>
      </c>
      <c r="I318" s="55">
        <f>IF(Sequences!$B$38="","","SHOW-S"&amp;'Slot Times'!$B$24&amp;"-09")</f>
        <v/>
      </c>
    </row>
    <row r="319">
      <c r="A319" s="55">
        <f>IF(Sequences!$B$39="","",Sequences!$M$30)</f>
        <v/>
      </c>
      <c r="B319" s="63">
        <f>IF(OR(Sequences!$B$39="",'Slot Times'!$H$24=""),"",'Slot Times'!$H$24+Sequences!$E$39/1440)</f>
        <v/>
      </c>
      <c r="C319" s="63">
        <f>IF($B319="","",$B319+Sequences!$D$39/1440)</f>
        <v/>
      </c>
      <c r="D319" s="55">
        <f>IF(Sequences!$B$39="","",Sequences!$K$39)</f>
        <v/>
      </c>
      <c r="E319" s="55">
        <f>IF(Sequences!$B$39="","",Sequences!$L$39)</f>
        <v/>
      </c>
      <c r="F319" s="55">
        <f>IF(Sequences!$B$39="","",Sequences!$B$39)</f>
        <v/>
      </c>
      <c r="G319" s="55">
        <f>IF(OR(Sequences!$B$39="",'Slot Times'!$I$24=""),"","Team: "&amp;'Slot Times'!$I$24)</f>
        <v/>
      </c>
      <c r="H319" s="55">
        <f>IF(Sequences!$B$39="","",IF(Sequences!$F$39="Team + liaisons","Liaisons travel with this block",""))</f>
        <v/>
      </c>
      <c r="I319" s="55">
        <f>IF(Sequences!$B$39="","","SHOW-S"&amp;'Slot Times'!$B$24&amp;"-10")</f>
        <v/>
      </c>
    </row>
    <row r="320">
      <c r="A320" s="55">
        <f>IF(Sequences!$B$40="","",Sequences!$M$30)</f>
        <v/>
      </c>
      <c r="B320" s="63">
        <f>IF(OR(Sequences!$B$40="",'Slot Times'!$H$24=""),"",'Slot Times'!$H$24+Sequences!$E$40/1440)</f>
        <v/>
      </c>
      <c r="C320" s="63">
        <f>IF($B320="","",$B320+Sequences!$D$40/1440)</f>
        <v/>
      </c>
      <c r="D320" s="55">
        <f>IF(Sequences!$B$40="","",Sequences!$K$40)</f>
        <v/>
      </c>
      <c r="E320" s="55">
        <f>IF(Sequences!$B$40="","",Sequences!$L$40)</f>
        <v/>
      </c>
      <c r="F320" s="55">
        <f>IF(Sequences!$B$40="","",Sequences!$B$40)</f>
        <v/>
      </c>
      <c r="G320" s="55">
        <f>IF(OR(Sequences!$B$40="",'Slot Times'!$I$24=""),"","Team: "&amp;'Slot Times'!$I$24)</f>
        <v/>
      </c>
      <c r="H320" s="55">
        <f>IF(Sequences!$B$40="","",IF(Sequences!$F$40="Team + liaisons","Liaisons travel with this block",""))</f>
        <v/>
      </c>
      <c r="I320" s="55">
        <f>IF(Sequences!$B$40="","","SHOW-S"&amp;'Slot Times'!$B$24&amp;"-11")</f>
        <v/>
      </c>
    </row>
    <row r="321">
      <c r="A321" s="55">
        <f>IF(Sequences!$B$41="","",Sequences!$M$30)</f>
        <v/>
      </c>
      <c r="B321" s="63">
        <f>IF(OR(Sequences!$B$41="",'Slot Times'!$H$24=""),"",'Slot Times'!$H$24+Sequences!$E$41/1440)</f>
        <v/>
      </c>
      <c r="C321" s="63">
        <f>IF($B321="","",$B321+Sequences!$D$41/1440)</f>
        <v/>
      </c>
      <c r="D321" s="55">
        <f>IF(Sequences!$B$41="","",Sequences!$K$41)</f>
        <v/>
      </c>
      <c r="E321" s="55">
        <f>IF(Sequences!$B$41="","",Sequences!$L$41)</f>
        <v/>
      </c>
      <c r="F321" s="55">
        <f>IF(Sequences!$B$41="","",Sequences!$B$41)</f>
        <v/>
      </c>
      <c r="G321" s="55">
        <f>IF(OR(Sequences!$B$41="",'Slot Times'!$I$24=""),"","Team: "&amp;'Slot Times'!$I$24)</f>
        <v/>
      </c>
      <c r="H321" s="55">
        <f>IF(Sequences!$B$41="","",IF(Sequences!$F$41="Team + liaisons","Liaisons travel with this block",""))</f>
        <v/>
      </c>
      <c r="I321" s="55">
        <f>IF(Sequences!$B$41="","","SHOW-S"&amp;'Slot Times'!$B$24&amp;"-12")</f>
        <v/>
      </c>
    </row>
    <row r="322">
      <c r="A322" s="55">
        <f>IF(Sequences!$B$42="","",Sequences!$M$30)</f>
        <v/>
      </c>
      <c r="B322" s="63">
        <f>IF(OR(Sequences!$B$42="",'Slot Times'!$H$24=""),"",'Slot Times'!$H$24+Sequences!$E$42/1440)</f>
        <v/>
      </c>
      <c r="C322" s="63">
        <f>IF($B322="","",$B322+Sequences!$D$42/1440)</f>
        <v/>
      </c>
      <c r="D322" s="55">
        <f>IF(Sequences!$B$42="","",Sequences!$K$42)</f>
        <v/>
      </c>
      <c r="E322" s="55">
        <f>IF(Sequences!$B$42="","",Sequences!$L$42)</f>
        <v/>
      </c>
      <c r="F322" s="55">
        <f>IF(Sequences!$B$42="","",Sequences!$B$42)</f>
        <v/>
      </c>
      <c r="G322" s="55">
        <f>IF(OR(Sequences!$B$42="",'Slot Times'!$I$24=""),"","Team: "&amp;'Slot Times'!$I$24)</f>
        <v/>
      </c>
      <c r="H322" s="55">
        <f>IF(Sequences!$B$42="","",IF(Sequences!$F$42="Team + liaisons","Liaisons travel with this block",""))</f>
        <v/>
      </c>
      <c r="I322" s="55">
        <f>IF(Sequences!$B$42="","","SHOW-S"&amp;'Slot Times'!$B$24&amp;"-13")</f>
        <v/>
      </c>
    </row>
    <row r="323">
      <c r="A323" s="55">
        <f>IF(Sequences!$B$43="","",Sequences!$M$30)</f>
        <v/>
      </c>
      <c r="B323" s="63">
        <f>IF(OR(Sequences!$B$43="",'Slot Times'!$H$24=""),"",'Slot Times'!$H$24+Sequences!$E$43/1440)</f>
        <v/>
      </c>
      <c r="C323" s="63">
        <f>IF($B323="","",$B323+Sequences!$D$43/1440)</f>
        <v/>
      </c>
      <c r="D323" s="55">
        <f>IF(Sequences!$B$43="","",Sequences!$K$43)</f>
        <v/>
      </c>
      <c r="E323" s="55">
        <f>IF(Sequences!$B$43="","",Sequences!$L$43)</f>
        <v/>
      </c>
      <c r="F323" s="55">
        <f>IF(Sequences!$B$43="","",Sequences!$B$43)</f>
        <v/>
      </c>
      <c r="G323" s="55">
        <f>IF(OR(Sequences!$B$43="",'Slot Times'!$I$24=""),"","Team: "&amp;'Slot Times'!$I$24)</f>
        <v/>
      </c>
      <c r="H323" s="55">
        <f>IF(Sequences!$B$43="","",IF(Sequences!$F$43="Team + liaisons","Liaisons travel with this block",""))</f>
        <v/>
      </c>
      <c r="I323" s="55">
        <f>IF(Sequences!$B$43="","","SHOW-S"&amp;'Slot Times'!$B$24&amp;"-14")</f>
        <v/>
      </c>
    </row>
    <row r="324">
      <c r="A324" s="55">
        <f>IF(Sequences!$B$30="","",Sequences!$M$30)</f>
        <v/>
      </c>
      <c r="B324" s="63">
        <f>IF(OR(Sequences!$B$30="",'Slot Times'!$H$25=""),"",'Slot Times'!$H$25+Sequences!$E$30/1440)</f>
        <v/>
      </c>
      <c r="C324" s="63">
        <f>IF($B324="","",$B324+Sequences!$D$30/1440)</f>
        <v/>
      </c>
      <c r="D324" s="55">
        <f>IF(Sequences!$B$30="","",Sequences!$K$30)</f>
        <v/>
      </c>
      <c r="E324" s="55">
        <f>IF(Sequences!$B$30="","",Sequences!$L$30)</f>
        <v/>
      </c>
      <c r="F324" s="55">
        <f>IF(Sequences!$B$30="","",Sequences!$B$30)</f>
        <v/>
      </c>
      <c r="G324" s="55">
        <f>IF(OR(Sequences!$B$30="",'Slot Times'!$I$25=""),"","Team: "&amp;'Slot Times'!$I$25)</f>
        <v/>
      </c>
      <c r="H324" s="55">
        <f>IF(Sequences!$B$30="","",IF(Sequences!$F$30="Team + liaisons","Liaisons travel with this block",""))</f>
        <v/>
      </c>
      <c r="I324" s="55">
        <f>IF(Sequences!$B$30="","","SHOW-S"&amp;'Slot Times'!$B$25&amp;"-01")</f>
        <v/>
      </c>
    </row>
    <row r="325">
      <c r="A325" s="55">
        <f>IF(Sequences!$B$31="","",Sequences!$M$30)</f>
        <v/>
      </c>
      <c r="B325" s="63">
        <f>IF(OR(Sequences!$B$31="",'Slot Times'!$H$25=""),"",'Slot Times'!$H$25+Sequences!$E$31/1440)</f>
        <v/>
      </c>
      <c r="C325" s="63">
        <f>IF($B325="","",$B325+Sequences!$D$31/1440)</f>
        <v/>
      </c>
      <c r="D325" s="55">
        <f>IF(Sequences!$B$31="","",Sequences!$K$31)</f>
        <v/>
      </c>
      <c r="E325" s="55">
        <f>IF(Sequences!$B$31="","",Sequences!$L$31)</f>
        <v/>
      </c>
      <c r="F325" s="55">
        <f>IF(Sequences!$B$31="","",Sequences!$B$31)</f>
        <v/>
      </c>
      <c r="G325" s="55">
        <f>IF(OR(Sequences!$B$31="",'Slot Times'!$I$25=""),"","Team: "&amp;'Slot Times'!$I$25)</f>
        <v/>
      </c>
      <c r="H325" s="55">
        <f>IF(Sequences!$B$31="","",IF(Sequences!$F$31="Team + liaisons","Liaisons travel with this block",""))</f>
        <v/>
      </c>
      <c r="I325" s="55">
        <f>IF(Sequences!$B$31="","","SHOW-S"&amp;'Slot Times'!$B$25&amp;"-02")</f>
        <v/>
      </c>
    </row>
    <row r="326">
      <c r="A326" s="55">
        <f>IF(Sequences!$B$32="","",Sequences!$M$30)</f>
        <v/>
      </c>
      <c r="B326" s="63">
        <f>IF(OR(Sequences!$B$32="",'Slot Times'!$H$25=""),"",'Slot Times'!$H$25+Sequences!$E$32/1440)</f>
        <v/>
      </c>
      <c r="C326" s="63">
        <f>IF($B326="","",$B326+Sequences!$D$32/1440)</f>
        <v/>
      </c>
      <c r="D326" s="55">
        <f>IF(Sequences!$B$32="","",Sequences!$K$32)</f>
        <v/>
      </c>
      <c r="E326" s="55">
        <f>IF(Sequences!$B$32="","",Sequences!$L$32)</f>
        <v/>
      </c>
      <c r="F326" s="55">
        <f>IF(Sequences!$B$32="","",Sequences!$B$32)</f>
        <v/>
      </c>
      <c r="G326" s="55">
        <f>IF(OR(Sequences!$B$32="",'Slot Times'!$I$25=""),"","Team: "&amp;'Slot Times'!$I$25)</f>
        <v/>
      </c>
      <c r="H326" s="55">
        <f>IF(Sequences!$B$32="","",IF(Sequences!$F$32="Team + liaisons","Liaisons travel with this block",""))</f>
        <v/>
      </c>
      <c r="I326" s="55">
        <f>IF(Sequences!$B$32="","","SHOW-S"&amp;'Slot Times'!$B$25&amp;"-03")</f>
        <v/>
      </c>
    </row>
    <row r="327">
      <c r="A327" s="55">
        <f>IF(Sequences!$B$33="","",Sequences!$M$30)</f>
        <v/>
      </c>
      <c r="B327" s="63">
        <f>IF(OR(Sequences!$B$33="",'Slot Times'!$H$25=""),"",'Slot Times'!$H$25+Sequences!$E$33/1440)</f>
        <v/>
      </c>
      <c r="C327" s="63">
        <f>IF($B327="","",$B327+Sequences!$D$33/1440)</f>
        <v/>
      </c>
      <c r="D327" s="55">
        <f>IF(Sequences!$B$33="","",Sequences!$K$33)</f>
        <v/>
      </c>
      <c r="E327" s="55">
        <f>IF(Sequences!$B$33="","",Sequences!$L$33)</f>
        <v/>
      </c>
      <c r="F327" s="55">
        <f>IF(Sequences!$B$33="","",Sequences!$B$33)</f>
        <v/>
      </c>
      <c r="G327" s="55">
        <f>IF(OR(Sequences!$B$33="",'Slot Times'!$I$25=""),"","Team: "&amp;'Slot Times'!$I$25)</f>
        <v/>
      </c>
      <c r="H327" s="55">
        <f>IF(Sequences!$B$33="","",IF(Sequences!$F$33="Team + liaisons","Liaisons travel with this block",""))</f>
        <v/>
      </c>
      <c r="I327" s="55">
        <f>IF(Sequences!$B$33="","","SHOW-S"&amp;'Slot Times'!$B$25&amp;"-04")</f>
        <v/>
      </c>
    </row>
    <row r="328">
      <c r="A328" s="55">
        <f>IF(Sequences!$B$34="","",Sequences!$M$30)</f>
        <v/>
      </c>
      <c r="B328" s="63">
        <f>IF(OR(Sequences!$B$34="",'Slot Times'!$H$25=""),"",'Slot Times'!$H$25+Sequences!$E$34/1440)</f>
        <v/>
      </c>
      <c r="C328" s="63">
        <f>IF($B328="","",$B328+Sequences!$D$34/1440)</f>
        <v/>
      </c>
      <c r="D328" s="55">
        <f>IF(Sequences!$B$34="","",Sequences!$K$34)</f>
        <v/>
      </c>
      <c r="E328" s="55">
        <f>IF(Sequences!$B$34="","",Sequences!$L$34)</f>
        <v/>
      </c>
      <c r="F328" s="55">
        <f>IF(Sequences!$B$34="","",Sequences!$B$34)</f>
        <v/>
      </c>
      <c r="G328" s="55">
        <f>IF(OR(Sequences!$B$34="",'Slot Times'!$I$25=""),"","Team: "&amp;'Slot Times'!$I$25)</f>
        <v/>
      </c>
      <c r="H328" s="55">
        <f>IF(Sequences!$B$34="","",IF(Sequences!$F$34="Team + liaisons","Liaisons travel with this block",""))</f>
        <v/>
      </c>
      <c r="I328" s="55">
        <f>IF(Sequences!$B$34="","","SHOW-S"&amp;'Slot Times'!$B$25&amp;"-05")</f>
        <v/>
      </c>
    </row>
    <row r="329">
      <c r="A329" s="55">
        <f>IF(Sequences!$B$35="","",Sequences!$M$30)</f>
        <v/>
      </c>
      <c r="B329" s="63">
        <f>IF(OR(Sequences!$B$35="",'Slot Times'!$H$25=""),"",'Slot Times'!$H$25+Sequences!$E$35/1440)</f>
        <v/>
      </c>
      <c r="C329" s="63">
        <f>IF($B329="","",$B329+Sequences!$D$35/1440)</f>
        <v/>
      </c>
      <c r="D329" s="55">
        <f>IF(Sequences!$B$35="","",Sequences!$K$35)</f>
        <v/>
      </c>
      <c r="E329" s="55">
        <f>IF(Sequences!$B$35="","",Sequences!$L$35)</f>
        <v/>
      </c>
      <c r="F329" s="55">
        <f>IF(Sequences!$B$35="","",Sequences!$B$35)</f>
        <v/>
      </c>
      <c r="G329" s="55">
        <f>IF(OR(Sequences!$B$35="",'Slot Times'!$I$25=""),"","Team: "&amp;'Slot Times'!$I$25)</f>
        <v/>
      </c>
      <c r="H329" s="55">
        <f>IF(Sequences!$B$35="","",IF(Sequences!$F$35="Team + liaisons","Liaisons travel with this block",""))</f>
        <v/>
      </c>
      <c r="I329" s="55">
        <f>IF(Sequences!$B$35="","","SHOW-S"&amp;'Slot Times'!$B$25&amp;"-06")</f>
        <v/>
      </c>
    </row>
    <row r="330">
      <c r="A330" s="55">
        <f>IF(Sequences!$B$36="","",Sequences!$M$30)</f>
        <v/>
      </c>
      <c r="B330" s="63">
        <f>IF(OR(Sequences!$B$36="",'Slot Times'!$H$25=""),"",'Slot Times'!$H$25+Sequences!$E$36/1440)</f>
        <v/>
      </c>
      <c r="C330" s="63">
        <f>IF($B330="","",$B330+Sequences!$D$36/1440)</f>
        <v/>
      </c>
      <c r="D330" s="55">
        <f>IF(Sequences!$B$36="","",Sequences!$K$36)</f>
        <v/>
      </c>
      <c r="E330" s="55">
        <f>IF(Sequences!$B$36="","",Sequences!$L$36)</f>
        <v/>
      </c>
      <c r="F330" s="55">
        <f>IF(Sequences!$B$36="","",Sequences!$B$36)</f>
        <v/>
      </c>
      <c r="G330" s="55">
        <f>IF(OR(Sequences!$B$36="",'Slot Times'!$I$25=""),"","Team: "&amp;'Slot Times'!$I$25)</f>
        <v/>
      </c>
      <c r="H330" s="55">
        <f>IF(Sequences!$B$36="","",IF(Sequences!$F$36="Team + liaisons","Liaisons travel with this block",""))</f>
        <v/>
      </c>
      <c r="I330" s="55">
        <f>IF(Sequences!$B$36="","","SHOW-S"&amp;'Slot Times'!$B$25&amp;"-07")</f>
        <v/>
      </c>
    </row>
    <row r="331">
      <c r="A331" s="55">
        <f>IF(Sequences!$B$37="","",Sequences!$M$30)</f>
        <v/>
      </c>
      <c r="B331" s="63">
        <f>IF(OR(Sequences!$B$37="",'Slot Times'!$H$25=""),"",'Slot Times'!$H$25+Sequences!$E$37/1440)</f>
        <v/>
      </c>
      <c r="C331" s="63">
        <f>IF($B331="","",$B331+Sequences!$D$37/1440)</f>
        <v/>
      </c>
      <c r="D331" s="55">
        <f>IF(Sequences!$B$37="","",Sequences!$K$37)</f>
        <v/>
      </c>
      <c r="E331" s="55">
        <f>IF(Sequences!$B$37="","",Sequences!$L$37)</f>
        <v/>
      </c>
      <c r="F331" s="55">
        <f>IF(Sequences!$B$37="","",Sequences!$B$37)</f>
        <v/>
      </c>
      <c r="G331" s="55">
        <f>IF(OR(Sequences!$B$37="",'Slot Times'!$I$25=""),"","Team: "&amp;'Slot Times'!$I$25)</f>
        <v/>
      </c>
      <c r="H331" s="55">
        <f>IF(Sequences!$B$37="","",IF(Sequences!$F$37="Team + liaisons","Liaisons travel with this block",""))</f>
        <v/>
      </c>
      <c r="I331" s="55">
        <f>IF(Sequences!$B$37="","","SHOW-S"&amp;'Slot Times'!$B$25&amp;"-08")</f>
        <v/>
      </c>
    </row>
    <row r="332">
      <c r="A332" s="55">
        <f>IF(Sequences!$B$38="","",Sequences!$M$30)</f>
        <v/>
      </c>
      <c r="B332" s="63">
        <f>IF(OR(Sequences!$B$38="",'Slot Times'!$H$25=""),"",'Slot Times'!$H$25+Sequences!$E$38/1440)</f>
        <v/>
      </c>
      <c r="C332" s="63">
        <f>IF($B332="","",$B332+Sequences!$D$38/1440)</f>
        <v/>
      </c>
      <c r="D332" s="55">
        <f>IF(Sequences!$B$38="","",Sequences!$K$38)</f>
        <v/>
      </c>
      <c r="E332" s="55">
        <f>IF(Sequences!$B$38="","",Sequences!$L$38)</f>
        <v/>
      </c>
      <c r="F332" s="55">
        <f>IF(Sequences!$B$38="","",Sequences!$B$38)</f>
        <v/>
      </c>
      <c r="G332" s="55">
        <f>IF(OR(Sequences!$B$38="",'Slot Times'!$I$25=""),"","Team: "&amp;'Slot Times'!$I$25)</f>
        <v/>
      </c>
      <c r="H332" s="55">
        <f>IF(Sequences!$B$38="","",IF(Sequences!$F$38="Team + liaisons","Liaisons travel with this block",""))</f>
        <v/>
      </c>
      <c r="I332" s="55">
        <f>IF(Sequences!$B$38="","","SHOW-S"&amp;'Slot Times'!$B$25&amp;"-09")</f>
        <v/>
      </c>
    </row>
    <row r="333">
      <c r="A333" s="55">
        <f>IF(Sequences!$B$39="","",Sequences!$M$30)</f>
        <v/>
      </c>
      <c r="B333" s="63">
        <f>IF(OR(Sequences!$B$39="",'Slot Times'!$H$25=""),"",'Slot Times'!$H$25+Sequences!$E$39/1440)</f>
        <v/>
      </c>
      <c r="C333" s="63">
        <f>IF($B333="","",$B333+Sequences!$D$39/1440)</f>
        <v/>
      </c>
      <c r="D333" s="55">
        <f>IF(Sequences!$B$39="","",Sequences!$K$39)</f>
        <v/>
      </c>
      <c r="E333" s="55">
        <f>IF(Sequences!$B$39="","",Sequences!$L$39)</f>
        <v/>
      </c>
      <c r="F333" s="55">
        <f>IF(Sequences!$B$39="","",Sequences!$B$39)</f>
        <v/>
      </c>
      <c r="G333" s="55">
        <f>IF(OR(Sequences!$B$39="",'Slot Times'!$I$25=""),"","Team: "&amp;'Slot Times'!$I$25)</f>
        <v/>
      </c>
      <c r="H333" s="55">
        <f>IF(Sequences!$B$39="","",IF(Sequences!$F$39="Team + liaisons","Liaisons travel with this block",""))</f>
        <v/>
      </c>
      <c r="I333" s="55">
        <f>IF(Sequences!$B$39="","","SHOW-S"&amp;'Slot Times'!$B$25&amp;"-10")</f>
        <v/>
      </c>
    </row>
    <row r="334">
      <c r="A334" s="55">
        <f>IF(Sequences!$B$40="","",Sequences!$M$30)</f>
        <v/>
      </c>
      <c r="B334" s="63">
        <f>IF(OR(Sequences!$B$40="",'Slot Times'!$H$25=""),"",'Slot Times'!$H$25+Sequences!$E$40/1440)</f>
        <v/>
      </c>
      <c r="C334" s="63">
        <f>IF($B334="","",$B334+Sequences!$D$40/1440)</f>
        <v/>
      </c>
      <c r="D334" s="55">
        <f>IF(Sequences!$B$40="","",Sequences!$K$40)</f>
        <v/>
      </c>
      <c r="E334" s="55">
        <f>IF(Sequences!$B$40="","",Sequences!$L$40)</f>
        <v/>
      </c>
      <c r="F334" s="55">
        <f>IF(Sequences!$B$40="","",Sequences!$B$40)</f>
        <v/>
      </c>
      <c r="G334" s="55">
        <f>IF(OR(Sequences!$B$40="",'Slot Times'!$I$25=""),"","Team: "&amp;'Slot Times'!$I$25)</f>
        <v/>
      </c>
      <c r="H334" s="55">
        <f>IF(Sequences!$B$40="","",IF(Sequences!$F$40="Team + liaisons","Liaisons travel with this block",""))</f>
        <v/>
      </c>
      <c r="I334" s="55">
        <f>IF(Sequences!$B$40="","","SHOW-S"&amp;'Slot Times'!$B$25&amp;"-11")</f>
        <v/>
      </c>
    </row>
    <row r="335">
      <c r="A335" s="55">
        <f>IF(Sequences!$B$41="","",Sequences!$M$30)</f>
        <v/>
      </c>
      <c r="B335" s="63">
        <f>IF(OR(Sequences!$B$41="",'Slot Times'!$H$25=""),"",'Slot Times'!$H$25+Sequences!$E$41/1440)</f>
        <v/>
      </c>
      <c r="C335" s="63">
        <f>IF($B335="","",$B335+Sequences!$D$41/1440)</f>
        <v/>
      </c>
      <c r="D335" s="55">
        <f>IF(Sequences!$B$41="","",Sequences!$K$41)</f>
        <v/>
      </c>
      <c r="E335" s="55">
        <f>IF(Sequences!$B$41="","",Sequences!$L$41)</f>
        <v/>
      </c>
      <c r="F335" s="55">
        <f>IF(Sequences!$B$41="","",Sequences!$B$41)</f>
        <v/>
      </c>
      <c r="G335" s="55">
        <f>IF(OR(Sequences!$B$41="",'Slot Times'!$I$25=""),"","Team: "&amp;'Slot Times'!$I$25)</f>
        <v/>
      </c>
      <c r="H335" s="55">
        <f>IF(Sequences!$B$41="","",IF(Sequences!$F$41="Team + liaisons","Liaisons travel with this block",""))</f>
        <v/>
      </c>
      <c r="I335" s="55">
        <f>IF(Sequences!$B$41="","","SHOW-S"&amp;'Slot Times'!$B$25&amp;"-12")</f>
        <v/>
      </c>
    </row>
    <row r="336">
      <c r="A336" s="55">
        <f>IF(Sequences!$B$42="","",Sequences!$M$30)</f>
        <v/>
      </c>
      <c r="B336" s="63">
        <f>IF(OR(Sequences!$B$42="",'Slot Times'!$H$25=""),"",'Slot Times'!$H$25+Sequences!$E$42/1440)</f>
        <v/>
      </c>
      <c r="C336" s="63">
        <f>IF($B336="","",$B336+Sequences!$D$42/1440)</f>
        <v/>
      </c>
      <c r="D336" s="55">
        <f>IF(Sequences!$B$42="","",Sequences!$K$42)</f>
        <v/>
      </c>
      <c r="E336" s="55">
        <f>IF(Sequences!$B$42="","",Sequences!$L$42)</f>
        <v/>
      </c>
      <c r="F336" s="55">
        <f>IF(Sequences!$B$42="","",Sequences!$B$42)</f>
        <v/>
      </c>
      <c r="G336" s="55">
        <f>IF(OR(Sequences!$B$42="",'Slot Times'!$I$25=""),"","Team: "&amp;'Slot Times'!$I$25)</f>
        <v/>
      </c>
      <c r="H336" s="55">
        <f>IF(Sequences!$B$42="","",IF(Sequences!$F$42="Team + liaisons","Liaisons travel with this block",""))</f>
        <v/>
      </c>
      <c r="I336" s="55">
        <f>IF(Sequences!$B$42="","","SHOW-S"&amp;'Slot Times'!$B$25&amp;"-13")</f>
        <v/>
      </c>
    </row>
    <row r="337">
      <c r="A337" s="55">
        <f>IF(Sequences!$B$43="","",Sequences!$M$30)</f>
        <v/>
      </c>
      <c r="B337" s="63">
        <f>IF(OR(Sequences!$B$43="",'Slot Times'!$H$25=""),"",'Slot Times'!$H$25+Sequences!$E$43/1440)</f>
        <v/>
      </c>
      <c r="C337" s="63">
        <f>IF($B337="","",$B337+Sequences!$D$43/1440)</f>
        <v/>
      </c>
      <c r="D337" s="55">
        <f>IF(Sequences!$B$43="","",Sequences!$K$43)</f>
        <v/>
      </c>
      <c r="E337" s="55">
        <f>IF(Sequences!$B$43="","",Sequences!$L$43)</f>
        <v/>
      </c>
      <c r="F337" s="55">
        <f>IF(Sequences!$B$43="","",Sequences!$B$43)</f>
        <v/>
      </c>
      <c r="G337" s="55">
        <f>IF(OR(Sequences!$B$43="",'Slot Times'!$I$25=""),"","Team: "&amp;'Slot Times'!$I$25)</f>
        <v/>
      </c>
      <c r="H337" s="55">
        <f>IF(Sequences!$B$43="","",IF(Sequences!$F$43="Team + liaisons","Liaisons travel with this block",""))</f>
        <v/>
      </c>
      <c r="I337" s="55">
        <f>IF(Sequences!$B$43="","","SHOW-S"&amp;'Slot Times'!$B$25&amp;"-14")</f>
        <v/>
      </c>
    </row>
    <row r="338">
      <c r="A338" s="55">
        <f>IF('Windows'!$B$2="","",'Windows'!$A$2)</f>
        <v/>
      </c>
      <c r="B338" s="63">
        <f>IF('Windows'!$B$2="","",'Windows'!$D$2)</f>
        <v/>
      </c>
      <c r="C338" s="63">
        <f>IF('Windows'!$B$2="","",'Windows'!$E$2)</f>
        <v/>
      </c>
      <c r="D338" s="55">
        <f>IF('Windows'!$B$2="","",'Windows'!$F$2)</f>
        <v/>
      </c>
      <c r="E338" s="55">
        <f>IF('Windows'!$B$2="","",'Windows'!$G$2)</f>
        <v/>
      </c>
      <c r="F338" s="55">
        <f>IF('Windows'!$B$2="","",'Windows'!$B$2)</f>
        <v/>
      </c>
      <c r="G338" s="55">
        <f>IF('Windows'!$B$2="","",'Windows'!$C$2)</f>
        <v/>
      </c>
      <c r="H338" s="55">
        <f>IF('Windows'!$B$2="","",'Windows'!$H$2)</f>
        <v/>
      </c>
      <c r="I338" s="55">
        <f>IF('Windows'!$B$2="","","WIN-001")</f>
        <v/>
      </c>
    </row>
    <row r="339">
      <c r="A339" s="55">
        <f>IF('Windows'!$B$3="","",'Windows'!$A$3)</f>
        <v/>
      </c>
      <c r="B339" s="63">
        <f>IF('Windows'!$B$3="","",'Windows'!$D$3)</f>
        <v/>
      </c>
      <c r="C339" s="63">
        <f>IF('Windows'!$B$3="","",'Windows'!$E$3)</f>
        <v/>
      </c>
      <c r="D339" s="55">
        <f>IF('Windows'!$B$3="","",'Windows'!$F$3)</f>
        <v/>
      </c>
      <c r="E339" s="55">
        <f>IF('Windows'!$B$3="","",'Windows'!$G$3)</f>
        <v/>
      </c>
      <c r="F339" s="55">
        <f>IF('Windows'!$B$3="","",'Windows'!$B$3)</f>
        <v/>
      </c>
      <c r="G339" s="55">
        <f>IF('Windows'!$B$3="","",'Windows'!$C$3)</f>
        <v/>
      </c>
      <c r="H339" s="55">
        <f>IF('Windows'!$B$3="","",'Windows'!$H$3)</f>
        <v/>
      </c>
      <c r="I339" s="55">
        <f>IF('Windows'!$B$3="","","WIN-002")</f>
        <v/>
      </c>
    </row>
    <row r="340">
      <c r="A340" s="55">
        <f>IF('Windows'!$B$4="","",'Windows'!$A$4)</f>
        <v/>
      </c>
      <c r="B340" s="63">
        <f>IF('Windows'!$B$4="","",'Windows'!$D$4)</f>
        <v/>
      </c>
      <c r="C340" s="63">
        <f>IF('Windows'!$B$4="","",'Windows'!$E$4)</f>
        <v/>
      </c>
      <c r="D340" s="55">
        <f>IF('Windows'!$B$4="","",'Windows'!$F$4)</f>
        <v/>
      </c>
      <c r="E340" s="55">
        <f>IF('Windows'!$B$4="","",'Windows'!$G$4)</f>
        <v/>
      </c>
      <c r="F340" s="55">
        <f>IF('Windows'!$B$4="","",'Windows'!$B$4)</f>
        <v/>
      </c>
      <c r="G340" s="55">
        <f>IF('Windows'!$B$4="","",'Windows'!$C$4)</f>
        <v/>
      </c>
      <c r="H340" s="55">
        <f>IF('Windows'!$B$4="","",'Windows'!$H$4)</f>
        <v/>
      </c>
      <c r="I340" s="55">
        <f>IF('Windows'!$B$4="","","WIN-003")</f>
        <v/>
      </c>
    </row>
    <row r="341">
      <c r="A341" s="55">
        <f>IF('Windows'!$B$5="","",'Windows'!$A$5)</f>
        <v/>
      </c>
      <c r="B341" s="63">
        <f>IF('Windows'!$B$5="","",'Windows'!$D$5)</f>
        <v/>
      </c>
      <c r="C341" s="63">
        <f>IF('Windows'!$B$5="","",'Windows'!$E$5)</f>
        <v/>
      </c>
      <c r="D341" s="55">
        <f>IF('Windows'!$B$5="","",'Windows'!$F$5)</f>
        <v/>
      </c>
      <c r="E341" s="55">
        <f>IF('Windows'!$B$5="","",'Windows'!$G$5)</f>
        <v/>
      </c>
      <c r="F341" s="55">
        <f>IF('Windows'!$B$5="","",'Windows'!$B$5)</f>
        <v/>
      </c>
      <c r="G341" s="55">
        <f>IF('Windows'!$B$5="","",'Windows'!$C$5)</f>
        <v/>
      </c>
      <c r="H341" s="55">
        <f>IF('Windows'!$B$5="","",'Windows'!$H$5)</f>
        <v/>
      </c>
      <c r="I341" s="55">
        <f>IF('Windows'!$B$5="","","WIN-004")</f>
        <v/>
      </c>
    </row>
    <row r="342">
      <c r="A342" s="55">
        <f>IF('Windows'!$B$6="","",'Windows'!$A$6)</f>
        <v/>
      </c>
      <c r="B342" s="63">
        <f>IF('Windows'!$B$6="","",'Windows'!$D$6)</f>
        <v/>
      </c>
      <c r="C342" s="63">
        <f>IF('Windows'!$B$6="","",'Windows'!$E$6)</f>
        <v/>
      </c>
      <c r="D342" s="55">
        <f>IF('Windows'!$B$6="","",'Windows'!$F$6)</f>
        <v/>
      </c>
      <c r="E342" s="55">
        <f>IF('Windows'!$B$6="","",'Windows'!$G$6)</f>
        <v/>
      </c>
      <c r="F342" s="55">
        <f>IF('Windows'!$B$6="","",'Windows'!$B$6)</f>
        <v/>
      </c>
      <c r="G342" s="55">
        <f>IF('Windows'!$B$6="","",'Windows'!$C$6)</f>
        <v/>
      </c>
      <c r="H342" s="55">
        <f>IF('Windows'!$B$6="","",'Windows'!$H$6)</f>
        <v/>
      </c>
      <c r="I342" s="55">
        <f>IF('Windows'!$B$6="","","WIN-005")</f>
        <v/>
      </c>
    </row>
    <row r="343">
      <c r="A343" s="55">
        <f>IF('Windows'!$B$7="","",'Windows'!$A$7)</f>
        <v/>
      </c>
      <c r="B343" s="63">
        <f>IF('Windows'!$B$7="","",'Windows'!$D$7)</f>
        <v/>
      </c>
      <c r="C343" s="63">
        <f>IF('Windows'!$B$7="","",'Windows'!$E$7)</f>
        <v/>
      </c>
      <c r="D343" s="55">
        <f>IF('Windows'!$B$7="","",'Windows'!$F$7)</f>
        <v/>
      </c>
      <c r="E343" s="55">
        <f>IF('Windows'!$B$7="","",'Windows'!$G$7)</f>
        <v/>
      </c>
      <c r="F343" s="55">
        <f>IF('Windows'!$B$7="","",'Windows'!$B$7)</f>
        <v/>
      </c>
      <c r="G343" s="55">
        <f>IF('Windows'!$B$7="","",'Windows'!$C$7)</f>
        <v/>
      </c>
      <c r="H343" s="55">
        <f>IF('Windows'!$B$7="","",'Windows'!$H$7)</f>
        <v/>
      </c>
      <c r="I343" s="55">
        <f>IF('Windows'!$B$7="","","WIN-006")</f>
        <v/>
      </c>
    </row>
    <row r="344">
      <c r="A344" s="55">
        <f>IF('Windows'!$B$8="","",'Windows'!$A$8)</f>
        <v/>
      </c>
      <c r="B344" s="63">
        <f>IF('Windows'!$B$8="","",'Windows'!$D$8)</f>
        <v/>
      </c>
      <c r="C344" s="63">
        <f>IF('Windows'!$B$8="","",'Windows'!$E$8)</f>
        <v/>
      </c>
      <c r="D344" s="55">
        <f>IF('Windows'!$B$8="","",'Windows'!$F$8)</f>
        <v/>
      </c>
      <c r="E344" s="55">
        <f>IF('Windows'!$B$8="","",'Windows'!$G$8)</f>
        <v/>
      </c>
      <c r="F344" s="55">
        <f>IF('Windows'!$B$8="","",'Windows'!$B$8)</f>
        <v/>
      </c>
      <c r="G344" s="55">
        <f>IF('Windows'!$B$8="","",'Windows'!$C$8)</f>
        <v/>
      </c>
      <c r="H344" s="55">
        <f>IF('Windows'!$B$8="","",'Windows'!$H$8)</f>
        <v/>
      </c>
      <c r="I344" s="55">
        <f>IF('Windows'!$B$8="","","WIN-007")</f>
        <v/>
      </c>
    </row>
    <row r="345">
      <c r="A345" s="55">
        <f>IF('Windows'!$B$9="","",'Windows'!$A$9)</f>
        <v/>
      </c>
      <c r="B345" s="63">
        <f>IF('Windows'!$B$9="","",'Windows'!$D$9)</f>
        <v/>
      </c>
      <c r="C345" s="63">
        <f>IF('Windows'!$B$9="","",'Windows'!$E$9)</f>
        <v/>
      </c>
      <c r="D345" s="55">
        <f>IF('Windows'!$B$9="","",'Windows'!$F$9)</f>
        <v/>
      </c>
      <c r="E345" s="55">
        <f>IF('Windows'!$B$9="","",'Windows'!$G$9)</f>
        <v/>
      </c>
      <c r="F345" s="55">
        <f>IF('Windows'!$B$9="","",'Windows'!$B$9)</f>
        <v/>
      </c>
      <c r="G345" s="55">
        <f>IF('Windows'!$B$9="","",'Windows'!$C$9)</f>
        <v/>
      </c>
      <c r="H345" s="55">
        <f>IF('Windows'!$B$9="","",'Windows'!$H$9)</f>
        <v/>
      </c>
      <c r="I345" s="55">
        <f>IF('Windows'!$B$9="","","WIN-008")</f>
        <v/>
      </c>
    </row>
    <row r="346">
      <c r="A346" s="55">
        <f>IF('Windows'!$B$10="","",'Windows'!$A$10)</f>
        <v/>
      </c>
      <c r="B346" s="63">
        <f>IF('Windows'!$B$10="","",'Windows'!$D$10)</f>
        <v/>
      </c>
      <c r="C346" s="63">
        <f>IF('Windows'!$B$10="","",'Windows'!$E$10)</f>
        <v/>
      </c>
      <c r="D346" s="55">
        <f>IF('Windows'!$B$10="","",'Windows'!$F$10)</f>
        <v/>
      </c>
      <c r="E346" s="55">
        <f>IF('Windows'!$B$10="","",'Windows'!$G$10)</f>
        <v/>
      </c>
      <c r="F346" s="55">
        <f>IF('Windows'!$B$10="","",'Windows'!$B$10)</f>
        <v/>
      </c>
      <c r="G346" s="55">
        <f>IF('Windows'!$B$10="","",'Windows'!$C$10)</f>
        <v/>
      </c>
      <c r="H346" s="55">
        <f>IF('Windows'!$B$10="","",'Windows'!$H$10)</f>
        <v/>
      </c>
      <c r="I346" s="55">
        <f>IF('Windows'!$B$10="","","WIN-009")</f>
        <v/>
      </c>
    </row>
    <row r="347">
      <c r="A347" s="55">
        <f>IF('Windows'!$B$11="","",'Windows'!$A$11)</f>
        <v/>
      </c>
      <c r="B347" s="63">
        <f>IF('Windows'!$B$11="","",'Windows'!$D$11)</f>
        <v/>
      </c>
      <c r="C347" s="63">
        <f>IF('Windows'!$B$11="","",'Windows'!$E$11)</f>
        <v/>
      </c>
      <c r="D347" s="55">
        <f>IF('Windows'!$B$11="","",'Windows'!$F$11)</f>
        <v/>
      </c>
      <c r="E347" s="55">
        <f>IF('Windows'!$B$11="","",'Windows'!$G$11)</f>
        <v/>
      </c>
      <c r="F347" s="55">
        <f>IF('Windows'!$B$11="","",'Windows'!$B$11)</f>
        <v/>
      </c>
      <c r="G347" s="55">
        <f>IF('Windows'!$B$11="","",'Windows'!$C$11)</f>
        <v/>
      </c>
      <c r="H347" s="55">
        <f>IF('Windows'!$B$11="","",'Windows'!$H$11)</f>
        <v/>
      </c>
      <c r="I347" s="55">
        <f>IF('Windows'!$B$11="","","WIN-010")</f>
        <v/>
      </c>
    </row>
    <row r="348">
      <c r="A348" s="55">
        <f>IF('Windows'!$B$12="","",'Windows'!$A$12)</f>
        <v/>
      </c>
      <c r="B348" s="63">
        <f>IF('Windows'!$B$12="","",'Windows'!$D$12)</f>
        <v/>
      </c>
      <c r="C348" s="63">
        <f>IF('Windows'!$B$12="","",'Windows'!$E$12)</f>
        <v/>
      </c>
      <c r="D348" s="55">
        <f>IF('Windows'!$B$12="","",'Windows'!$F$12)</f>
        <v/>
      </c>
      <c r="E348" s="55">
        <f>IF('Windows'!$B$12="","",'Windows'!$G$12)</f>
        <v/>
      </c>
      <c r="F348" s="55">
        <f>IF('Windows'!$B$12="","",'Windows'!$B$12)</f>
        <v/>
      </c>
      <c r="G348" s="55">
        <f>IF('Windows'!$B$12="","",'Windows'!$C$12)</f>
        <v/>
      </c>
      <c r="H348" s="55">
        <f>IF('Windows'!$B$12="","",'Windows'!$H$12)</f>
        <v/>
      </c>
      <c r="I348" s="55">
        <f>IF('Windows'!$B$12="","","WIN-011")</f>
        <v/>
      </c>
    </row>
    <row r="349">
      <c r="A349" s="55">
        <f>IF('Windows'!$B$13="","",'Windows'!$A$13)</f>
        <v/>
      </c>
      <c r="B349" s="63">
        <f>IF('Windows'!$B$13="","",'Windows'!$D$13)</f>
        <v/>
      </c>
      <c r="C349" s="63">
        <f>IF('Windows'!$B$13="","",'Windows'!$E$13)</f>
        <v/>
      </c>
      <c r="D349" s="55">
        <f>IF('Windows'!$B$13="","",'Windows'!$F$13)</f>
        <v/>
      </c>
      <c r="E349" s="55">
        <f>IF('Windows'!$B$13="","",'Windows'!$G$13)</f>
        <v/>
      </c>
      <c r="F349" s="55">
        <f>IF('Windows'!$B$13="","",'Windows'!$B$13)</f>
        <v/>
      </c>
      <c r="G349" s="55">
        <f>IF('Windows'!$B$13="","",'Windows'!$C$13)</f>
        <v/>
      </c>
      <c r="H349" s="55">
        <f>IF('Windows'!$B$13="","",'Windows'!$H$13)</f>
        <v/>
      </c>
      <c r="I349" s="55">
        <f>IF('Windows'!$B$13="","","WIN-012")</f>
        <v/>
      </c>
    </row>
    <row r="350">
      <c r="A350" s="55">
        <f>IF('Windows'!$B$14="","",'Windows'!$A$14)</f>
        <v/>
      </c>
      <c r="B350" s="63">
        <f>IF('Windows'!$B$14="","",'Windows'!$D$14)</f>
        <v/>
      </c>
      <c r="C350" s="63">
        <f>IF('Windows'!$B$14="","",'Windows'!$E$14)</f>
        <v/>
      </c>
      <c r="D350" s="55">
        <f>IF('Windows'!$B$14="","",'Windows'!$F$14)</f>
        <v/>
      </c>
      <c r="E350" s="55">
        <f>IF('Windows'!$B$14="","",'Windows'!$G$14)</f>
        <v/>
      </c>
      <c r="F350" s="55">
        <f>IF('Windows'!$B$14="","",'Windows'!$B$14)</f>
        <v/>
      </c>
      <c r="G350" s="55">
        <f>IF('Windows'!$B$14="","",'Windows'!$C$14)</f>
        <v/>
      </c>
      <c r="H350" s="55">
        <f>IF('Windows'!$B$14="","",'Windows'!$H$14)</f>
        <v/>
      </c>
      <c r="I350" s="55">
        <f>IF('Windows'!$B$14="","","WIN-013")</f>
        <v/>
      </c>
    </row>
    <row r="351">
      <c r="A351" s="55">
        <f>IF('Windows'!$B$15="","",'Windows'!$A$15)</f>
        <v/>
      </c>
      <c r="B351" s="63">
        <f>IF('Windows'!$B$15="","",'Windows'!$D$15)</f>
        <v/>
      </c>
      <c r="C351" s="63">
        <f>IF('Windows'!$B$15="","",'Windows'!$E$15)</f>
        <v/>
      </c>
      <c r="D351" s="55">
        <f>IF('Windows'!$B$15="","",'Windows'!$F$15)</f>
        <v/>
      </c>
      <c r="E351" s="55">
        <f>IF('Windows'!$B$15="","",'Windows'!$G$15)</f>
        <v/>
      </c>
      <c r="F351" s="55">
        <f>IF('Windows'!$B$15="","",'Windows'!$B$15)</f>
        <v/>
      </c>
      <c r="G351" s="55">
        <f>IF('Windows'!$B$15="","",'Windows'!$C$15)</f>
        <v/>
      </c>
      <c r="H351" s="55">
        <f>IF('Windows'!$B$15="","",'Windows'!$H$15)</f>
        <v/>
      </c>
      <c r="I351" s="55">
        <f>IF('Windows'!$B$15="","","WIN-014")</f>
        <v/>
      </c>
    </row>
    <row r="352">
      <c r="A352" s="55">
        <f>IF('Windows'!$B$16="","",'Windows'!$A$16)</f>
        <v/>
      </c>
      <c r="B352" s="63">
        <f>IF('Windows'!$B$16="","",'Windows'!$D$16)</f>
        <v/>
      </c>
      <c r="C352" s="63">
        <f>IF('Windows'!$B$16="","",'Windows'!$E$16)</f>
        <v/>
      </c>
      <c r="D352" s="55">
        <f>IF('Windows'!$B$16="","",'Windows'!$F$16)</f>
        <v/>
      </c>
      <c r="E352" s="55">
        <f>IF('Windows'!$B$16="","",'Windows'!$G$16)</f>
        <v/>
      </c>
      <c r="F352" s="55">
        <f>IF('Windows'!$B$16="","",'Windows'!$B$16)</f>
        <v/>
      </c>
      <c r="G352" s="55">
        <f>IF('Windows'!$B$16="","",'Windows'!$C$16)</f>
        <v/>
      </c>
      <c r="H352" s="55">
        <f>IF('Windows'!$B$16="","",'Windows'!$H$16)</f>
        <v/>
      </c>
      <c r="I352" s="55">
        <f>IF('Windows'!$B$16="","","WIN-015")</f>
        <v/>
      </c>
    </row>
    <row r="353">
      <c r="A353" s="55">
        <f>IF('Windows'!$B$17="","",'Windows'!$A$17)</f>
        <v/>
      </c>
      <c r="B353" s="63">
        <f>IF('Windows'!$B$17="","",'Windows'!$D$17)</f>
        <v/>
      </c>
      <c r="C353" s="63">
        <f>IF('Windows'!$B$17="","",'Windows'!$E$17)</f>
        <v/>
      </c>
      <c r="D353" s="55">
        <f>IF('Windows'!$B$17="","",'Windows'!$F$17)</f>
        <v/>
      </c>
      <c r="E353" s="55">
        <f>IF('Windows'!$B$17="","",'Windows'!$G$17)</f>
        <v/>
      </c>
      <c r="F353" s="55">
        <f>IF('Windows'!$B$17="","",'Windows'!$B$17)</f>
        <v/>
      </c>
      <c r="G353" s="55">
        <f>IF('Windows'!$B$17="","",'Windows'!$C$17)</f>
        <v/>
      </c>
      <c r="H353" s="55">
        <f>IF('Windows'!$B$17="","",'Windows'!$H$17)</f>
        <v/>
      </c>
      <c r="I353" s="55">
        <f>IF('Windows'!$B$17="","","WIN-016")</f>
        <v/>
      </c>
    </row>
    <row r="354">
      <c r="A354" s="55">
        <f>IF('Windows'!$B$18="","",'Windows'!$A$18)</f>
        <v/>
      </c>
      <c r="B354" s="63">
        <f>IF('Windows'!$B$18="","",'Windows'!$D$18)</f>
        <v/>
      </c>
      <c r="C354" s="63">
        <f>IF('Windows'!$B$18="","",'Windows'!$E$18)</f>
        <v/>
      </c>
      <c r="D354" s="55">
        <f>IF('Windows'!$B$18="","",'Windows'!$F$18)</f>
        <v/>
      </c>
      <c r="E354" s="55">
        <f>IF('Windows'!$B$18="","",'Windows'!$G$18)</f>
        <v/>
      </c>
      <c r="F354" s="55">
        <f>IF('Windows'!$B$18="","",'Windows'!$B$18)</f>
        <v/>
      </c>
      <c r="G354" s="55">
        <f>IF('Windows'!$B$18="","",'Windows'!$C$18)</f>
        <v/>
      </c>
      <c r="H354" s="55">
        <f>IF('Windows'!$B$18="","",'Windows'!$H$18)</f>
        <v/>
      </c>
      <c r="I354" s="55">
        <f>IF('Windows'!$B$18="","","WIN-017")</f>
        <v/>
      </c>
    </row>
    <row r="355">
      <c r="A355" s="55">
        <f>IF('Windows'!$B$19="","",'Windows'!$A$19)</f>
        <v/>
      </c>
      <c r="B355" s="63">
        <f>IF('Windows'!$B$19="","",'Windows'!$D$19)</f>
        <v/>
      </c>
      <c r="C355" s="63">
        <f>IF('Windows'!$B$19="","",'Windows'!$E$19)</f>
        <v/>
      </c>
      <c r="D355" s="55">
        <f>IF('Windows'!$B$19="","",'Windows'!$F$19)</f>
        <v/>
      </c>
      <c r="E355" s="55">
        <f>IF('Windows'!$B$19="","",'Windows'!$G$19)</f>
        <v/>
      </c>
      <c r="F355" s="55">
        <f>IF('Windows'!$B$19="","",'Windows'!$B$19)</f>
        <v/>
      </c>
      <c r="G355" s="55">
        <f>IF('Windows'!$B$19="","",'Windows'!$C$19)</f>
        <v/>
      </c>
      <c r="H355" s="55">
        <f>IF('Windows'!$B$19="","",'Windows'!$H$19)</f>
        <v/>
      </c>
      <c r="I355" s="55">
        <f>IF('Windows'!$B$19="","","WIN-018")</f>
        <v/>
      </c>
    </row>
    <row r="356">
      <c r="A356" s="55">
        <f>IF('Windows'!$B$20="","",'Windows'!$A$20)</f>
        <v/>
      </c>
      <c r="B356" s="63">
        <f>IF('Windows'!$B$20="","",'Windows'!$D$20)</f>
        <v/>
      </c>
      <c r="C356" s="63">
        <f>IF('Windows'!$B$20="","",'Windows'!$E$20)</f>
        <v/>
      </c>
      <c r="D356" s="55">
        <f>IF('Windows'!$B$20="","",'Windows'!$F$20)</f>
        <v/>
      </c>
      <c r="E356" s="55">
        <f>IF('Windows'!$B$20="","",'Windows'!$G$20)</f>
        <v/>
      </c>
      <c r="F356" s="55">
        <f>IF('Windows'!$B$20="","",'Windows'!$B$20)</f>
        <v/>
      </c>
      <c r="G356" s="55">
        <f>IF('Windows'!$B$20="","",'Windows'!$C$20)</f>
        <v/>
      </c>
      <c r="H356" s="55">
        <f>IF('Windows'!$B$20="","",'Windows'!$H$20)</f>
        <v/>
      </c>
      <c r="I356" s="55">
        <f>IF('Windows'!$B$20="","","WIN-019")</f>
        <v/>
      </c>
    </row>
    <row r="357">
      <c r="A357" s="55">
        <f>IF('Windows'!$B$21="","",'Windows'!$A$21)</f>
        <v/>
      </c>
      <c r="B357" s="63">
        <f>IF('Windows'!$B$21="","",'Windows'!$D$21)</f>
        <v/>
      </c>
      <c r="C357" s="63">
        <f>IF('Windows'!$B$21="","",'Windows'!$E$21)</f>
        <v/>
      </c>
      <c r="D357" s="55">
        <f>IF('Windows'!$B$21="","",'Windows'!$F$21)</f>
        <v/>
      </c>
      <c r="E357" s="55">
        <f>IF('Windows'!$B$21="","",'Windows'!$G$21)</f>
        <v/>
      </c>
      <c r="F357" s="55">
        <f>IF('Windows'!$B$21="","",'Windows'!$B$21)</f>
        <v/>
      </c>
      <c r="G357" s="55">
        <f>IF('Windows'!$B$21="","",'Windows'!$C$21)</f>
        <v/>
      </c>
      <c r="H357" s="55">
        <f>IF('Windows'!$B$21="","",'Windows'!$H$21)</f>
        <v/>
      </c>
      <c r="I357" s="55">
        <f>IF('Windows'!$B$21="","","WIN-020")</f>
        <v/>
      </c>
    </row>
    <row r="358">
      <c r="A358" s="55">
        <f>IF('Manual Blocks'!$F$2="","",'Manual Blocks'!$A$2)</f>
        <v/>
      </c>
      <c r="B358" s="63">
        <f>IF('Manual Blocks'!$F$2="","",'Manual Blocks'!$B$2)</f>
        <v/>
      </c>
      <c r="C358" s="63">
        <f>IF('Manual Blocks'!$F$2="","",'Manual Blocks'!$C$2)</f>
        <v/>
      </c>
      <c r="D358" s="55">
        <f>IF('Manual Blocks'!$F$2="","",'Manual Blocks'!$D$2)</f>
        <v/>
      </c>
      <c r="E358" s="55">
        <f>IF('Manual Blocks'!$F$2="","",'Manual Blocks'!$E$2)</f>
        <v/>
      </c>
      <c r="F358" s="55">
        <f>IF('Manual Blocks'!$F$2="","",'Manual Blocks'!$F$2)</f>
        <v/>
      </c>
      <c r="G358" s="55">
        <f>IF('Manual Blocks'!$F$2="","",'Manual Blocks'!$G$2)</f>
        <v/>
      </c>
      <c r="H358" s="55">
        <f>IF('Manual Blocks'!$F$2="","",'Manual Blocks'!$H$2)</f>
        <v/>
      </c>
      <c r="I358" s="55">
        <f>IF('Manual Blocks'!$F$2="","",IF('Manual Blocks'!$I$2="","MAN-001",'Manual Blocks'!$I$2))</f>
        <v/>
      </c>
    </row>
    <row r="359">
      <c r="A359" s="55">
        <f>IF('Manual Blocks'!$F$3="","",'Manual Blocks'!$A$3)</f>
        <v/>
      </c>
      <c r="B359" s="63">
        <f>IF('Manual Blocks'!$F$3="","",'Manual Blocks'!$B$3)</f>
        <v/>
      </c>
      <c r="C359" s="63">
        <f>IF('Manual Blocks'!$F$3="","",'Manual Blocks'!$C$3)</f>
        <v/>
      </c>
      <c r="D359" s="55">
        <f>IF('Manual Blocks'!$F$3="","",'Manual Blocks'!$D$3)</f>
        <v/>
      </c>
      <c r="E359" s="55">
        <f>IF('Manual Blocks'!$F$3="","",'Manual Blocks'!$E$3)</f>
        <v/>
      </c>
      <c r="F359" s="55">
        <f>IF('Manual Blocks'!$F$3="","",'Manual Blocks'!$F$3)</f>
        <v/>
      </c>
      <c r="G359" s="55">
        <f>IF('Manual Blocks'!$F$3="","",'Manual Blocks'!$G$3)</f>
        <v/>
      </c>
      <c r="H359" s="55">
        <f>IF('Manual Blocks'!$F$3="","",'Manual Blocks'!$H$3)</f>
        <v/>
      </c>
      <c r="I359" s="55">
        <f>IF('Manual Blocks'!$F$3="","",IF('Manual Blocks'!$I$3="","MAN-002",'Manual Blocks'!$I$3))</f>
        <v/>
      </c>
    </row>
    <row r="360">
      <c r="A360" s="55">
        <f>IF('Manual Blocks'!$F$4="","",'Manual Blocks'!$A$4)</f>
        <v/>
      </c>
      <c r="B360" s="63">
        <f>IF('Manual Blocks'!$F$4="","",'Manual Blocks'!$B$4)</f>
        <v/>
      </c>
      <c r="C360" s="63">
        <f>IF('Manual Blocks'!$F$4="","",'Manual Blocks'!$C$4)</f>
        <v/>
      </c>
      <c r="D360" s="55">
        <f>IF('Manual Blocks'!$F$4="","",'Manual Blocks'!$D$4)</f>
        <v/>
      </c>
      <c r="E360" s="55">
        <f>IF('Manual Blocks'!$F$4="","",'Manual Blocks'!$E$4)</f>
        <v/>
      </c>
      <c r="F360" s="55">
        <f>IF('Manual Blocks'!$F$4="","",'Manual Blocks'!$F$4)</f>
        <v/>
      </c>
      <c r="G360" s="55">
        <f>IF('Manual Blocks'!$F$4="","",'Manual Blocks'!$G$4)</f>
        <v/>
      </c>
      <c r="H360" s="55">
        <f>IF('Manual Blocks'!$F$4="","",'Manual Blocks'!$H$4)</f>
        <v/>
      </c>
      <c r="I360" s="55">
        <f>IF('Manual Blocks'!$F$4="","",IF('Manual Blocks'!$I$4="","MAN-003",'Manual Blocks'!$I$4))</f>
        <v/>
      </c>
    </row>
    <row r="361">
      <c r="A361" s="55">
        <f>IF('Manual Blocks'!$F$5="","",'Manual Blocks'!$A$5)</f>
        <v/>
      </c>
      <c r="B361" s="63">
        <f>IF('Manual Blocks'!$F$5="","",'Manual Blocks'!$B$5)</f>
        <v/>
      </c>
      <c r="C361" s="63">
        <f>IF('Manual Blocks'!$F$5="","",'Manual Blocks'!$C$5)</f>
        <v/>
      </c>
      <c r="D361" s="55">
        <f>IF('Manual Blocks'!$F$5="","",'Manual Blocks'!$D$5)</f>
        <v/>
      </c>
      <c r="E361" s="55">
        <f>IF('Manual Blocks'!$F$5="","",'Manual Blocks'!$E$5)</f>
        <v/>
      </c>
      <c r="F361" s="55">
        <f>IF('Manual Blocks'!$F$5="","",'Manual Blocks'!$F$5)</f>
        <v/>
      </c>
      <c r="G361" s="55">
        <f>IF('Manual Blocks'!$F$5="","",'Manual Blocks'!$G$5)</f>
        <v/>
      </c>
      <c r="H361" s="55">
        <f>IF('Manual Blocks'!$F$5="","",'Manual Blocks'!$H$5)</f>
        <v/>
      </c>
      <c r="I361" s="55">
        <f>IF('Manual Blocks'!$F$5="","",IF('Manual Blocks'!$I$5="","MAN-004",'Manual Blocks'!$I$5))</f>
        <v/>
      </c>
    </row>
    <row r="362">
      <c r="A362" s="55">
        <f>IF('Manual Blocks'!$F$6="","",'Manual Blocks'!$A$6)</f>
        <v/>
      </c>
      <c r="B362" s="63">
        <f>IF('Manual Blocks'!$F$6="","",'Manual Blocks'!$B$6)</f>
        <v/>
      </c>
      <c r="C362" s="63">
        <f>IF('Manual Blocks'!$F$6="","",'Manual Blocks'!$C$6)</f>
        <v/>
      </c>
      <c r="D362" s="55">
        <f>IF('Manual Blocks'!$F$6="","",'Manual Blocks'!$D$6)</f>
        <v/>
      </c>
      <c r="E362" s="55">
        <f>IF('Manual Blocks'!$F$6="","",'Manual Blocks'!$E$6)</f>
        <v/>
      </c>
      <c r="F362" s="55">
        <f>IF('Manual Blocks'!$F$6="","",'Manual Blocks'!$F$6)</f>
        <v/>
      </c>
      <c r="G362" s="55">
        <f>IF('Manual Blocks'!$F$6="","",'Manual Blocks'!$G$6)</f>
        <v/>
      </c>
      <c r="H362" s="55">
        <f>IF('Manual Blocks'!$F$6="","",'Manual Blocks'!$H$6)</f>
        <v/>
      </c>
      <c r="I362" s="55">
        <f>IF('Manual Blocks'!$F$6="","",IF('Manual Blocks'!$I$6="","MAN-005",'Manual Blocks'!$I$6))</f>
        <v/>
      </c>
    </row>
    <row r="363">
      <c r="A363" s="55">
        <f>IF('Manual Blocks'!$F$7="","",'Manual Blocks'!$A$7)</f>
        <v/>
      </c>
      <c r="B363" s="63">
        <f>IF('Manual Blocks'!$F$7="","",'Manual Blocks'!$B$7)</f>
        <v/>
      </c>
      <c r="C363" s="63">
        <f>IF('Manual Blocks'!$F$7="","",'Manual Blocks'!$C$7)</f>
        <v/>
      </c>
      <c r="D363" s="55">
        <f>IF('Manual Blocks'!$F$7="","",'Manual Blocks'!$D$7)</f>
        <v/>
      </c>
      <c r="E363" s="55">
        <f>IF('Manual Blocks'!$F$7="","",'Manual Blocks'!$E$7)</f>
        <v/>
      </c>
      <c r="F363" s="55">
        <f>IF('Manual Blocks'!$F$7="","",'Manual Blocks'!$F$7)</f>
        <v/>
      </c>
      <c r="G363" s="55">
        <f>IF('Manual Blocks'!$F$7="","",'Manual Blocks'!$G$7)</f>
        <v/>
      </c>
      <c r="H363" s="55">
        <f>IF('Manual Blocks'!$F$7="","",'Manual Blocks'!$H$7)</f>
        <v/>
      </c>
      <c r="I363" s="55">
        <f>IF('Manual Blocks'!$F$7="","",IF('Manual Blocks'!$I$7="","MAN-006",'Manual Blocks'!$I$7))</f>
        <v/>
      </c>
    </row>
    <row r="364">
      <c r="A364" s="55">
        <f>IF('Manual Blocks'!$F$8="","",'Manual Blocks'!$A$8)</f>
        <v/>
      </c>
      <c r="B364" s="63">
        <f>IF('Manual Blocks'!$F$8="","",'Manual Blocks'!$B$8)</f>
        <v/>
      </c>
      <c r="C364" s="63">
        <f>IF('Manual Blocks'!$F$8="","",'Manual Blocks'!$C$8)</f>
        <v/>
      </c>
      <c r="D364" s="55">
        <f>IF('Manual Blocks'!$F$8="","",'Manual Blocks'!$D$8)</f>
        <v/>
      </c>
      <c r="E364" s="55">
        <f>IF('Manual Blocks'!$F$8="","",'Manual Blocks'!$E$8)</f>
        <v/>
      </c>
      <c r="F364" s="55">
        <f>IF('Manual Blocks'!$F$8="","",'Manual Blocks'!$F$8)</f>
        <v/>
      </c>
      <c r="G364" s="55">
        <f>IF('Manual Blocks'!$F$8="","",'Manual Blocks'!$G$8)</f>
        <v/>
      </c>
      <c r="H364" s="55">
        <f>IF('Manual Blocks'!$F$8="","",'Manual Blocks'!$H$8)</f>
        <v/>
      </c>
      <c r="I364" s="55">
        <f>IF('Manual Blocks'!$F$8="","",IF('Manual Blocks'!$I$8="","MAN-007",'Manual Blocks'!$I$8))</f>
        <v/>
      </c>
    </row>
    <row r="365">
      <c r="A365" s="55">
        <f>IF('Manual Blocks'!$F$9="","",'Manual Blocks'!$A$9)</f>
        <v/>
      </c>
      <c r="B365" s="63">
        <f>IF('Manual Blocks'!$F$9="","",'Manual Blocks'!$B$9)</f>
        <v/>
      </c>
      <c r="C365" s="63">
        <f>IF('Manual Blocks'!$F$9="","",'Manual Blocks'!$C$9)</f>
        <v/>
      </c>
      <c r="D365" s="55">
        <f>IF('Manual Blocks'!$F$9="","",'Manual Blocks'!$D$9)</f>
        <v/>
      </c>
      <c r="E365" s="55">
        <f>IF('Manual Blocks'!$F$9="","",'Manual Blocks'!$E$9)</f>
        <v/>
      </c>
      <c r="F365" s="55">
        <f>IF('Manual Blocks'!$F$9="","",'Manual Blocks'!$F$9)</f>
        <v/>
      </c>
      <c r="G365" s="55">
        <f>IF('Manual Blocks'!$F$9="","",'Manual Blocks'!$G$9)</f>
        <v/>
      </c>
      <c r="H365" s="55">
        <f>IF('Manual Blocks'!$F$9="","",'Manual Blocks'!$H$9)</f>
        <v/>
      </c>
      <c r="I365" s="55">
        <f>IF('Manual Blocks'!$F$9="","",IF('Manual Blocks'!$I$9="","MAN-008",'Manual Blocks'!$I$9))</f>
        <v/>
      </c>
    </row>
    <row r="366">
      <c r="A366" s="55">
        <f>IF('Manual Blocks'!$F$10="","",'Manual Blocks'!$A$10)</f>
        <v/>
      </c>
      <c r="B366" s="63">
        <f>IF('Manual Blocks'!$F$10="","",'Manual Blocks'!$B$10)</f>
        <v/>
      </c>
      <c r="C366" s="63">
        <f>IF('Manual Blocks'!$F$10="","",'Manual Blocks'!$C$10)</f>
        <v/>
      </c>
      <c r="D366" s="55">
        <f>IF('Manual Blocks'!$F$10="","",'Manual Blocks'!$D$10)</f>
        <v/>
      </c>
      <c r="E366" s="55">
        <f>IF('Manual Blocks'!$F$10="","",'Manual Blocks'!$E$10)</f>
        <v/>
      </c>
      <c r="F366" s="55">
        <f>IF('Manual Blocks'!$F$10="","",'Manual Blocks'!$F$10)</f>
        <v/>
      </c>
      <c r="G366" s="55">
        <f>IF('Manual Blocks'!$F$10="","",'Manual Blocks'!$G$10)</f>
        <v/>
      </c>
      <c r="H366" s="55">
        <f>IF('Manual Blocks'!$F$10="","",'Manual Blocks'!$H$10)</f>
        <v/>
      </c>
      <c r="I366" s="55">
        <f>IF('Manual Blocks'!$F$10="","",IF('Manual Blocks'!$I$10="","MAN-009",'Manual Blocks'!$I$10))</f>
        <v/>
      </c>
    </row>
    <row r="367">
      <c r="A367" s="55">
        <f>IF('Manual Blocks'!$F$11="","",'Manual Blocks'!$A$11)</f>
        <v/>
      </c>
      <c r="B367" s="63">
        <f>IF('Manual Blocks'!$F$11="","",'Manual Blocks'!$B$11)</f>
        <v/>
      </c>
      <c r="C367" s="63">
        <f>IF('Manual Blocks'!$F$11="","",'Manual Blocks'!$C$11)</f>
        <v/>
      </c>
      <c r="D367" s="55">
        <f>IF('Manual Blocks'!$F$11="","",'Manual Blocks'!$D$11)</f>
        <v/>
      </c>
      <c r="E367" s="55">
        <f>IF('Manual Blocks'!$F$11="","",'Manual Blocks'!$E$11)</f>
        <v/>
      </c>
      <c r="F367" s="55">
        <f>IF('Manual Blocks'!$F$11="","",'Manual Blocks'!$F$11)</f>
        <v/>
      </c>
      <c r="G367" s="55">
        <f>IF('Manual Blocks'!$F$11="","",'Manual Blocks'!$G$11)</f>
        <v/>
      </c>
      <c r="H367" s="55">
        <f>IF('Manual Blocks'!$F$11="","",'Manual Blocks'!$H$11)</f>
        <v/>
      </c>
      <c r="I367" s="55">
        <f>IF('Manual Blocks'!$F$11="","",IF('Manual Blocks'!$I$11="","MAN-010",'Manual Blocks'!$I$11))</f>
        <v/>
      </c>
    </row>
    <row r="368">
      <c r="A368" s="55">
        <f>IF('Manual Blocks'!$F$12="","",'Manual Blocks'!$A$12)</f>
        <v/>
      </c>
      <c r="B368" s="63">
        <f>IF('Manual Blocks'!$F$12="","",'Manual Blocks'!$B$12)</f>
        <v/>
      </c>
      <c r="C368" s="63">
        <f>IF('Manual Blocks'!$F$12="","",'Manual Blocks'!$C$12)</f>
        <v/>
      </c>
      <c r="D368" s="55">
        <f>IF('Manual Blocks'!$F$12="","",'Manual Blocks'!$D$12)</f>
        <v/>
      </c>
      <c r="E368" s="55">
        <f>IF('Manual Blocks'!$F$12="","",'Manual Blocks'!$E$12)</f>
        <v/>
      </c>
      <c r="F368" s="55">
        <f>IF('Manual Blocks'!$F$12="","",'Manual Blocks'!$F$12)</f>
        <v/>
      </c>
      <c r="G368" s="55">
        <f>IF('Manual Blocks'!$F$12="","",'Manual Blocks'!$G$12)</f>
        <v/>
      </c>
      <c r="H368" s="55">
        <f>IF('Manual Blocks'!$F$12="","",'Manual Blocks'!$H$12)</f>
        <v/>
      </c>
      <c r="I368" s="55">
        <f>IF('Manual Blocks'!$F$12="","",IF('Manual Blocks'!$I$12="","MAN-011",'Manual Blocks'!$I$12))</f>
        <v/>
      </c>
    </row>
    <row r="369">
      <c r="A369" s="55">
        <f>IF('Manual Blocks'!$F$13="","",'Manual Blocks'!$A$13)</f>
        <v/>
      </c>
      <c r="B369" s="63">
        <f>IF('Manual Blocks'!$F$13="","",'Manual Blocks'!$B$13)</f>
        <v/>
      </c>
      <c r="C369" s="63">
        <f>IF('Manual Blocks'!$F$13="","",'Manual Blocks'!$C$13)</f>
        <v/>
      </c>
      <c r="D369" s="55">
        <f>IF('Manual Blocks'!$F$13="","",'Manual Blocks'!$D$13)</f>
        <v/>
      </c>
      <c r="E369" s="55">
        <f>IF('Manual Blocks'!$F$13="","",'Manual Blocks'!$E$13)</f>
        <v/>
      </c>
      <c r="F369" s="55">
        <f>IF('Manual Blocks'!$F$13="","",'Manual Blocks'!$F$13)</f>
        <v/>
      </c>
      <c r="G369" s="55">
        <f>IF('Manual Blocks'!$F$13="","",'Manual Blocks'!$G$13)</f>
        <v/>
      </c>
      <c r="H369" s="55">
        <f>IF('Manual Blocks'!$F$13="","",'Manual Blocks'!$H$13)</f>
        <v/>
      </c>
      <c r="I369" s="55">
        <f>IF('Manual Blocks'!$F$13="","",IF('Manual Blocks'!$I$13="","MAN-012",'Manual Blocks'!$I$13))</f>
        <v/>
      </c>
    </row>
    <row r="370">
      <c r="A370" s="55">
        <f>IF('Manual Blocks'!$F$14="","",'Manual Blocks'!$A$14)</f>
        <v/>
      </c>
      <c r="B370" s="63">
        <f>IF('Manual Blocks'!$F$14="","",'Manual Blocks'!$B$14)</f>
        <v/>
      </c>
      <c r="C370" s="63">
        <f>IF('Manual Blocks'!$F$14="","",'Manual Blocks'!$C$14)</f>
        <v/>
      </c>
      <c r="D370" s="55">
        <f>IF('Manual Blocks'!$F$14="","",'Manual Blocks'!$D$14)</f>
        <v/>
      </c>
      <c r="E370" s="55">
        <f>IF('Manual Blocks'!$F$14="","",'Manual Blocks'!$E$14)</f>
        <v/>
      </c>
      <c r="F370" s="55">
        <f>IF('Manual Blocks'!$F$14="","",'Manual Blocks'!$F$14)</f>
        <v/>
      </c>
      <c r="G370" s="55">
        <f>IF('Manual Blocks'!$F$14="","",'Manual Blocks'!$G$14)</f>
        <v/>
      </c>
      <c r="H370" s="55">
        <f>IF('Manual Blocks'!$F$14="","",'Manual Blocks'!$H$14)</f>
        <v/>
      </c>
      <c r="I370" s="55">
        <f>IF('Manual Blocks'!$F$14="","",IF('Manual Blocks'!$I$14="","MAN-013",'Manual Blocks'!$I$14))</f>
        <v/>
      </c>
    </row>
    <row r="371">
      <c r="A371" s="55">
        <f>IF('Manual Blocks'!$F$15="","",'Manual Blocks'!$A$15)</f>
        <v/>
      </c>
      <c r="B371" s="63">
        <f>IF('Manual Blocks'!$F$15="","",'Manual Blocks'!$B$15)</f>
        <v/>
      </c>
      <c r="C371" s="63">
        <f>IF('Manual Blocks'!$F$15="","",'Manual Blocks'!$C$15)</f>
        <v/>
      </c>
      <c r="D371" s="55">
        <f>IF('Manual Blocks'!$F$15="","",'Manual Blocks'!$D$15)</f>
        <v/>
      </c>
      <c r="E371" s="55">
        <f>IF('Manual Blocks'!$F$15="","",'Manual Blocks'!$E$15)</f>
        <v/>
      </c>
      <c r="F371" s="55">
        <f>IF('Manual Blocks'!$F$15="","",'Manual Blocks'!$F$15)</f>
        <v/>
      </c>
      <c r="G371" s="55">
        <f>IF('Manual Blocks'!$F$15="","",'Manual Blocks'!$G$15)</f>
        <v/>
      </c>
      <c r="H371" s="55">
        <f>IF('Manual Blocks'!$F$15="","",'Manual Blocks'!$H$15)</f>
        <v/>
      </c>
      <c r="I371" s="55">
        <f>IF('Manual Blocks'!$F$15="","",IF('Manual Blocks'!$I$15="","MAN-014",'Manual Blocks'!$I$15))</f>
        <v/>
      </c>
    </row>
    <row r="372">
      <c r="A372" s="55">
        <f>IF('Manual Blocks'!$F$16="","",'Manual Blocks'!$A$16)</f>
        <v/>
      </c>
      <c r="B372" s="63">
        <f>IF('Manual Blocks'!$F$16="","",'Manual Blocks'!$B$16)</f>
        <v/>
      </c>
      <c r="C372" s="63">
        <f>IF('Manual Blocks'!$F$16="","",'Manual Blocks'!$C$16)</f>
        <v/>
      </c>
      <c r="D372" s="55">
        <f>IF('Manual Blocks'!$F$16="","",'Manual Blocks'!$D$16)</f>
        <v/>
      </c>
      <c r="E372" s="55">
        <f>IF('Manual Blocks'!$F$16="","",'Manual Blocks'!$E$16)</f>
        <v/>
      </c>
      <c r="F372" s="55">
        <f>IF('Manual Blocks'!$F$16="","",'Manual Blocks'!$F$16)</f>
        <v/>
      </c>
      <c r="G372" s="55">
        <f>IF('Manual Blocks'!$F$16="","",'Manual Blocks'!$G$16)</f>
        <v/>
      </c>
      <c r="H372" s="55">
        <f>IF('Manual Blocks'!$F$16="","",'Manual Blocks'!$H$16)</f>
        <v/>
      </c>
      <c r="I372" s="55">
        <f>IF('Manual Blocks'!$F$16="","",IF('Manual Blocks'!$I$16="","MAN-015",'Manual Blocks'!$I$16))</f>
        <v/>
      </c>
    </row>
    <row r="373">
      <c r="A373" s="55">
        <f>IF('Manual Blocks'!$F$17="","",'Manual Blocks'!$A$17)</f>
        <v/>
      </c>
      <c r="B373" s="63">
        <f>IF('Manual Blocks'!$F$17="","",'Manual Blocks'!$B$17)</f>
        <v/>
      </c>
      <c r="C373" s="63">
        <f>IF('Manual Blocks'!$F$17="","",'Manual Blocks'!$C$17)</f>
        <v/>
      </c>
      <c r="D373" s="55">
        <f>IF('Manual Blocks'!$F$17="","",'Manual Blocks'!$D$17)</f>
        <v/>
      </c>
      <c r="E373" s="55">
        <f>IF('Manual Blocks'!$F$17="","",'Manual Blocks'!$E$17)</f>
        <v/>
      </c>
      <c r="F373" s="55">
        <f>IF('Manual Blocks'!$F$17="","",'Manual Blocks'!$F$17)</f>
        <v/>
      </c>
      <c r="G373" s="55">
        <f>IF('Manual Blocks'!$F$17="","",'Manual Blocks'!$G$17)</f>
        <v/>
      </c>
      <c r="H373" s="55">
        <f>IF('Manual Blocks'!$F$17="","",'Manual Blocks'!$H$17)</f>
        <v/>
      </c>
      <c r="I373" s="55">
        <f>IF('Manual Blocks'!$F$17="","",IF('Manual Blocks'!$I$17="","MAN-016",'Manual Blocks'!$I$17))</f>
        <v/>
      </c>
    </row>
    <row r="374">
      <c r="A374" s="55">
        <f>IF('Manual Blocks'!$F$18="","",'Manual Blocks'!$A$18)</f>
        <v/>
      </c>
      <c r="B374" s="63">
        <f>IF('Manual Blocks'!$F$18="","",'Manual Blocks'!$B$18)</f>
        <v/>
      </c>
      <c r="C374" s="63">
        <f>IF('Manual Blocks'!$F$18="","",'Manual Blocks'!$C$18)</f>
        <v/>
      </c>
      <c r="D374" s="55">
        <f>IF('Manual Blocks'!$F$18="","",'Manual Blocks'!$D$18)</f>
        <v/>
      </c>
      <c r="E374" s="55">
        <f>IF('Manual Blocks'!$F$18="","",'Manual Blocks'!$E$18)</f>
        <v/>
      </c>
      <c r="F374" s="55">
        <f>IF('Manual Blocks'!$F$18="","",'Manual Blocks'!$F$18)</f>
        <v/>
      </c>
      <c r="G374" s="55">
        <f>IF('Manual Blocks'!$F$18="","",'Manual Blocks'!$G$18)</f>
        <v/>
      </c>
      <c r="H374" s="55">
        <f>IF('Manual Blocks'!$F$18="","",'Manual Blocks'!$H$18)</f>
        <v/>
      </c>
      <c r="I374" s="55">
        <f>IF('Manual Blocks'!$F$18="","",IF('Manual Blocks'!$I$18="","MAN-017",'Manual Blocks'!$I$18))</f>
        <v/>
      </c>
    </row>
    <row r="375">
      <c r="A375" s="55">
        <f>IF('Manual Blocks'!$F$19="","",'Manual Blocks'!$A$19)</f>
        <v/>
      </c>
      <c r="B375" s="63">
        <f>IF('Manual Blocks'!$F$19="","",'Manual Blocks'!$B$19)</f>
        <v/>
      </c>
      <c r="C375" s="63">
        <f>IF('Manual Blocks'!$F$19="","",'Manual Blocks'!$C$19)</f>
        <v/>
      </c>
      <c r="D375" s="55">
        <f>IF('Manual Blocks'!$F$19="","",'Manual Blocks'!$D$19)</f>
        <v/>
      </c>
      <c r="E375" s="55">
        <f>IF('Manual Blocks'!$F$19="","",'Manual Blocks'!$E$19)</f>
        <v/>
      </c>
      <c r="F375" s="55">
        <f>IF('Manual Blocks'!$F$19="","",'Manual Blocks'!$F$19)</f>
        <v/>
      </c>
      <c r="G375" s="55">
        <f>IF('Manual Blocks'!$F$19="","",'Manual Blocks'!$G$19)</f>
        <v/>
      </c>
      <c r="H375" s="55">
        <f>IF('Manual Blocks'!$F$19="","",'Manual Blocks'!$H$19)</f>
        <v/>
      </c>
      <c r="I375" s="55">
        <f>IF('Manual Blocks'!$F$19="","",IF('Manual Blocks'!$I$19="","MAN-018",'Manual Blocks'!$I$19))</f>
        <v/>
      </c>
    </row>
    <row r="376">
      <c r="A376" s="55">
        <f>IF('Manual Blocks'!$F$20="","",'Manual Blocks'!$A$20)</f>
        <v/>
      </c>
      <c r="B376" s="63">
        <f>IF('Manual Blocks'!$F$20="","",'Manual Blocks'!$B$20)</f>
        <v/>
      </c>
      <c r="C376" s="63">
        <f>IF('Manual Blocks'!$F$20="","",'Manual Blocks'!$C$20)</f>
        <v/>
      </c>
      <c r="D376" s="55">
        <f>IF('Manual Blocks'!$F$20="","",'Manual Blocks'!$D$20)</f>
        <v/>
      </c>
      <c r="E376" s="55">
        <f>IF('Manual Blocks'!$F$20="","",'Manual Blocks'!$E$20)</f>
        <v/>
      </c>
      <c r="F376" s="55">
        <f>IF('Manual Blocks'!$F$20="","",'Manual Blocks'!$F$20)</f>
        <v/>
      </c>
      <c r="G376" s="55">
        <f>IF('Manual Blocks'!$F$20="","",'Manual Blocks'!$G$20)</f>
        <v/>
      </c>
      <c r="H376" s="55">
        <f>IF('Manual Blocks'!$F$20="","",'Manual Blocks'!$H$20)</f>
        <v/>
      </c>
      <c r="I376" s="55">
        <f>IF('Manual Blocks'!$F$20="","",IF('Manual Blocks'!$I$20="","MAN-019",'Manual Blocks'!$I$20))</f>
        <v/>
      </c>
    </row>
    <row r="377">
      <c r="A377" s="55">
        <f>IF('Manual Blocks'!$F$21="","",'Manual Blocks'!$A$21)</f>
        <v/>
      </c>
      <c r="B377" s="63">
        <f>IF('Manual Blocks'!$F$21="","",'Manual Blocks'!$B$21)</f>
        <v/>
      </c>
      <c r="C377" s="63">
        <f>IF('Manual Blocks'!$F$21="","",'Manual Blocks'!$C$21)</f>
        <v/>
      </c>
      <c r="D377" s="55">
        <f>IF('Manual Blocks'!$F$21="","",'Manual Blocks'!$D$21)</f>
        <v/>
      </c>
      <c r="E377" s="55">
        <f>IF('Manual Blocks'!$F$21="","",'Manual Blocks'!$E$21)</f>
        <v/>
      </c>
      <c r="F377" s="55">
        <f>IF('Manual Blocks'!$F$21="","",'Manual Blocks'!$F$21)</f>
        <v/>
      </c>
      <c r="G377" s="55">
        <f>IF('Manual Blocks'!$F$21="","",'Manual Blocks'!$G$21)</f>
        <v/>
      </c>
      <c r="H377" s="55">
        <f>IF('Manual Blocks'!$F$21="","",'Manual Blocks'!$H$21)</f>
        <v/>
      </c>
      <c r="I377" s="55">
        <f>IF('Manual Blocks'!$F$21="","",IF('Manual Blocks'!$I$21="","MAN-020",'Manual Blocks'!$I$21))</f>
        <v/>
      </c>
    </row>
    <row r="378">
      <c r="A378" s="55">
        <f>IF('Manual Blocks'!$F$22="","",'Manual Blocks'!$A$22)</f>
        <v/>
      </c>
      <c r="B378" s="63">
        <f>IF('Manual Blocks'!$F$22="","",'Manual Blocks'!$B$22)</f>
        <v/>
      </c>
      <c r="C378" s="63">
        <f>IF('Manual Blocks'!$F$22="","",'Manual Blocks'!$C$22)</f>
        <v/>
      </c>
      <c r="D378" s="55">
        <f>IF('Manual Blocks'!$F$22="","",'Manual Blocks'!$D$22)</f>
        <v/>
      </c>
      <c r="E378" s="55">
        <f>IF('Manual Blocks'!$F$22="","",'Manual Blocks'!$E$22)</f>
        <v/>
      </c>
      <c r="F378" s="55">
        <f>IF('Manual Blocks'!$F$22="","",'Manual Blocks'!$F$22)</f>
        <v/>
      </c>
      <c r="G378" s="55">
        <f>IF('Manual Blocks'!$F$22="","",'Manual Blocks'!$G$22)</f>
        <v/>
      </c>
      <c r="H378" s="55">
        <f>IF('Manual Blocks'!$F$22="","",'Manual Blocks'!$H$22)</f>
        <v/>
      </c>
      <c r="I378" s="55">
        <f>IF('Manual Blocks'!$F$22="","",IF('Manual Blocks'!$I$22="","MAN-021",'Manual Blocks'!$I$22))</f>
        <v/>
      </c>
    </row>
    <row r="379">
      <c r="A379" s="55">
        <f>IF('Manual Blocks'!$F$23="","",'Manual Blocks'!$A$23)</f>
        <v/>
      </c>
      <c r="B379" s="63">
        <f>IF('Manual Blocks'!$F$23="","",'Manual Blocks'!$B$23)</f>
        <v/>
      </c>
      <c r="C379" s="63">
        <f>IF('Manual Blocks'!$F$23="","",'Manual Blocks'!$C$23)</f>
        <v/>
      </c>
      <c r="D379" s="55">
        <f>IF('Manual Blocks'!$F$23="","",'Manual Blocks'!$D$23)</f>
        <v/>
      </c>
      <c r="E379" s="55">
        <f>IF('Manual Blocks'!$F$23="","",'Manual Blocks'!$E$23)</f>
        <v/>
      </c>
      <c r="F379" s="55">
        <f>IF('Manual Blocks'!$F$23="","",'Manual Blocks'!$F$23)</f>
        <v/>
      </c>
      <c r="G379" s="55">
        <f>IF('Manual Blocks'!$F$23="","",'Manual Blocks'!$G$23)</f>
        <v/>
      </c>
      <c r="H379" s="55">
        <f>IF('Manual Blocks'!$F$23="","",'Manual Blocks'!$H$23)</f>
        <v/>
      </c>
      <c r="I379" s="55">
        <f>IF('Manual Blocks'!$F$23="","",IF('Manual Blocks'!$I$23="","MAN-022",'Manual Blocks'!$I$23))</f>
        <v/>
      </c>
    </row>
    <row r="380">
      <c r="A380" s="55">
        <f>IF('Manual Blocks'!$F$24="","",'Manual Blocks'!$A$24)</f>
        <v/>
      </c>
      <c r="B380" s="63">
        <f>IF('Manual Blocks'!$F$24="","",'Manual Blocks'!$B$24)</f>
        <v/>
      </c>
      <c r="C380" s="63">
        <f>IF('Manual Blocks'!$F$24="","",'Manual Blocks'!$C$24)</f>
        <v/>
      </c>
      <c r="D380" s="55">
        <f>IF('Manual Blocks'!$F$24="","",'Manual Blocks'!$D$24)</f>
        <v/>
      </c>
      <c r="E380" s="55">
        <f>IF('Manual Blocks'!$F$24="","",'Manual Blocks'!$E$24)</f>
        <v/>
      </c>
      <c r="F380" s="55">
        <f>IF('Manual Blocks'!$F$24="","",'Manual Blocks'!$F$24)</f>
        <v/>
      </c>
      <c r="G380" s="55">
        <f>IF('Manual Blocks'!$F$24="","",'Manual Blocks'!$G$24)</f>
        <v/>
      </c>
      <c r="H380" s="55">
        <f>IF('Manual Blocks'!$F$24="","",'Manual Blocks'!$H$24)</f>
        <v/>
      </c>
      <c r="I380" s="55">
        <f>IF('Manual Blocks'!$F$24="","",IF('Manual Blocks'!$I$24="","MAN-023",'Manual Blocks'!$I$24))</f>
        <v/>
      </c>
    </row>
    <row r="381">
      <c r="A381" s="55">
        <f>IF('Manual Blocks'!$F$25="","",'Manual Blocks'!$A$25)</f>
        <v/>
      </c>
      <c r="B381" s="63">
        <f>IF('Manual Blocks'!$F$25="","",'Manual Blocks'!$B$25)</f>
        <v/>
      </c>
      <c r="C381" s="63">
        <f>IF('Manual Blocks'!$F$25="","",'Manual Blocks'!$C$25)</f>
        <v/>
      </c>
      <c r="D381" s="55">
        <f>IF('Manual Blocks'!$F$25="","",'Manual Blocks'!$D$25)</f>
        <v/>
      </c>
      <c r="E381" s="55">
        <f>IF('Manual Blocks'!$F$25="","",'Manual Blocks'!$E$25)</f>
        <v/>
      </c>
      <c r="F381" s="55">
        <f>IF('Manual Blocks'!$F$25="","",'Manual Blocks'!$F$25)</f>
        <v/>
      </c>
      <c r="G381" s="55">
        <f>IF('Manual Blocks'!$F$25="","",'Manual Blocks'!$G$25)</f>
        <v/>
      </c>
      <c r="H381" s="55">
        <f>IF('Manual Blocks'!$F$25="","",'Manual Blocks'!$H$25)</f>
        <v/>
      </c>
      <c r="I381" s="55">
        <f>IF('Manual Blocks'!$F$25="","",IF('Manual Blocks'!$I$25="","MAN-024",'Manual Blocks'!$I$25))</f>
        <v/>
      </c>
    </row>
    <row r="382">
      <c r="A382" s="55">
        <f>IF('Manual Blocks'!$F$26="","",'Manual Blocks'!$A$26)</f>
        <v/>
      </c>
      <c r="B382" s="63">
        <f>IF('Manual Blocks'!$F$26="","",'Manual Blocks'!$B$26)</f>
        <v/>
      </c>
      <c r="C382" s="63">
        <f>IF('Manual Blocks'!$F$26="","",'Manual Blocks'!$C$26)</f>
        <v/>
      </c>
      <c r="D382" s="55">
        <f>IF('Manual Blocks'!$F$26="","",'Manual Blocks'!$D$26)</f>
        <v/>
      </c>
      <c r="E382" s="55">
        <f>IF('Manual Blocks'!$F$26="","",'Manual Blocks'!$E$26)</f>
        <v/>
      </c>
      <c r="F382" s="55">
        <f>IF('Manual Blocks'!$F$26="","",'Manual Blocks'!$F$26)</f>
        <v/>
      </c>
      <c r="G382" s="55">
        <f>IF('Manual Blocks'!$F$26="","",'Manual Blocks'!$G$26)</f>
        <v/>
      </c>
      <c r="H382" s="55">
        <f>IF('Manual Blocks'!$F$26="","",'Manual Blocks'!$H$26)</f>
        <v/>
      </c>
      <c r="I382" s="55">
        <f>IF('Manual Blocks'!$F$26="","",IF('Manual Blocks'!$I$26="","MAN-025",'Manual Blocks'!$I$26))</f>
        <v/>
      </c>
    </row>
    <row r="383">
      <c r="A383" s="55">
        <f>IF('Manual Blocks'!$F$27="","",'Manual Blocks'!$A$27)</f>
        <v/>
      </c>
      <c r="B383" s="63">
        <f>IF('Manual Blocks'!$F$27="","",'Manual Blocks'!$B$27)</f>
        <v/>
      </c>
      <c r="C383" s="63">
        <f>IF('Manual Blocks'!$F$27="","",'Manual Blocks'!$C$27)</f>
        <v/>
      </c>
      <c r="D383" s="55">
        <f>IF('Manual Blocks'!$F$27="","",'Manual Blocks'!$D$27)</f>
        <v/>
      </c>
      <c r="E383" s="55">
        <f>IF('Manual Blocks'!$F$27="","",'Manual Blocks'!$E$27)</f>
        <v/>
      </c>
      <c r="F383" s="55">
        <f>IF('Manual Blocks'!$F$27="","",'Manual Blocks'!$F$27)</f>
        <v/>
      </c>
      <c r="G383" s="55">
        <f>IF('Manual Blocks'!$F$27="","",'Manual Blocks'!$G$27)</f>
        <v/>
      </c>
      <c r="H383" s="55">
        <f>IF('Manual Blocks'!$F$27="","",'Manual Blocks'!$H$27)</f>
        <v/>
      </c>
      <c r="I383" s="55">
        <f>IF('Manual Blocks'!$F$27="","",IF('Manual Blocks'!$I$27="","MAN-026",'Manual Blocks'!$I$27))</f>
        <v/>
      </c>
    </row>
    <row r="384">
      <c r="A384" s="55">
        <f>IF('Manual Blocks'!$F$28="","",'Manual Blocks'!$A$28)</f>
        <v/>
      </c>
      <c r="B384" s="63">
        <f>IF('Manual Blocks'!$F$28="","",'Manual Blocks'!$B$28)</f>
        <v/>
      </c>
      <c r="C384" s="63">
        <f>IF('Manual Blocks'!$F$28="","",'Manual Blocks'!$C$28)</f>
        <v/>
      </c>
      <c r="D384" s="55">
        <f>IF('Manual Blocks'!$F$28="","",'Manual Blocks'!$D$28)</f>
        <v/>
      </c>
      <c r="E384" s="55">
        <f>IF('Manual Blocks'!$F$28="","",'Manual Blocks'!$E$28)</f>
        <v/>
      </c>
      <c r="F384" s="55">
        <f>IF('Manual Blocks'!$F$28="","",'Manual Blocks'!$F$28)</f>
        <v/>
      </c>
      <c r="G384" s="55">
        <f>IF('Manual Blocks'!$F$28="","",'Manual Blocks'!$G$28)</f>
        <v/>
      </c>
      <c r="H384" s="55">
        <f>IF('Manual Blocks'!$F$28="","",'Manual Blocks'!$H$28)</f>
        <v/>
      </c>
      <c r="I384" s="55">
        <f>IF('Manual Blocks'!$F$28="","",IF('Manual Blocks'!$I$28="","MAN-027",'Manual Blocks'!$I$28))</f>
        <v/>
      </c>
    </row>
    <row r="385">
      <c r="A385" s="55">
        <f>IF('Manual Blocks'!$F$29="","",'Manual Blocks'!$A$29)</f>
        <v/>
      </c>
      <c r="B385" s="63">
        <f>IF('Manual Blocks'!$F$29="","",'Manual Blocks'!$B$29)</f>
        <v/>
      </c>
      <c r="C385" s="63">
        <f>IF('Manual Blocks'!$F$29="","",'Manual Blocks'!$C$29)</f>
        <v/>
      </c>
      <c r="D385" s="55">
        <f>IF('Manual Blocks'!$F$29="","",'Manual Blocks'!$D$29)</f>
        <v/>
      </c>
      <c r="E385" s="55">
        <f>IF('Manual Blocks'!$F$29="","",'Manual Blocks'!$E$29)</f>
        <v/>
      </c>
      <c r="F385" s="55">
        <f>IF('Manual Blocks'!$F$29="","",'Manual Blocks'!$F$29)</f>
        <v/>
      </c>
      <c r="G385" s="55">
        <f>IF('Manual Blocks'!$F$29="","",'Manual Blocks'!$G$29)</f>
        <v/>
      </c>
      <c r="H385" s="55">
        <f>IF('Manual Blocks'!$F$29="","",'Manual Blocks'!$H$29)</f>
        <v/>
      </c>
      <c r="I385" s="55">
        <f>IF('Manual Blocks'!$F$29="","",IF('Manual Blocks'!$I$29="","MAN-028",'Manual Blocks'!$I$29))</f>
        <v/>
      </c>
    </row>
    <row r="386">
      <c r="A386" s="55">
        <f>IF('Manual Blocks'!$F$30="","",'Manual Blocks'!$A$30)</f>
        <v/>
      </c>
      <c r="B386" s="63">
        <f>IF('Manual Blocks'!$F$30="","",'Manual Blocks'!$B$30)</f>
        <v/>
      </c>
      <c r="C386" s="63">
        <f>IF('Manual Blocks'!$F$30="","",'Manual Blocks'!$C$30)</f>
        <v/>
      </c>
      <c r="D386" s="55">
        <f>IF('Manual Blocks'!$F$30="","",'Manual Blocks'!$D$30)</f>
        <v/>
      </c>
      <c r="E386" s="55">
        <f>IF('Manual Blocks'!$F$30="","",'Manual Blocks'!$E$30)</f>
        <v/>
      </c>
      <c r="F386" s="55">
        <f>IF('Manual Blocks'!$F$30="","",'Manual Blocks'!$F$30)</f>
        <v/>
      </c>
      <c r="G386" s="55">
        <f>IF('Manual Blocks'!$F$30="","",'Manual Blocks'!$G$30)</f>
        <v/>
      </c>
      <c r="H386" s="55">
        <f>IF('Manual Blocks'!$F$30="","",'Manual Blocks'!$H$30)</f>
        <v/>
      </c>
      <c r="I386" s="55">
        <f>IF('Manual Blocks'!$F$30="","",IF('Manual Blocks'!$I$30="","MAN-029",'Manual Blocks'!$I$30))</f>
        <v/>
      </c>
    </row>
    <row r="387">
      <c r="A387" s="55">
        <f>IF('Manual Blocks'!$F$31="","",'Manual Blocks'!$A$31)</f>
        <v/>
      </c>
      <c r="B387" s="63">
        <f>IF('Manual Blocks'!$F$31="","",'Manual Blocks'!$B$31)</f>
        <v/>
      </c>
      <c r="C387" s="63">
        <f>IF('Manual Blocks'!$F$31="","",'Manual Blocks'!$C$31)</f>
        <v/>
      </c>
      <c r="D387" s="55">
        <f>IF('Manual Blocks'!$F$31="","",'Manual Blocks'!$D$31)</f>
        <v/>
      </c>
      <c r="E387" s="55">
        <f>IF('Manual Blocks'!$F$31="","",'Manual Blocks'!$E$31)</f>
        <v/>
      </c>
      <c r="F387" s="55">
        <f>IF('Manual Blocks'!$F$31="","",'Manual Blocks'!$F$31)</f>
        <v/>
      </c>
      <c r="G387" s="55">
        <f>IF('Manual Blocks'!$F$31="","",'Manual Blocks'!$G$31)</f>
        <v/>
      </c>
      <c r="H387" s="55">
        <f>IF('Manual Blocks'!$F$31="","",'Manual Blocks'!$H$31)</f>
        <v/>
      </c>
      <c r="I387" s="55">
        <f>IF('Manual Blocks'!$F$31="","",IF('Manual Blocks'!$I$31="","MAN-030",'Manual Blocks'!$I$31))</f>
        <v/>
      </c>
    </row>
    <row r="388">
      <c r="A388" s="55">
        <f>IF('Manual Blocks'!$F$32="","",'Manual Blocks'!$A$32)</f>
        <v/>
      </c>
      <c r="B388" s="63">
        <f>IF('Manual Blocks'!$F$32="","",'Manual Blocks'!$B$32)</f>
        <v/>
      </c>
      <c r="C388" s="63">
        <f>IF('Manual Blocks'!$F$32="","",'Manual Blocks'!$C$32)</f>
        <v/>
      </c>
      <c r="D388" s="55">
        <f>IF('Manual Blocks'!$F$32="","",'Manual Blocks'!$D$32)</f>
        <v/>
      </c>
      <c r="E388" s="55">
        <f>IF('Manual Blocks'!$F$32="","",'Manual Blocks'!$E$32)</f>
        <v/>
      </c>
      <c r="F388" s="55">
        <f>IF('Manual Blocks'!$F$32="","",'Manual Blocks'!$F$32)</f>
        <v/>
      </c>
      <c r="G388" s="55">
        <f>IF('Manual Blocks'!$F$32="","",'Manual Blocks'!$G$32)</f>
        <v/>
      </c>
      <c r="H388" s="55">
        <f>IF('Manual Blocks'!$F$32="","",'Manual Blocks'!$H$32)</f>
        <v/>
      </c>
      <c r="I388" s="55">
        <f>IF('Manual Blocks'!$F$32="","",IF('Manual Blocks'!$I$32="","MAN-031",'Manual Blocks'!$I$32))</f>
        <v/>
      </c>
    </row>
    <row r="389">
      <c r="A389" s="55">
        <f>IF('Manual Blocks'!$F$33="","",'Manual Blocks'!$A$33)</f>
        <v/>
      </c>
      <c r="B389" s="63">
        <f>IF('Manual Blocks'!$F$33="","",'Manual Blocks'!$B$33)</f>
        <v/>
      </c>
      <c r="C389" s="63">
        <f>IF('Manual Blocks'!$F$33="","",'Manual Blocks'!$C$33)</f>
        <v/>
      </c>
      <c r="D389" s="55">
        <f>IF('Manual Blocks'!$F$33="","",'Manual Blocks'!$D$33)</f>
        <v/>
      </c>
      <c r="E389" s="55">
        <f>IF('Manual Blocks'!$F$33="","",'Manual Blocks'!$E$33)</f>
        <v/>
      </c>
      <c r="F389" s="55">
        <f>IF('Manual Blocks'!$F$33="","",'Manual Blocks'!$F$33)</f>
        <v/>
      </c>
      <c r="G389" s="55">
        <f>IF('Manual Blocks'!$F$33="","",'Manual Blocks'!$G$33)</f>
        <v/>
      </c>
      <c r="H389" s="55">
        <f>IF('Manual Blocks'!$F$33="","",'Manual Blocks'!$H$33)</f>
        <v/>
      </c>
      <c r="I389" s="55">
        <f>IF('Manual Blocks'!$F$33="","",IF('Manual Blocks'!$I$33="","MAN-032",'Manual Blocks'!$I$33))</f>
        <v/>
      </c>
    </row>
    <row r="390">
      <c r="A390" s="55">
        <f>IF('Manual Blocks'!$F$34="","",'Manual Blocks'!$A$34)</f>
        <v/>
      </c>
      <c r="B390" s="63">
        <f>IF('Manual Blocks'!$F$34="","",'Manual Blocks'!$B$34)</f>
        <v/>
      </c>
      <c r="C390" s="63">
        <f>IF('Manual Blocks'!$F$34="","",'Manual Blocks'!$C$34)</f>
        <v/>
      </c>
      <c r="D390" s="55">
        <f>IF('Manual Blocks'!$F$34="","",'Manual Blocks'!$D$34)</f>
        <v/>
      </c>
      <c r="E390" s="55">
        <f>IF('Manual Blocks'!$F$34="","",'Manual Blocks'!$E$34)</f>
        <v/>
      </c>
      <c r="F390" s="55">
        <f>IF('Manual Blocks'!$F$34="","",'Manual Blocks'!$F$34)</f>
        <v/>
      </c>
      <c r="G390" s="55">
        <f>IF('Manual Blocks'!$F$34="","",'Manual Blocks'!$G$34)</f>
        <v/>
      </c>
      <c r="H390" s="55">
        <f>IF('Manual Blocks'!$F$34="","",'Manual Blocks'!$H$34)</f>
        <v/>
      </c>
      <c r="I390" s="55">
        <f>IF('Manual Blocks'!$F$34="","",IF('Manual Blocks'!$I$34="","MAN-033",'Manual Blocks'!$I$34))</f>
        <v/>
      </c>
    </row>
    <row r="391">
      <c r="A391" s="55">
        <f>IF('Manual Blocks'!$F$35="","",'Manual Blocks'!$A$35)</f>
        <v/>
      </c>
      <c r="B391" s="63">
        <f>IF('Manual Blocks'!$F$35="","",'Manual Blocks'!$B$35)</f>
        <v/>
      </c>
      <c r="C391" s="63">
        <f>IF('Manual Blocks'!$F$35="","",'Manual Blocks'!$C$35)</f>
        <v/>
      </c>
      <c r="D391" s="55">
        <f>IF('Manual Blocks'!$F$35="","",'Manual Blocks'!$D$35)</f>
        <v/>
      </c>
      <c r="E391" s="55">
        <f>IF('Manual Blocks'!$F$35="","",'Manual Blocks'!$E$35)</f>
        <v/>
      </c>
      <c r="F391" s="55">
        <f>IF('Manual Blocks'!$F$35="","",'Manual Blocks'!$F$35)</f>
        <v/>
      </c>
      <c r="G391" s="55">
        <f>IF('Manual Blocks'!$F$35="","",'Manual Blocks'!$G$35)</f>
        <v/>
      </c>
      <c r="H391" s="55">
        <f>IF('Manual Blocks'!$F$35="","",'Manual Blocks'!$H$35)</f>
        <v/>
      </c>
      <c r="I391" s="55">
        <f>IF('Manual Blocks'!$F$35="","",IF('Manual Blocks'!$I$35="","MAN-034",'Manual Blocks'!$I$35))</f>
        <v/>
      </c>
    </row>
    <row r="392">
      <c r="A392" s="55">
        <f>IF('Manual Blocks'!$F$36="","",'Manual Blocks'!$A$36)</f>
        <v/>
      </c>
      <c r="B392" s="63">
        <f>IF('Manual Blocks'!$F$36="","",'Manual Blocks'!$B$36)</f>
        <v/>
      </c>
      <c r="C392" s="63">
        <f>IF('Manual Blocks'!$F$36="","",'Manual Blocks'!$C$36)</f>
        <v/>
      </c>
      <c r="D392" s="55">
        <f>IF('Manual Blocks'!$F$36="","",'Manual Blocks'!$D$36)</f>
        <v/>
      </c>
      <c r="E392" s="55">
        <f>IF('Manual Blocks'!$F$36="","",'Manual Blocks'!$E$36)</f>
        <v/>
      </c>
      <c r="F392" s="55">
        <f>IF('Manual Blocks'!$F$36="","",'Manual Blocks'!$F$36)</f>
        <v/>
      </c>
      <c r="G392" s="55">
        <f>IF('Manual Blocks'!$F$36="","",'Manual Blocks'!$G$36)</f>
        <v/>
      </c>
      <c r="H392" s="55">
        <f>IF('Manual Blocks'!$F$36="","",'Manual Blocks'!$H$36)</f>
        <v/>
      </c>
      <c r="I392" s="55">
        <f>IF('Manual Blocks'!$F$36="","",IF('Manual Blocks'!$I$36="","MAN-035",'Manual Blocks'!$I$36))</f>
        <v/>
      </c>
    </row>
    <row r="393">
      <c r="A393" s="55">
        <f>IF('Manual Blocks'!$F$37="","",'Manual Blocks'!$A$37)</f>
        <v/>
      </c>
      <c r="B393" s="63">
        <f>IF('Manual Blocks'!$F$37="","",'Manual Blocks'!$B$37)</f>
        <v/>
      </c>
      <c r="C393" s="63">
        <f>IF('Manual Blocks'!$F$37="","",'Manual Blocks'!$C$37)</f>
        <v/>
      </c>
      <c r="D393" s="55">
        <f>IF('Manual Blocks'!$F$37="","",'Manual Blocks'!$D$37)</f>
        <v/>
      </c>
      <c r="E393" s="55">
        <f>IF('Manual Blocks'!$F$37="","",'Manual Blocks'!$E$37)</f>
        <v/>
      </c>
      <c r="F393" s="55">
        <f>IF('Manual Blocks'!$F$37="","",'Manual Blocks'!$F$37)</f>
        <v/>
      </c>
      <c r="G393" s="55">
        <f>IF('Manual Blocks'!$F$37="","",'Manual Blocks'!$G$37)</f>
        <v/>
      </c>
      <c r="H393" s="55">
        <f>IF('Manual Blocks'!$F$37="","",'Manual Blocks'!$H$37)</f>
        <v/>
      </c>
      <c r="I393" s="55">
        <f>IF('Manual Blocks'!$F$37="","",IF('Manual Blocks'!$I$37="","MAN-036",'Manual Blocks'!$I$37))</f>
        <v/>
      </c>
    </row>
    <row r="394">
      <c r="A394" s="55">
        <f>IF('Manual Blocks'!$F$38="","",'Manual Blocks'!$A$38)</f>
        <v/>
      </c>
      <c r="B394" s="63">
        <f>IF('Manual Blocks'!$F$38="","",'Manual Blocks'!$B$38)</f>
        <v/>
      </c>
      <c r="C394" s="63">
        <f>IF('Manual Blocks'!$F$38="","",'Manual Blocks'!$C$38)</f>
        <v/>
      </c>
      <c r="D394" s="55">
        <f>IF('Manual Blocks'!$F$38="","",'Manual Blocks'!$D$38)</f>
        <v/>
      </c>
      <c r="E394" s="55">
        <f>IF('Manual Blocks'!$F$38="","",'Manual Blocks'!$E$38)</f>
        <v/>
      </c>
      <c r="F394" s="55">
        <f>IF('Manual Blocks'!$F$38="","",'Manual Blocks'!$F$38)</f>
        <v/>
      </c>
      <c r="G394" s="55">
        <f>IF('Manual Blocks'!$F$38="","",'Manual Blocks'!$G$38)</f>
        <v/>
      </c>
      <c r="H394" s="55">
        <f>IF('Manual Blocks'!$F$38="","",'Manual Blocks'!$H$38)</f>
        <v/>
      </c>
      <c r="I394" s="55">
        <f>IF('Manual Blocks'!$F$38="","",IF('Manual Blocks'!$I$38="","MAN-037",'Manual Blocks'!$I$38))</f>
        <v/>
      </c>
    </row>
    <row r="395">
      <c r="A395" s="55">
        <f>IF('Manual Blocks'!$F$39="","",'Manual Blocks'!$A$39)</f>
        <v/>
      </c>
      <c r="B395" s="63">
        <f>IF('Manual Blocks'!$F$39="","",'Manual Blocks'!$B$39)</f>
        <v/>
      </c>
      <c r="C395" s="63">
        <f>IF('Manual Blocks'!$F$39="","",'Manual Blocks'!$C$39)</f>
        <v/>
      </c>
      <c r="D395" s="55">
        <f>IF('Manual Blocks'!$F$39="","",'Manual Blocks'!$D$39)</f>
        <v/>
      </c>
      <c r="E395" s="55">
        <f>IF('Manual Blocks'!$F$39="","",'Manual Blocks'!$E$39)</f>
        <v/>
      </c>
      <c r="F395" s="55">
        <f>IF('Manual Blocks'!$F$39="","",'Manual Blocks'!$F$39)</f>
        <v/>
      </c>
      <c r="G395" s="55">
        <f>IF('Manual Blocks'!$F$39="","",'Manual Blocks'!$G$39)</f>
        <v/>
      </c>
      <c r="H395" s="55">
        <f>IF('Manual Blocks'!$F$39="","",'Manual Blocks'!$H$39)</f>
        <v/>
      </c>
      <c r="I395" s="55">
        <f>IF('Manual Blocks'!$F$39="","",IF('Manual Blocks'!$I$39="","MAN-038",'Manual Blocks'!$I$39))</f>
        <v/>
      </c>
    </row>
    <row r="396">
      <c r="A396" s="55">
        <f>IF('Manual Blocks'!$F$40="","",'Manual Blocks'!$A$40)</f>
        <v/>
      </c>
      <c r="B396" s="63">
        <f>IF('Manual Blocks'!$F$40="","",'Manual Blocks'!$B$40)</f>
        <v/>
      </c>
      <c r="C396" s="63">
        <f>IF('Manual Blocks'!$F$40="","",'Manual Blocks'!$C$40)</f>
        <v/>
      </c>
      <c r="D396" s="55">
        <f>IF('Manual Blocks'!$F$40="","",'Manual Blocks'!$D$40)</f>
        <v/>
      </c>
      <c r="E396" s="55">
        <f>IF('Manual Blocks'!$F$40="","",'Manual Blocks'!$E$40)</f>
        <v/>
      </c>
      <c r="F396" s="55">
        <f>IF('Manual Blocks'!$F$40="","",'Manual Blocks'!$F$40)</f>
        <v/>
      </c>
      <c r="G396" s="55">
        <f>IF('Manual Blocks'!$F$40="","",'Manual Blocks'!$G$40)</f>
        <v/>
      </c>
      <c r="H396" s="55">
        <f>IF('Manual Blocks'!$F$40="","",'Manual Blocks'!$H$40)</f>
        <v/>
      </c>
      <c r="I396" s="55">
        <f>IF('Manual Blocks'!$F$40="","",IF('Manual Blocks'!$I$40="","MAN-039",'Manual Blocks'!$I$40))</f>
        <v/>
      </c>
    </row>
    <row r="397">
      <c r="A397" s="55">
        <f>IF('Manual Blocks'!$F$41="","",'Manual Blocks'!$A$41)</f>
        <v/>
      </c>
      <c r="B397" s="63">
        <f>IF('Manual Blocks'!$F$41="","",'Manual Blocks'!$B$41)</f>
        <v/>
      </c>
      <c r="C397" s="63">
        <f>IF('Manual Blocks'!$F$41="","",'Manual Blocks'!$C$41)</f>
        <v/>
      </c>
      <c r="D397" s="55">
        <f>IF('Manual Blocks'!$F$41="","",'Manual Blocks'!$D$41)</f>
        <v/>
      </c>
      <c r="E397" s="55">
        <f>IF('Manual Blocks'!$F$41="","",'Manual Blocks'!$E$41)</f>
        <v/>
      </c>
      <c r="F397" s="55">
        <f>IF('Manual Blocks'!$F$41="","",'Manual Blocks'!$F$41)</f>
        <v/>
      </c>
      <c r="G397" s="55">
        <f>IF('Manual Blocks'!$F$41="","",'Manual Blocks'!$G$41)</f>
        <v/>
      </c>
      <c r="H397" s="55">
        <f>IF('Manual Blocks'!$F$41="","",'Manual Blocks'!$H$41)</f>
        <v/>
      </c>
      <c r="I397" s="55">
        <f>IF('Manual Blocks'!$F$41="","",IF('Manual Blocks'!$I$41="","MAN-040",'Manual Blocks'!$I$41))</f>
        <v/>
      </c>
    </row>
    <row r="398">
      <c r="A398" s="55">
        <f>IF('Manual Blocks'!$F$42="","",'Manual Blocks'!$A$42)</f>
        <v/>
      </c>
      <c r="B398" s="63">
        <f>IF('Manual Blocks'!$F$42="","",'Manual Blocks'!$B$42)</f>
        <v/>
      </c>
      <c r="C398" s="63">
        <f>IF('Manual Blocks'!$F$42="","",'Manual Blocks'!$C$42)</f>
        <v/>
      </c>
      <c r="D398" s="55">
        <f>IF('Manual Blocks'!$F$42="","",'Manual Blocks'!$D$42)</f>
        <v/>
      </c>
      <c r="E398" s="55">
        <f>IF('Manual Blocks'!$F$42="","",'Manual Blocks'!$E$42)</f>
        <v/>
      </c>
      <c r="F398" s="55">
        <f>IF('Manual Blocks'!$F$42="","",'Manual Blocks'!$F$42)</f>
        <v/>
      </c>
      <c r="G398" s="55">
        <f>IF('Manual Blocks'!$F$42="","",'Manual Blocks'!$G$42)</f>
        <v/>
      </c>
      <c r="H398" s="55">
        <f>IF('Manual Blocks'!$F$42="","",'Manual Blocks'!$H$42)</f>
        <v/>
      </c>
      <c r="I398" s="55">
        <f>IF('Manual Blocks'!$F$42="","",IF('Manual Blocks'!$I$42="","MAN-041",'Manual Blocks'!$I$42))</f>
        <v/>
      </c>
    </row>
    <row r="399">
      <c r="A399" s="55">
        <f>IF('Manual Blocks'!$F$43="","",'Manual Blocks'!$A$43)</f>
        <v/>
      </c>
      <c r="B399" s="63">
        <f>IF('Manual Blocks'!$F$43="","",'Manual Blocks'!$B$43)</f>
        <v/>
      </c>
      <c r="C399" s="63">
        <f>IF('Manual Blocks'!$F$43="","",'Manual Blocks'!$C$43)</f>
        <v/>
      </c>
      <c r="D399" s="55">
        <f>IF('Manual Blocks'!$F$43="","",'Manual Blocks'!$D$43)</f>
        <v/>
      </c>
      <c r="E399" s="55">
        <f>IF('Manual Blocks'!$F$43="","",'Manual Blocks'!$E$43)</f>
        <v/>
      </c>
      <c r="F399" s="55">
        <f>IF('Manual Blocks'!$F$43="","",'Manual Blocks'!$F$43)</f>
        <v/>
      </c>
      <c r="G399" s="55">
        <f>IF('Manual Blocks'!$F$43="","",'Manual Blocks'!$G$43)</f>
        <v/>
      </c>
      <c r="H399" s="55">
        <f>IF('Manual Blocks'!$F$43="","",'Manual Blocks'!$H$43)</f>
        <v/>
      </c>
      <c r="I399" s="55">
        <f>IF('Manual Blocks'!$F$43="","",IF('Manual Blocks'!$I$43="","MAN-042",'Manual Blocks'!$I$43))</f>
        <v/>
      </c>
    </row>
    <row r="400">
      <c r="A400" s="55">
        <f>IF('Manual Blocks'!$F$44="","",'Manual Blocks'!$A$44)</f>
        <v/>
      </c>
      <c r="B400" s="63">
        <f>IF('Manual Blocks'!$F$44="","",'Manual Blocks'!$B$44)</f>
        <v/>
      </c>
      <c r="C400" s="63">
        <f>IF('Manual Blocks'!$F$44="","",'Manual Blocks'!$C$44)</f>
        <v/>
      </c>
      <c r="D400" s="55">
        <f>IF('Manual Blocks'!$F$44="","",'Manual Blocks'!$D$44)</f>
        <v/>
      </c>
      <c r="E400" s="55">
        <f>IF('Manual Blocks'!$F$44="","",'Manual Blocks'!$E$44)</f>
        <v/>
      </c>
      <c r="F400" s="55">
        <f>IF('Manual Blocks'!$F$44="","",'Manual Blocks'!$F$44)</f>
        <v/>
      </c>
      <c r="G400" s="55">
        <f>IF('Manual Blocks'!$F$44="","",'Manual Blocks'!$G$44)</f>
        <v/>
      </c>
      <c r="H400" s="55">
        <f>IF('Manual Blocks'!$F$44="","",'Manual Blocks'!$H$44)</f>
        <v/>
      </c>
      <c r="I400" s="55">
        <f>IF('Manual Blocks'!$F$44="","",IF('Manual Blocks'!$I$44="","MAN-043",'Manual Blocks'!$I$44))</f>
        <v/>
      </c>
    </row>
    <row r="401">
      <c r="A401" s="55">
        <f>IF('Manual Blocks'!$F$45="","",'Manual Blocks'!$A$45)</f>
        <v/>
      </c>
      <c r="B401" s="63">
        <f>IF('Manual Blocks'!$F$45="","",'Manual Blocks'!$B$45)</f>
        <v/>
      </c>
      <c r="C401" s="63">
        <f>IF('Manual Blocks'!$F$45="","",'Manual Blocks'!$C$45)</f>
        <v/>
      </c>
      <c r="D401" s="55">
        <f>IF('Manual Blocks'!$F$45="","",'Manual Blocks'!$D$45)</f>
        <v/>
      </c>
      <c r="E401" s="55">
        <f>IF('Manual Blocks'!$F$45="","",'Manual Blocks'!$E$45)</f>
        <v/>
      </c>
      <c r="F401" s="55">
        <f>IF('Manual Blocks'!$F$45="","",'Manual Blocks'!$F$45)</f>
        <v/>
      </c>
      <c r="G401" s="55">
        <f>IF('Manual Blocks'!$F$45="","",'Manual Blocks'!$G$45)</f>
        <v/>
      </c>
      <c r="H401" s="55">
        <f>IF('Manual Blocks'!$F$45="","",'Manual Blocks'!$H$45)</f>
        <v/>
      </c>
      <c r="I401" s="55">
        <f>IF('Manual Blocks'!$F$45="","",IF('Manual Blocks'!$I$45="","MAN-044",'Manual Blocks'!$I$45))</f>
        <v/>
      </c>
    </row>
    <row r="402">
      <c r="A402" s="55">
        <f>IF('Manual Blocks'!$F$46="","",'Manual Blocks'!$A$46)</f>
        <v/>
      </c>
      <c r="B402" s="63">
        <f>IF('Manual Blocks'!$F$46="","",'Manual Blocks'!$B$46)</f>
        <v/>
      </c>
      <c r="C402" s="63">
        <f>IF('Manual Blocks'!$F$46="","",'Manual Blocks'!$C$46)</f>
        <v/>
      </c>
      <c r="D402" s="55">
        <f>IF('Manual Blocks'!$F$46="","",'Manual Blocks'!$D$46)</f>
        <v/>
      </c>
      <c r="E402" s="55">
        <f>IF('Manual Blocks'!$F$46="","",'Manual Blocks'!$E$46)</f>
        <v/>
      </c>
      <c r="F402" s="55">
        <f>IF('Manual Blocks'!$F$46="","",'Manual Blocks'!$F$46)</f>
        <v/>
      </c>
      <c r="G402" s="55">
        <f>IF('Manual Blocks'!$F$46="","",'Manual Blocks'!$G$46)</f>
        <v/>
      </c>
      <c r="H402" s="55">
        <f>IF('Manual Blocks'!$F$46="","",'Manual Blocks'!$H$46)</f>
        <v/>
      </c>
      <c r="I402" s="55">
        <f>IF('Manual Blocks'!$F$46="","",IF('Manual Blocks'!$I$46="","MAN-045",'Manual Blocks'!$I$46))</f>
        <v/>
      </c>
    </row>
    <row r="403">
      <c r="A403" s="55">
        <f>IF('Manual Blocks'!$F$47="","",'Manual Blocks'!$A$47)</f>
        <v/>
      </c>
      <c r="B403" s="63">
        <f>IF('Manual Blocks'!$F$47="","",'Manual Blocks'!$B$47)</f>
        <v/>
      </c>
      <c r="C403" s="63">
        <f>IF('Manual Blocks'!$F$47="","",'Manual Blocks'!$C$47)</f>
        <v/>
      </c>
      <c r="D403" s="55">
        <f>IF('Manual Blocks'!$F$47="","",'Manual Blocks'!$D$47)</f>
        <v/>
      </c>
      <c r="E403" s="55">
        <f>IF('Manual Blocks'!$F$47="","",'Manual Blocks'!$E$47)</f>
        <v/>
      </c>
      <c r="F403" s="55">
        <f>IF('Manual Blocks'!$F$47="","",'Manual Blocks'!$F$47)</f>
        <v/>
      </c>
      <c r="G403" s="55">
        <f>IF('Manual Blocks'!$F$47="","",'Manual Blocks'!$G$47)</f>
        <v/>
      </c>
      <c r="H403" s="55">
        <f>IF('Manual Blocks'!$F$47="","",'Manual Blocks'!$H$47)</f>
        <v/>
      </c>
      <c r="I403" s="55">
        <f>IF('Manual Blocks'!$F$47="","",IF('Manual Blocks'!$I$47="","MAN-046",'Manual Blocks'!$I$47))</f>
        <v/>
      </c>
    </row>
    <row r="404">
      <c r="A404" s="55">
        <f>IF('Manual Blocks'!$F$48="","",'Manual Blocks'!$A$48)</f>
        <v/>
      </c>
      <c r="B404" s="63">
        <f>IF('Manual Blocks'!$F$48="","",'Manual Blocks'!$B$48)</f>
        <v/>
      </c>
      <c r="C404" s="63">
        <f>IF('Manual Blocks'!$F$48="","",'Manual Blocks'!$C$48)</f>
        <v/>
      </c>
      <c r="D404" s="55">
        <f>IF('Manual Blocks'!$F$48="","",'Manual Blocks'!$D$48)</f>
        <v/>
      </c>
      <c r="E404" s="55">
        <f>IF('Manual Blocks'!$F$48="","",'Manual Blocks'!$E$48)</f>
        <v/>
      </c>
      <c r="F404" s="55">
        <f>IF('Manual Blocks'!$F$48="","",'Manual Blocks'!$F$48)</f>
        <v/>
      </c>
      <c r="G404" s="55">
        <f>IF('Manual Blocks'!$F$48="","",'Manual Blocks'!$G$48)</f>
        <v/>
      </c>
      <c r="H404" s="55">
        <f>IF('Manual Blocks'!$F$48="","",'Manual Blocks'!$H$48)</f>
        <v/>
      </c>
      <c r="I404" s="55">
        <f>IF('Manual Blocks'!$F$48="","",IF('Manual Blocks'!$I$48="","MAN-047",'Manual Blocks'!$I$48))</f>
        <v/>
      </c>
    </row>
    <row r="405">
      <c r="A405" s="55">
        <f>IF('Manual Blocks'!$F$49="","",'Manual Blocks'!$A$49)</f>
        <v/>
      </c>
      <c r="B405" s="63">
        <f>IF('Manual Blocks'!$F$49="","",'Manual Blocks'!$B$49)</f>
        <v/>
      </c>
      <c r="C405" s="63">
        <f>IF('Manual Blocks'!$F$49="","",'Manual Blocks'!$C$49)</f>
        <v/>
      </c>
      <c r="D405" s="55">
        <f>IF('Manual Blocks'!$F$49="","",'Manual Blocks'!$D$49)</f>
        <v/>
      </c>
      <c r="E405" s="55">
        <f>IF('Manual Blocks'!$F$49="","",'Manual Blocks'!$E$49)</f>
        <v/>
      </c>
      <c r="F405" s="55">
        <f>IF('Manual Blocks'!$F$49="","",'Manual Blocks'!$F$49)</f>
        <v/>
      </c>
      <c r="G405" s="55">
        <f>IF('Manual Blocks'!$F$49="","",'Manual Blocks'!$G$49)</f>
        <v/>
      </c>
      <c r="H405" s="55">
        <f>IF('Manual Blocks'!$F$49="","",'Manual Blocks'!$H$49)</f>
        <v/>
      </c>
      <c r="I405" s="55">
        <f>IF('Manual Blocks'!$F$49="","",IF('Manual Blocks'!$I$49="","MAN-048",'Manual Blocks'!$I$49))</f>
        <v/>
      </c>
    </row>
    <row r="406">
      <c r="A406" s="55">
        <f>IF('Manual Blocks'!$F$50="","",'Manual Blocks'!$A$50)</f>
        <v/>
      </c>
      <c r="B406" s="63">
        <f>IF('Manual Blocks'!$F$50="","",'Manual Blocks'!$B$50)</f>
        <v/>
      </c>
      <c r="C406" s="63">
        <f>IF('Manual Blocks'!$F$50="","",'Manual Blocks'!$C$50)</f>
        <v/>
      </c>
      <c r="D406" s="55">
        <f>IF('Manual Blocks'!$F$50="","",'Manual Blocks'!$D$50)</f>
        <v/>
      </c>
      <c r="E406" s="55">
        <f>IF('Manual Blocks'!$F$50="","",'Manual Blocks'!$E$50)</f>
        <v/>
      </c>
      <c r="F406" s="55">
        <f>IF('Manual Blocks'!$F$50="","",'Manual Blocks'!$F$50)</f>
        <v/>
      </c>
      <c r="G406" s="55">
        <f>IF('Manual Blocks'!$F$50="","",'Manual Blocks'!$G$50)</f>
        <v/>
      </c>
      <c r="H406" s="55">
        <f>IF('Manual Blocks'!$F$50="","",'Manual Blocks'!$H$50)</f>
        <v/>
      </c>
      <c r="I406" s="55">
        <f>IF('Manual Blocks'!$F$50="","",IF('Manual Blocks'!$I$50="","MAN-049",'Manual Blocks'!$I$50))</f>
        <v/>
      </c>
    </row>
    <row r="407">
      <c r="A407" s="55">
        <f>IF('Manual Blocks'!$F$51="","",'Manual Blocks'!$A$51)</f>
        <v/>
      </c>
      <c r="B407" s="63">
        <f>IF('Manual Blocks'!$F$51="","",'Manual Blocks'!$B$51)</f>
        <v/>
      </c>
      <c r="C407" s="63">
        <f>IF('Manual Blocks'!$F$51="","",'Manual Blocks'!$C$51)</f>
        <v/>
      </c>
      <c r="D407" s="55">
        <f>IF('Manual Blocks'!$F$51="","",'Manual Blocks'!$D$51)</f>
        <v/>
      </c>
      <c r="E407" s="55">
        <f>IF('Manual Blocks'!$F$51="","",'Manual Blocks'!$E$51)</f>
        <v/>
      </c>
      <c r="F407" s="55">
        <f>IF('Manual Blocks'!$F$51="","",'Manual Blocks'!$F$51)</f>
        <v/>
      </c>
      <c r="G407" s="55">
        <f>IF('Manual Blocks'!$F$51="","",'Manual Blocks'!$G$51)</f>
        <v/>
      </c>
      <c r="H407" s="55">
        <f>IF('Manual Blocks'!$F$51="","",'Manual Blocks'!$H$51)</f>
        <v/>
      </c>
      <c r="I407" s="55">
        <f>IF('Manual Blocks'!$F$51="","",IF('Manual Blocks'!$I$51="","MAN-050",'Manual Blocks'!$I$51))</f>
        <v/>
      </c>
    </row>
    <row r="408">
      <c r="A408" s="55">
        <f>IF('Manual Blocks'!$F$52="","",'Manual Blocks'!$A$52)</f>
        <v/>
      </c>
      <c r="B408" s="63">
        <f>IF('Manual Blocks'!$F$52="","",'Manual Blocks'!$B$52)</f>
        <v/>
      </c>
      <c r="C408" s="63">
        <f>IF('Manual Blocks'!$F$52="","",'Manual Blocks'!$C$52)</f>
        <v/>
      </c>
      <c r="D408" s="55">
        <f>IF('Manual Blocks'!$F$52="","",'Manual Blocks'!$D$52)</f>
        <v/>
      </c>
      <c r="E408" s="55">
        <f>IF('Manual Blocks'!$F$52="","",'Manual Blocks'!$E$52)</f>
        <v/>
      </c>
      <c r="F408" s="55">
        <f>IF('Manual Blocks'!$F$52="","",'Manual Blocks'!$F$52)</f>
        <v/>
      </c>
      <c r="G408" s="55">
        <f>IF('Manual Blocks'!$F$52="","",'Manual Blocks'!$G$52)</f>
        <v/>
      </c>
      <c r="H408" s="55">
        <f>IF('Manual Blocks'!$F$52="","",'Manual Blocks'!$H$52)</f>
        <v/>
      </c>
      <c r="I408" s="55">
        <f>IF('Manual Blocks'!$F$52="","",IF('Manual Blocks'!$I$52="","MAN-051",'Manual Blocks'!$I$52))</f>
        <v/>
      </c>
    </row>
    <row r="409">
      <c r="A409" s="55">
        <f>IF('Manual Blocks'!$F$53="","",'Manual Blocks'!$A$53)</f>
        <v/>
      </c>
      <c r="B409" s="63">
        <f>IF('Manual Blocks'!$F$53="","",'Manual Blocks'!$B$53)</f>
        <v/>
      </c>
      <c r="C409" s="63">
        <f>IF('Manual Blocks'!$F$53="","",'Manual Blocks'!$C$53)</f>
        <v/>
      </c>
      <c r="D409" s="55">
        <f>IF('Manual Blocks'!$F$53="","",'Manual Blocks'!$D$53)</f>
        <v/>
      </c>
      <c r="E409" s="55">
        <f>IF('Manual Blocks'!$F$53="","",'Manual Blocks'!$E$53)</f>
        <v/>
      </c>
      <c r="F409" s="55">
        <f>IF('Manual Blocks'!$F$53="","",'Manual Blocks'!$F$53)</f>
        <v/>
      </c>
      <c r="G409" s="55">
        <f>IF('Manual Blocks'!$F$53="","",'Manual Blocks'!$G$53)</f>
        <v/>
      </c>
      <c r="H409" s="55">
        <f>IF('Manual Blocks'!$F$53="","",'Manual Blocks'!$H$53)</f>
        <v/>
      </c>
      <c r="I409" s="55">
        <f>IF('Manual Blocks'!$F$53="","",IF('Manual Blocks'!$I$53="","MAN-052",'Manual Blocks'!$I$53))</f>
        <v/>
      </c>
    </row>
    <row r="410">
      <c r="A410" s="55">
        <f>IF('Manual Blocks'!$F$54="","",'Manual Blocks'!$A$54)</f>
        <v/>
      </c>
      <c r="B410" s="63">
        <f>IF('Manual Blocks'!$F$54="","",'Manual Blocks'!$B$54)</f>
        <v/>
      </c>
      <c r="C410" s="63">
        <f>IF('Manual Blocks'!$F$54="","",'Manual Blocks'!$C$54)</f>
        <v/>
      </c>
      <c r="D410" s="55">
        <f>IF('Manual Blocks'!$F$54="","",'Manual Blocks'!$D$54)</f>
        <v/>
      </c>
      <c r="E410" s="55">
        <f>IF('Manual Blocks'!$F$54="","",'Manual Blocks'!$E$54)</f>
        <v/>
      </c>
      <c r="F410" s="55">
        <f>IF('Manual Blocks'!$F$54="","",'Manual Blocks'!$F$54)</f>
        <v/>
      </c>
      <c r="G410" s="55">
        <f>IF('Manual Blocks'!$F$54="","",'Manual Blocks'!$G$54)</f>
        <v/>
      </c>
      <c r="H410" s="55">
        <f>IF('Manual Blocks'!$F$54="","",'Manual Blocks'!$H$54)</f>
        <v/>
      </c>
      <c r="I410" s="55">
        <f>IF('Manual Blocks'!$F$54="","",IF('Manual Blocks'!$I$54="","MAN-053",'Manual Blocks'!$I$54))</f>
        <v/>
      </c>
    </row>
    <row r="411">
      <c r="A411" s="55">
        <f>IF('Manual Blocks'!$F$55="","",'Manual Blocks'!$A$55)</f>
        <v/>
      </c>
      <c r="B411" s="63">
        <f>IF('Manual Blocks'!$F$55="","",'Manual Blocks'!$B$55)</f>
        <v/>
      </c>
      <c r="C411" s="63">
        <f>IF('Manual Blocks'!$F$55="","",'Manual Blocks'!$C$55)</f>
        <v/>
      </c>
      <c r="D411" s="55">
        <f>IF('Manual Blocks'!$F$55="","",'Manual Blocks'!$D$55)</f>
        <v/>
      </c>
      <c r="E411" s="55">
        <f>IF('Manual Blocks'!$F$55="","",'Manual Blocks'!$E$55)</f>
        <v/>
      </c>
      <c r="F411" s="55">
        <f>IF('Manual Blocks'!$F$55="","",'Manual Blocks'!$F$55)</f>
        <v/>
      </c>
      <c r="G411" s="55">
        <f>IF('Manual Blocks'!$F$55="","",'Manual Blocks'!$G$55)</f>
        <v/>
      </c>
      <c r="H411" s="55">
        <f>IF('Manual Blocks'!$F$55="","",'Manual Blocks'!$H$55)</f>
        <v/>
      </c>
      <c r="I411" s="55">
        <f>IF('Manual Blocks'!$F$55="","",IF('Manual Blocks'!$I$55="","MAN-054",'Manual Blocks'!$I$55))</f>
        <v/>
      </c>
    </row>
    <row r="412">
      <c r="A412" s="55">
        <f>IF('Manual Blocks'!$F$56="","",'Manual Blocks'!$A$56)</f>
        <v/>
      </c>
      <c r="B412" s="63">
        <f>IF('Manual Blocks'!$F$56="","",'Manual Blocks'!$B$56)</f>
        <v/>
      </c>
      <c r="C412" s="63">
        <f>IF('Manual Blocks'!$F$56="","",'Manual Blocks'!$C$56)</f>
        <v/>
      </c>
      <c r="D412" s="55">
        <f>IF('Manual Blocks'!$F$56="","",'Manual Blocks'!$D$56)</f>
        <v/>
      </c>
      <c r="E412" s="55">
        <f>IF('Manual Blocks'!$F$56="","",'Manual Blocks'!$E$56)</f>
        <v/>
      </c>
      <c r="F412" s="55">
        <f>IF('Manual Blocks'!$F$56="","",'Manual Blocks'!$F$56)</f>
        <v/>
      </c>
      <c r="G412" s="55">
        <f>IF('Manual Blocks'!$F$56="","",'Manual Blocks'!$G$56)</f>
        <v/>
      </c>
      <c r="H412" s="55">
        <f>IF('Manual Blocks'!$F$56="","",'Manual Blocks'!$H$56)</f>
        <v/>
      </c>
      <c r="I412" s="55">
        <f>IF('Manual Blocks'!$F$56="","",IF('Manual Blocks'!$I$56="","MAN-055",'Manual Blocks'!$I$56))</f>
        <v/>
      </c>
    </row>
    <row r="413">
      <c r="A413" s="55">
        <f>IF('Manual Blocks'!$F$57="","",'Manual Blocks'!$A$57)</f>
        <v/>
      </c>
      <c r="B413" s="63">
        <f>IF('Manual Blocks'!$F$57="","",'Manual Blocks'!$B$57)</f>
        <v/>
      </c>
      <c r="C413" s="63">
        <f>IF('Manual Blocks'!$F$57="","",'Manual Blocks'!$C$57)</f>
        <v/>
      </c>
      <c r="D413" s="55">
        <f>IF('Manual Blocks'!$F$57="","",'Manual Blocks'!$D$57)</f>
        <v/>
      </c>
      <c r="E413" s="55">
        <f>IF('Manual Blocks'!$F$57="","",'Manual Blocks'!$E$57)</f>
        <v/>
      </c>
      <c r="F413" s="55">
        <f>IF('Manual Blocks'!$F$57="","",'Manual Blocks'!$F$57)</f>
        <v/>
      </c>
      <c r="G413" s="55">
        <f>IF('Manual Blocks'!$F$57="","",'Manual Blocks'!$G$57)</f>
        <v/>
      </c>
      <c r="H413" s="55">
        <f>IF('Manual Blocks'!$F$57="","",'Manual Blocks'!$H$57)</f>
        <v/>
      </c>
      <c r="I413" s="55">
        <f>IF('Manual Blocks'!$F$57="","",IF('Manual Blocks'!$I$57="","MAN-056",'Manual Blocks'!$I$57))</f>
        <v/>
      </c>
    </row>
    <row r="414">
      <c r="A414" s="55">
        <f>IF('Manual Blocks'!$F$58="","",'Manual Blocks'!$A$58)</f>
        <v/>
      </c>
      <c r="B414" s="63">
        <f>IF('Manual Blocks'!$F$58="","",'Manual Blocks'!$B$58)</f>
        <v/>
      </c>
      <c r="C414" s="63">
        <f>IF('Manual Blocks'!$F$58="","",'Manual Blocks'!$C$58)</f>
        <v/>
      </c>
      <c r="D414" s="55">
        <f>IF('Manual Blocks'!$F$58="","",'Manual Blocks'!$D$58)</f>
        <v/>
      </c>
      <c r="E414" s="55">
        <f>IF('Manual Blocks'!$F$58="","",'Manual Blocks'!$E$58)</f>
        <v/>
      </c>
      <c r="F414" s="55">
        <f>IF('Manual Blocks'!$F$58="","",'Manual Blocks'!$F$58)</f>
        <v/>
      </c>
      <c r="G414" s="55">
        <f>IF('Manual Blocks'!$F$58="","",'Manual Blocks'!$G$58)</f>
        <v/>
      </c>
      <c r="H414" s="55">
        <f>IF('Manual Blocks'!$F$58="","",'Manual Blocks'!$H$58)</f>
        <v/>
      </c>
      <c r="I414" s="55">
        <f>IF('Manual Blocks'!$F$58="","",IF('Manual Blocks'!$I$58="","MAN-057",'Manual Blocks'!$I$58))</f>
        <v/>
      </c>
    </row>
    <row r="415">
      <c r="A415" s="55">
        <f>IF('Manual Blocks'!$F$59="","",'Manual Blocks'!$A$59)</f>
        <v/>
      </c>
      <c r="B415" s="63">
        <f>IF('Manual Blocks'!$F$59="","",'Manual Blocks'!$B$59)</f>
        <v/>
      </c>
      <c r="C415" s="63">
        <f>IF('Manual Blocks'!$F$59="","",'Manual Blocks'!$C$59)</f>
        <v/>
      </c>
      <c r="D415" s="55">
        <f>IF('Manual Blocks'!$F$59="","",'Manual Blocks'!$D$59)</f>
        <v/>
      </c>
      <c r="E415" s="55">
        <f>IF('Manual Blocks'!$F$59="","",'Manual Blocks'!$E$59)</f>
        <v/>
      </c>
      <c r="F415" s="55">
        <f>IF('Manual Blocks'!$F$59="","",'Manual Blocks'!$F$59)</f>
        <v/>
      </c>
      <c r="G415" s="55">
        <f>IF('Manual Blocks'!$F$59="","",'Manual Blocks'!$G$59)</f>
        <v/>
      </c>
      <c r="H415" s="55">
        <f>IF('Manual Blocks'!$F$59="","",'Manual Blocks'!$H$59)</f>
        <v/>
      </c>
      <c r="I415" s="55">
        <f>IF('Manual Blocks'!$F$59="","",IF('Manual Blocks'!$I$59="","MAN-058",'Manual Blocks'!$I$59))</f>
        <v/>
      </c>
    </row>
    <row r="416">
      <c r="A416" s="55">
        <f>IF('Manual Blocks'!$F$60="","",'Manual Blocks'!$A$60)</f>
        <v/>
      </c>
      <c r="B416" s="63">
        <f>IF('Manual Blocks'!$F$60="","",'Manual Blocks'!$B$60)</f>
        <v/>
      </c>
      <c r="C416" s="63">
        <f>IF('Manual Blocks'!$F$60="","",'Manual Blocks'!$C$60)</f>
        <v/>
      </c>
      <c r="D416" s="55">
        <f>IF('Manual Blocks'!$F$60="","",'Manual Blocks'!$D$60)</f>
        <v/>
      </c>
      <c r="E416" s="55">
        <f>IF('Manual Blocks'!$F$60="","",'Manual Blocks'!$E$60)</f>
        <v/>
      </c>
      <c r="F416" s="55">
        <f>IF('Manual Blocks'!$F$60="","",'Manual Blocks'!$F$60)</f>
        <v/>
      </c>
      <c r="G416" s="55">
        <f>IF('Manual Blocks'!$F$60="","",'Manual Blocks'!$G$60)</f>
        <v/>
      </c>
      <c r="H416" s="55">
        <f>IF('Manual Blocks'!$F$60="","",'Manual Blocks'!$H$60)</f>
        <v/>
      </c>
      <c r="I416" s="55">
        <f>IF('Manual Blocks'!$F$60="","",IF('Manual Blocks'!$I$60="","MAN-059",'Manual Blocks'!$I$60))</f>
        <v/>
      </c>
    </row>
    <row r="417">
      <c r="A417" s="55">
        <f>IF('Manual Blocks'!$F$61="","",'Manual Blocks'!$A$61)</f>
        <v/>
      </c>
      <c r="B417" s="63">
        <f>IF('Manual Blocks'!$F$61="","",'Manual Blocks'!$B$61)</f>
        <v/>
      </c>
      <c r="C417" s="63">
        <f>IF('Manual Blocks'!$F$61="","",'Manual Blocks'!$C$61)</f>
        <v/>
      </c>
      <c r="D417" s="55">
        <f>IF('Manual Blocks'!$F$61="","",'Manual Blocks'!$D$61)</f>
        <v/>
      </c>
      <c r="E417" s="55">
        <f>IF('Manual Blocks'!$F$61="","",'Manual Blocks'!$E$61)</f>
        <v/>
      </c>
      <c r="F417" s="55">
        <f>IF('Manual Blocks'!$F$61="","",'Manual Blocks'!$F$61)</f>
        <v/>
      </c>
      <c r="G417" s="55">
        <f>IF('Manual Blocks'!$F$61="","",'Manual Blocks'!$G$61)</f>
        <v/>
      </c>
      <c r="H417" s="55">
        <f>IF('Manual Blocks'!$F$61="","",'Manual Blocks'!$H$61)</f>
        <v/>
      </c>
      <c r="I417" s="55">
        <f>IF('Manual Blocks'!$F$61="","",IF('Manual Blocks'!$I$61="","MAN-060",'Manual Blocks'!$I$61))</f>
        <v/>
      </c>
    </row>
    <row r="418">
      <c r="A418" s="55">
        <f>IF('Manual Blocks'!$F$62="","",'Manual Blocks'!$A$62)</f>
        <v/>
      </c>
      <c r="B418" s="63">
        <f>IF('Manual Blocks'!$F$62="","",'Manual Blocks'!$B$62)</f>
        <v/>
      </c>
      <c r="C418" s="63">
        <f>IF('Manual Blocks'!$F$62="","",'Manual Blocks'!$C$62)</f>
        <v/>
      </c>
      <c r="D418" s="55">
        <f>IF('Manual Blocks'!$F$62="","",'Manual Blocks'!$D$62)</f>
        <v/>
      </c>
      <c r="E418" s="55">
        <f>IF('Manual Blocks'!$F$62="","",'Manual Blocks'!$E$62)</f>
        <v/>
      </c>
      <c r="F418" s="55">
        <f>IF('Manual Blocks'!$F$62="","",'Manual Blocks'!$F$62)</f>
        <v/>
      </c>
      <c r="G418" s="55">
        <f>IF('Manual Blocks'!$F$62="","",'Manual Blocks'!$G$62)</f>
        <v/>
      </c>
      <c r="H418" s="55">
        <f>IF('Manual Blocks'!$F$62="","",'Manual Blocks'!$H$62)</f>
        <v/>
      </c>
      <c r="I418" s="55">
        <f>IF('Manual Blocks'!$F$62="","",IF('Manual Blocks'!$I$62="","MAN-061",'Manual Blocks'!$I$62))</f>
        <v/>
      </c>
    </row>
    <row r="419">
      <c r="A419" s="55">
        <f>IF('Manual Blocks'!$F$63="","",'Manual Blocks'!$A$63)</f>
        <v/>
      </c>
      <c r="B419" s="63">
        <f>IF('Manual Blocks'!$F$63="","",'Manual Blocks'!$B$63)</f>
        <v/>
      </c>
      <c r="C419" s="63">
        <f>IF('Manual Blocks'!$F$63="","",'Manual Blocks'!$C$63)</f>
        <v/>
      </c>
      <c r="D419" s="55">
        <f>IF('Manual Blocks'!$F$63="","",'Manual Blocks'!$D$63)</f>
        <v/>
      </c>
      <c r="E419" s="55">
        <f>IF('Manual Blocks'!$F$63="","",'Manual Blocks'!$E$63)</f>
        <v/>
      </c>
      <c r="F419" s="55">
        <f>IF('Manual Blocks'!$F$63="","",'Manual Blocks'!$F$63)</f>
        <v/>
      </c>
      <c r="G419" s="55">
        <f>IF('Manual Blocks'!$F$63="","",'Manual Blocks'!$G$63)</f>
        <v/>
      </c>
      <c r="H419" s="55">
        <f>IF('Manual Blocks'!$F$63="","",'Manual Blocks'!$H$63)</f>
        <v/>
      </c>
      <c r="I419" s="55">
        <f>IF('Manual Blocks'!$F$63="","",IF('Manual Blocks'!$I$63="","MAN-062",'Manual Blocks'!$I$63))</f>
        <v/>
      </c>
    </row>
    <row r="420">
      <c r="A420" s="55">
        <f>IF('Manual Blocks'!$F$64="","",'Manual Blocks'!$A$64)</f>
        <v/>
      </c>
      <c r="B420" s="63">
        <f>IF('Manual Blocks'!$F$64="","",'Manual Blocks'!$B$64)</f>
        <v/>
      </c>
      <c r="C420" s="63">
        <f>IF('Manual Blocks'!$F$64="","",'Manual Blocks'!$C$64)</f>
        <v/>
      </c>
      <c r="D420" s="55">
        <f>IF('Manual Blocks'!$F$64="","",'Manual Blocks'!$D$64)</f>
        <v/>
      </c>
      <c r="E420" s="55">
        <f>IF('Manual Blocks'!$F$64="","",'Manual Blocks'!$E$64)</f>
        <v/>
      </c>
      <c r="F420" s="55">
        <f>IF('Manual Blocks'!$F$64="","",'Manual Blocks'!$F$64)</f>
        <v/>
      </c>
      <c r="G420" s="55">
        <f>IF('Manual Blocks'!$F$64="","",'Manual Blocks'!$G$64)</f>
        <v/>
      </c>
      <c r="H420" s="55">
        <f>IF('Manual Blocks'!$F$64="","",'Manual Blocks'!$H$64)</f>
        <v/>
      </c>
      <c r="I420" s="55">
        <f>IF('Manual Blocks'!$F$64="","",IF('Manual Blocks'!$I$64="","MAN-063",'Manual Blocks'!$I$64))</f>
        <v/>
      </c>
    </row>
    <row r="421">
      <c r="A421" s="55">
        <f>IF('Manual Blocks'!$F$65="","",'Manual Blocks'!$A$65)</f>
        <v/>
      </c>
      <c r="B421" s="63">
        <f>IF('Manual Blocks'!$F$65="","",'Manual Blocks'!$B$65)</f>
        <v/>
      </c>
      <c r="C421" s="63">
        <f>IF('Manual Blocks'!$F$65="","",'Manual Blocks'!$C$65)</f>
        <v/>
      </c>
      <c r="D421" s="55">
        <f>IF('Manual Blocks'!$F$65="","",'Manual Blocks'!$D$65)</f>
        <v/>
      </c>
      <c r="E421" s="55">
        <f>IF('Manual Blocks'!$F$65="","",'Manual Blocks'!$E$65)</f>
        <v/>
      </c>
      <c r="F421" s="55">
        <f>IF('Manual Blocks'!$F$65="","",'Manual Blocks'!$F$65)</f>
        <v/>
      </c>
      <c r="G421" s="55">
        <f>IF('Manual Blocks'!$F$65="","",'Manual Blocks'!$G$65)</f>
        <v/>
      </c>
      <c r="H421" s="55">
        <f>IF('Manual Blocks'!$F$65="","",'Manual Blocks'!$H$65)</f>
        <v/>
      </c>
      <c r="I421" s="55">
        <f>IF('Manual Blocks'!$F$65="","",IF('Manual Blocks'!$I$65="","MAN-064",'Manual Blocks'!$I$65))</f>
        <v/>
      </c>
    </row>
    <row r="422">
      <c r="A422" s="55">
        <f>IF('Manual Blocks'!$F$66="","",'Manual Blocks'!$A$66)</f>
        <v/>
      </c>
      <c r="B422" s="63">
        <f>IF('Manual Blocks'!$F$66="","",'Manual Blocks'!$B$66)</f>
        <v/>
      </c>
      <c r="C422" s="63">
        <f>IF('Manual Blocks'!$F$66="","",'Manual Blocks'!$C$66)</f>
        <v/>
      </c>
      <c r="D422" s="55">
        <f>IF('Manual Blocks'!$F$66="","",'Manual Blocks'!$D$66)</f>
        <v/>
      </c>
      <c r="E422" s="55">
        <f>IF('Manual Blocks'!$F$66="","",'Manual Blocks'!$E$66)</f>
        <v/>
      </c>
      <c r="F422" s="55">
        <f>IF('Manual Blocks'!$F$66="","",'Manual Blocks'!$F$66)</f>
        <v/>
      </c>
      <c r="G422" s="55">
        <f>IF('Manual Blocks'!$F$66="","",'Manual Blocks'!$G$66)</f>
        <v/>
      </c>
      <c r="H422" s="55">
        <f>IF('Manual Blocks'!$F$66="","",'Manual Blocks'!$H$66)</f>
        <v/>
      </c>
      <c r="I422" s="55">
        <f>IF('Manual Blocks'!$F$66="","",IF('Manual Blocks'!$I$66="","MAN-065",'Manual Blocks'!$I$66))</f>
        <v/>
      </c>
    </row>
    <row r="423">
      <c r="A423" s="55">
        <f>IF('Manual Blocks'!$F$67="","",'Manual Blocks'!$A$67)</f>
        <v/>
      </c>
      <c r="B423" s="63">
        <f>IF('Manual Blocks'!$F$67="","",'Manual Blocks'!$B$67)</f>
        <v/>
      </c>
      <c r="C423" s="63">
        <f>IF('Manual Blocks'!$F$67="","",'Manual Blocks'!$C$67)</f>
        <v/>
      </c>
      <c r="D423" s="55">
        <f>IF('Manual Blocks'!$F$67="","",'Manual Blocks'!$D$67)</f>
        <v/>
      </c>
      <c r="E423" s="55">
        <f>IF('Manual Blocks'!$F$67="","",'Manual Blocks'!$E$67)</f>
        <v/>
      </c>
      <c r="F423" s="55">
        <f>IF('Manual Blocks'!$F$67="","",'Manual Blocks'!$F$67)</f>
        <v/>
      </c>
      <c r="G423" s="55">
        <f>IF('Manual Blocks'!$F$67="","",'Manual Blocks'!$G$67)</f>
        <v/>
      </c>
      <c r="H423" s="55">
        <f>IF('Manual Blocks'!$F$67="","",'Manual Blocks'!$H$67)</f>
        <v/>
      </c>
      <c r="I423" s="55">
        <f>IF('Manual Blocks'!$F$67="","",IF('Manual Blocks'!$I$67="","MAN-066",'Manual Blocks'!$I$67))</f>
        <v/>
      </c>
    </row>
    <row r="424">
      <c r="A424" s="55">
        <f>IF('Manual Blocks'!$F$68="","",'Manual Blocks'!$A$68)</f>
        <v/>
      </c>
      <c r="B424" s="63">
        <f>IF('Manual Blocks'!$F$68="","",'Manual Blocks'!$B$68)</f>
        <v/>
      </c>
      <c r="C424" s="63">
        <f>IF('Manual Blocks'!$F$68="","",'Manual Blocks'!$C$68)</f>
        <v/>
      </c>
      <c r="D424" s="55">
        <f>IF('Manual Blocks'!$F$68="","",'Manual Blocks'!$D$68)</f>
        <v/>
      </c>
      <c r="E424" s="55">
        <f>IF('Manual Blocks'!$F$68="","",'Manual Blocks'!$E$68)</f>
        <v/>
      </c>
      <c r="F424" s="55">
        <f>IF('Manual Blocks'!$F$68="","",'Manual Blocks'!$F$68)</f>
        <v/>
      </c>
      <c r="G424" s="55">
        <f>IF('Manual Blocks'!$F$68="","",'Manual Blocks'!$G$68)</f>
        <v/>
      </c>
      <c r="H424" s="55">
        <f>IF('Manual Blocks'!$F$68="","",'Manual Blocks'!$H$68)</f>
        <v/>
      </c>
      <c r="I424" s="55">
        <f>IF('Manual Blocks'!$F$68="","",IF('Manual Blocks'!$I$68="","MAN-067",'Manual Blocks'!$I$68))</f>
        <v/>
      </c>
    </row>
    <row r="425">
      <c r="A425" s="55">
        <f>IF('Manual Blocks'!$F$69="","",'Manual Blocks'!$A$69)</f>
        <v/>
      </c>
      <c r="B425" s="63">
        <f>IF('Manual Blocks'!$F$69="","",'Manual Blocks'!$B$69)</f>
        <v/>
      </c>
      <c r="C425" s="63">
        <f>IF('Manual Blocks'!$F$69="","",'Manual Blocks'!$C$69)</f>
        <v/>
      </c>
      <c r="D425" s="55">
        <f>IF('Manual Blocks'!$F$69="","",'Manual Blocks'!$D$69)</f>
        <v/>
      </c>
      <c r="E425" s="55">
        <f>IF('Manual Blocks'!$F$69="","",'Manual Blocks'!$E$69)</f>
        <v/>
      </c>
      <c r="F425" s="55">
        <f>IF('Manual Blocks'!$F$69="","",'Manual Blocks'!$F$69)</f>
        <v/>
      </c>
      <c r="G425" s="55">
        <f>IF('Manual Blocks'!$F$69="","",'Manual Blocks'!$G$69)</f>
        <v/>
      </c>
      <c r="H425" s="55">
        <f>IF('Manual Blocks'!$F$69="","",'Manual Blocks'!$H$69)</f>
        <v/>
      </c>
      <c r="I425" s="55">
        <f>IF('Manual Blocks'!$F$69="","",IF('Manual Blocks'!$I$69="","MAN-068",'Manual Blocks'!$I$69))</f>
        <v/>
      </c>
    </row>
    <row r="426">
      <c r="A426" s="55">
        <f>IF('Manual Blocks'!$F$70="","",'Manual Blocks'!$A$70)</f>
        <v/>
      </c>
      <c r="B426" s="63">
        <f>IF('Manual Blocks'!$F$70="","",'Manual Blocks'!$B$70)</f>
        <v/>
      </c>
      <c r="C426" s="63">
        <f>IF('Manual Blocks'!$F$70="","",'Manual Blocks'!$C$70)</f>
        <v/>
      </c>
      <c r="D426" s="55">
        <f>IF('Manual Blocks'!$F$70="","",'Manual Blocks'!$D$70)</f>
        <v/>
      </c>
      <c r="E426" s="55">
        <f>IF('Manual Blocks'!$F$70="","",'Manual Blocks'!$E$70)</f>
        <v/>
      </c>
      <c r="F426" s="55">
        <f>IF('Manual Blocks'!$F$70="","",'Manual Blocks'!$F$70)</f>
        <v/>
      </c>
      <c r="G426" s="55">
        <f>IF('Manual Blocks'!$F$70="","",'Manual Blocks'!$G$70)</f>
        <v/>
      </c>
      <c r="H426" s="55">
        <f>IF('Manual Blocks'!$F$70="","",'Manual Blocks'!$H$70)</f>
        <v/>
      </c>
      <c r="I426" s="55">
        <f>IF('Manual Blocks'!$F$70="","",IF('Manual Blocks'!$I$70="","MAN-069",'Manual Blocks'!$I$70))</f>
        <v/>
      </c>
    </row>
    <row r="427">
      <c r="A427" s="55">
        <f>IF('Manual Blocks'!$F$71="","",'Manual Blocks'!$A$71)</f>
        <v/>
      </c>
      <c r="B427" s="63">
        <f>IF('Manual Blocks'!$F$71="","",'Manual Blocks'!$B$71)</f>
        <v/>
      </c>
      <c r="C427" s="63">
        <f>IF('Manual Blocks'!$F$71="","",'Manual Blocks'!$C$71)</f>
        <v/>
      </c>
      <c r="D427" s="55">
        <f>IF('Manual Blocks'!$F$71="","",'Manual Blocks'!$D$71)</f>
        <v/>
      </c>
      <c r="E427" s="55">
        <f>IF('Manual Blocks'!$F$71="","",'Manual Blocks'!$E$71)</f>
        <v/>
      </c>
      <c r="F427" s="55">
        <f>IF('Manual Blocks'!$F$71="","",'Manual Blocks'!$F$71)</f>
        <v/>
      </c>
      <c r="G427" s="55">
        <f>IF('Manual Blocks'!$F$71="","",'Manual Blocks'!$G$71)</f>
        <v/>
      </c>
      <c r="H427" s="55">
        <f>IF('Manual Blocks'!$F$71="","",'Manual Blocks'!$H$71)</f>
        <v/>
      </c>
      <c r="I427" s="55">
        <f>IF('Manual Blocks'!$F$71="","",IF('Manual Blocks'!$I$71="","MAN-070",'Manual Blocks'!$I$71))</f>
        <v/>
      </c>
    </row>
    <row r="428">
      <c r="A428" s="55">
        <f>IF('Manual Blocks'!$F$72="","",'Manual Blocks'!$A$72)</f>
        <v/>
      </c>
      <c r="B428" s="63">
        <f>IF('Manual Blocks'!$F$72="","",'Manual Blocks'!$B$72)</f>
        <v/>
      </c>
      <c r="C428" s="63">
        <f>IF('Manual Blocks'!$F$72="","",'Manual Blocks'!$C$72)</f>
        <v/>
      </c>
      <c r="D428" s="55">
        <f>IF('Manual Blocks'!$F$72="","",'Manual Blocks'!$D$72)</f>
        <v/>
      </c>
      <c r="E428" s="55">
        <f>IF('Manual Blocks'!$F$72="","",'Manual Blocks'!$E$72)</f>
        <v/>
      </c>
      <c r="F428" s="55">
        <f>IF('Manual Blocks'!$F$72="","",'Manual Blocks'!$F$72)</f>
        <v/>
      </c>
      <c r="G428" s="55">
        <f>IF('Manual Blocks'!$F$72="","",'Manual Blocks'!$G$72)</f>
        <v/>
      </c>
      <c r="H428" s="55">
        <f>IF('Manual Blocks'!$F$72="","",'Manual Blocks'!$H$72)</f>
        <v/>
      </c>
      <c r="I428" s="55">
        <f>IF('Manual Blocks'!$F$72="","",IF('Manual Blocks'!$I$72="","MAN-071",'Manual Blocks'!$I$72))</f>
        <v/>
      </c>
    </row>
    <row r="429">
      <c r="A429" s="55">
        <f>IF('Manual Blocks'!$F$73="","",'Manual Blocks'!$A$73)</f>
        <v/>
      </c>
      <c r="B429" s="63">
        <f>IF('Manual Blocks'!$F$73="","",'Manual Blocks'!$B$73)</f>
        <v/>
      </c>
      <c r="C429" s="63">
        <f>IF('Manual Blocks'!$F$73="","",'Manual Blocks'!$C$73)</f>
        <v/>
      </c>
      <c r="D429" s="55">
        <f>IF('Manual Blocks'!$F$73="","",'Manual Blocks'!$D$73)</f>
        <v/>
      </c>
      <c r="E429" s="55">
        <f>IF('Manual Blocks'!$F$73="","",'Manual Blocks'!$E$73)</f>
        <v/>
      </c>
      <c r="F429" s="55">
        <f>IF('Manual Blocks'!$F$73="","",'Manual Blocks'!$F$73)</f>
        <v/>
      </c>
      <c r="G429" s="55">
        <f>IF('Manual Blocks'!$F$73="","",'Manual Blocks'!$G$73)</f>
        <v/>
      </c>
      <c r="H429" s="55">
        <f>IF('Manual Blocks'!$F$73="","",'Manual Blocks'!$H$73)</f>
        <v/>
      </c>
      <c r="I429" s="55">
        <f>IF('Manual Blocks'!$F$73="","",IF('Manual Blocks'!$I$73="","MAN-072",'Manual Blocks'!$I$73))</f>
        <v/>
      </c>
    </row>
    <row r="430">
      <c r="A430" s="55">
        <f>IF('Manual Blocks'!$F$74="","",'Manual Blocks'!$A$74)</f>
        <v/>
      </c>
      <c r="B430" s="63">
        <f>IF('Manual Blocks'!$F$74="","",'Manual Blocks'!$B$74)</f>
        <v/>
      </c>
      <c r="C430" s="63">
        <f>IF('Manual Blocks'!$F$74="","",'Manual Blocks'!$C$74)</f>
        <v/>
      </c>
      <c r="D430" s="55">
        <f>IF('Manual Blocks'!$F$74="","",'Manual Blocks'!$D$74)</f>
        <v/>
      </c>
      <c r="E430" s="55">
        <f>IF('Manual Blocks'!$F$74="","",'Manual Blocks'!$E$74)</f>
        <v/>
      </c>
      <c r="F430" s="55">
        <f>IF('Manual Blocks'!$F$74="","",'Manual Blocks'!$F$74)</f>
        <v/>
      </c>
      <c r="G430" s="55">
        <f>IF('Manual Blocks'!$F$74="","",'Manual Blocks'!$G$74)</f>
        <v/>
      </c>
      <c r="H430" s="55">
        <f>IF('Manual Blocks'!$F$74="","",'Manual Blocks'!$H$74)</f>
        <v/>
      </c>
      <c r="I430" s="55">
        <f>IF('Manual Blocks'!$F$74="","",IF('Manual Blocks'!$I$74="","MAN-073",'Manual Blocks'!$I$74))</f>
        <v/>
      </c>
    </row>
    <row r="431">
      <c r="A431" s="55">
        <f>IF('Manual Blocks'!$F$75="","",'Manual Blocks'!$A$75)</f>
        <v/>
      </c>
      <c r="B431" s="63">
        <f>IF('Manual Blocks'!$F$75="","",'Manual Blocks'!$B$75)</f>
        <v/>
      </c>
      <c r="C431" s="63">
        <f>IF('Manual Blocks'!$F$75="","",'Manual Blocks'!$C$75)</f>
        <v/>
      </c>
      <c r="D431" s="55">
        <f>IF('Manual Blocks'!$F$75="","",'Manual Blocks'!$D$75)</f>
        <v/>
      </c>
      <c r="E431" s="55">
        <f>IF('Manual Blocks'!$F$75="","",'Manual Blocks'!$E$75)</f>
        <v/>
      </c>
      <c r="F431" s="55">
        <f>IF('Manual Blocks'!$F$75="","",'Manual Blocks'!$F$75)</f>
        <v/>
      </c>
      <c r="G431" s="55">
        <f>IF('Manual Blocks'!$F$75="","",'Manual Blocks'!$G$75)</f>
        <v/>
      </c>
      <c r="H431" s="55">
        <f>IF('Manual Blocks'!$F$75="","",'Manual Blocks'!$H$75)</f>
        <v/>
      </c>
      <c r="I431" s="55">
        <f>IF('Manual Blocks'!$F$75="","",IF('Manual Blocks'!$I$75="","MAN-074",'Manual Blocks'!$I$75))</f>
        <v/>
      </c>
    </row>
    <row r="432">
      <c r="A432" s="55">
        <f>IF('Manual Blocks'!$F$76="","",'Manual Blocks'!$A$76)</f>
        <v/>
      </c>
      <c r="B432" s="63">
        <f>IF('Manual Blocks'!$F$76="","",'Manual Blocks'!$B$76)</f>
        <v/>
      </c>
      <c r="C432" s="63">
        <f>IF('Manual Blocks'!$F$76="","",'Manual Blocks'!$C$76)</f>
        <v/>
      </c>
      <c r="D432" s="55">
        <f>IF('Manual Blocks'!$F$76="","",'Manual Blocks'!$D$76)</f>
        <v/>
      </c>
      <c r="E432" s="55">
        <f>IF('Manual Blocks'!$F$76="","",'Manual Blocks'!$E$76)</f>
        <v/>
      </c>
      <c r="F432" s="55">
        <f>IF('Manual Blocks'!$F$76="","",'Manual Blocks'!$F$76)</f>
        <v/>
      </c>
      <c r="G432" s="55">
        <f>IF('Manual Blocks'!$F$76="","",'Manual Blocks'!$G$76)</f>
        <v/>
      </c>
      <c r="H432" s="55">
        <f>IF('Manual Blocks'!$F$76="","",'Manual Blocks'!$H$76)</f>
        <v/>
      </c>
      <c r="I432" s="55">
        <f>IF('Manual Blocks'!$F$76="","",IF('Manual Blocks'!$I$76="","MAN-075",'Manual Blocks'!$I$76))</f>
        <v/>
      </c>
    </row>
    <row r="433">
      <c r="A433" s="55">
        <f>IF('Manual Blocks'!$F$77="","",'Manual Blocks'!$A$77)</f>
        <v/>
      </c>
      <c r="B433" s="63">
        <f>IF('Manual Blocks'!$F$77="","",'Manual Blocks'!$B$77)</f>
        <v/>
      </c>
      <c r="C433" s="63">
        <f>IF('Manual Blocks'!$F$77="","",'Manual Blocks'!$C$77)</f>
        <v/>
      </c>
      <c r="D433" s="55">
        <f>IF('Manual Blocks'!$F$77="","",'Manual Blocks'!$D$77)</f>
        <v/>
      </c>
      <c r="E433" s="55">
        <f>IF('Manual Blocks'!$F$77="","",'Manual Blocks'!$E$77)</f>
        <v/>
      </c>
      <c r="F433" s="55">
        <f>IF('Manual Blocks'!$F$77="","",'Manual Blocks'!$F$77)</f>
        <v/>
      </c>
      <c r="G433" s="55">
        <f>IF('Manual Blocks'!$F$77="","",'Manual Blocks'!$G$77)</f>
        <v/>
      </c>
      <c r="H433" s="55">
        <f>IF('Manual Blocks'!$F$77="","",'Manual Blocks'!$H$77)</f>
        <v/>
      </c>
      <c r="I433" s="55">
        <f>IF('Manual Blocks'!$F$77="","",IF('Manual Blocks'!$I$77="","MAN-076",'Manual Blocks'!$I$77))</f>
        <v/>
      </c>
    </row>
    <row r="434">
      <c r="A434" s="55">
        <f>IF('Manual Blocks'!$F$78="","",'Manual Blocks'!$A$78)</f>
        <v/>
      </c>
      <c r="B434" s="63">
        <f>IF('Manual Blocks'!$F$78="","",'Manual Blocks'!$B$78)</f>
        <v/>
      </c>
      <c r="C434" s="63">
        <f>IF('Manual Blocks'!$F$78="","",'Manual Blocks'!$C$78)</f>
        <v/>
      </c>
      <c r="D434" s="55">
        <f>IF('Manual Blocks'!$F$78="","",'Manual Blocks'!$D$78)</f>
        <v/>
      </c>
      <c r="E434" s="55">
        <f>IF('Manual Blocks'!$F$78="","",'Manual Blocks'!$E$78)</f>
        <v/>
      </c>
      <c r="F434" s="55">
        <f>IF('Manual Blocks'!$F$78="","",'Manual Blocks'!$F$78)</f>
        <v/>
      </c>
      <c r="G434" s="55">
        <f>IF('Manual Blocks'!$F$78="","",'Manual Blocks'!$G$78)</f>
        <v/>
      </c>
      <c r="H434" s="55">
        <f>IF('Manual Blocks'!$F$78="","",'Manual Blocks'!$H$78)</f>
        <v/>
      </c>
      <c r="I434" s="55">
        <f>IF('Manual Blocks'!$F$78="","",IF('Manual Blocks'!$I$78="","MAN-077",'Manual Blocks'!$I$78))</f>
        <v/>
      </c>
    </row>
    <row r="435">
      <c r="A435" s="55">
        <f>IF('Manual Blocks'!$F$79="","",'Manual Blocks'!$A$79)</f>
        <v/>
      </c>
      <c r="B435" s="63">
        <f>IF('Manual Blocks'!$F$79="","",'Manual Blocks'!$B$79)</f>
        <v/>
      </c>
      <c r="C435" s="63">
        <f>IF('Manual Blocks'!$F$79="","",'Manual Blocks'!$C$79)</f>
        <v/>
      </c>
      <c r="D435" s="55">
        <f>IF('Manual Blocks'!$F$79="","",'Manual Blocks'!$D$79)</f>
        <v/>
      </c>
      <c r="E435" s="55">
        <f>IF('Manual Blocks'!$F$79="","",'Manual Blocks'!$E$79)</f>
        <v/>
      </c>
      <c r="F435" s="55">
        <f>IF('Manual Blocks'!$F$79="","",'Manual Blocks'!$F$79)</f>
        <v/>
      </c>
      <c r="G435" s="55">
        <f>IF('Manual Blocks'!$F$79="","",'Manual Blocks'!$G$79)</f>
        <v/>
      </c>
      <c r="H435" s="55">
        <f>IF('Manual Blocks'!$F$79="","",'Manual Blocks'!$H$79)</f>
        <v/>
      </c>
      <c r="I435" s="55">
        <f>IF('Manual Blocks'!$F$79="","",IF('Manual Blocks'!$I$79="","MAN-078",'Manual Blocks'!$I$79))</f>
        <v/>
      </c>
    </row>
    <row r="436">
      <c r="A436" s="55">
        <f>IF('Manual Blocks'!$F$80="","",'Manual Blocks'!$A$80)</f>
        <v/>
      </c>
      <c r="B436" s="63">
        <f>IF('Manual Blocks'!$F$80="","",'Manual Blocks'!$B$80)</f>
        <v/>
      </c>
      <c r="C436" s="63">
        <f>IF('Manual Blocks'!$F$80="","",'Manual Blocks'!$C$80)</f>
        <v/>
      </c>
      <c r="D436" s="55">
        <f>IF('Manual Blocks'!$F$80="","",'Manual Blocks'!$D$80)</f>
        <v/>
      </c>
      <c r="E436" s="55">
        <f>IF('Manual Blocks'!$F$80="","",'Manual Blocks'!$E$80)</f>
        <v/>
      </c>
      <c r="F436" s="55">
        <f>IF('Manual Blocks'!$F$80="","",'Manual Blocks'!$F$80)</f>
        <v/>
      </c>
      <c r="G436" s="55">
        <f>IF('Manual Blocks'!$F$80="","",'Manual Blocks'!$G$80)</f>
        <v/>
      </c>
      <c r="H436" s="55">
        <f>IF('Manual Blocks'!$F$80="","",'Manual Blocks'!$H$80)</f>
        <v/>
      </c>
      <c r="I436" s="55">
        <f>IF('Manual Blocks'!$F$80="","",IF('Manual Blocks'!$I$80="","MAN-079",'Manual Blocks'!$I$80))</f>
        <v/>
      </c>
    </row>
    <row r="437">
      <c r="A437" s="55">
        <f>IF('Manual Blocks'!$F$81="","",'Manual Blocks'!$A$81)</f>
        <v/>
      </c>
      <c r="B437" s="63">
        <f>IF('Manual Blocks'!$F$81="","",'Manual Blocks'!$B$81)</f>
        <v/>
      </c>
      <c r="C437" s="63">
        <f>IF('Manual Blocks'!$F$81="","",'Manual Blocks'!$C$81)</f>
        <v/>
      </c>
      <c r="D437" s="55">
        <f>IF('Manual Blocks'!$F$81="","",'Manual Blocks'!$D$81)</f>
        <v/>
      </c>
      <c r="E437" s="55">
        <f>IF('Manual Blocks'!$F$81="","",'Manual Blocks'!$E$81)</f>
        <v/>
      </c>
      <c r="F437" s="55">
        <f>IF('Manual Blocks'!$F$81="","",'Manual Blocks'!$F$81)</f>
        <v/>
      </c>
      <c r="G437" s="55">
        <f>IF('Manual Blocks'!$F$81="","",'Manual Blocks'!$G$81)</f>
        <v/>
      </c>
      <c r="H437" s="55">
        <f>IF('Manual Blocks'!$F$81="","",'Manual Blocks'!$H$81)</f>
        <v/>
      </c>
      <c r="I437" s="55">
        <f>IF('Manual Blocks'!$F$81="","",IF('Manual Blocks'!$I$81="","MAN-080",'Manual Blocks'!$I$81))</f>
        <v/>
      </c>
    </row>
    <row r="438">
      <c r="A438" s="55">
        <f>IF('Manual Blocks'!$F$82="","",'Manual Blocks'!$A$82)</f>
        <v/>
      </c>
      <c r="B438" s="63">
        <f>IF('Manual Blocks'!$F$82="","",'Manual Blocks'!$B$82)</f>
        <v/>
      </c>
      <c r="C438" s="63">
        <f>IF('Manual Blocks'!$F$82="","",'Manual Blocks'!$C$82)</f>
        <v/>
      </c>
      <c r="D438" s="55">
        <f>IF('Manual Blocks'!$F$82="","",'Manual Blocks'!$D$82)</f>
        <v/>
      </c>
      <c r="E438" s="55">
        <f>IF('Manual Blocks'!$F$82="","",'Manual Blocks'!$E$82)</f>
        <v/>
      </c>
      <c r="F438" s="55">
        <f>IF('Manual Blocks'!$F$82="","",'Manual Blocks'!$F$82)</f>
        <v/>
      </c>
      <c r="G438" s="55">
        <f>IF('Manual Blocks'!$F$82="","",'Manual Blocks'!$G$82)</f>
        <v/>
      </c>
      <c r="H438" s="55">
        <f>IF('Manual Blocks'!$F$82="","",'Manual Blocks'!$H$82)</f>
        <v/>
      </c>
      <c r="I438" s="55">
        <f>IF('Manual Blocks'!$F$82="","",IF('Manual Blocks'!$I$82="","MAN-081",'Manual Blocks'!$I$82))</f>
        <v/>
      </c>
    </row>
    <row r="439">
      <c r="A439" s="55">
        <f>IF('Manual Blocks'!$F$83="","",'Manual Blocks'!$A$83)</f>
        <v/>
      </c>
      <c r="B439" s="63">
        <f>IF('Manual Blocks'!$F$83="","",'Manual Blocks'!$B$83)</f>
        <v/>
      </c>
      <c r="C439" s="63">
        <f>IF('Manual Blocks'!$F$83="","",'Manual Blocks'!$C$83)</f>
        <v/>
      </c>
      <c r="D439" s="55">
        <f>IF('Manual Blocks'!$F$83="","",'Manual Blocks'!$D$83)</f>
        <v/>
      </c>
      <c r="E439" s="55">
        <f>IF('Manual Blocks'!$F$83="","",'Manual Blocks'!$E$83)</f>
        <v/>
      </c>
      <c r="F439" s="55">
        <f>IF('Manual Blocks'!$F$83="","",'Manual Blocks'!$F$83)</f>
        <v/>
      </c>
      <c r="G439" s="55">
        <f>IF('Manual Blocks'!$F$83="","",'Manual Blocks'!$G$83)</f>
        <v/>
      </c>
      <c r="H439" s="55">
        <f>IF('Manual Blocks'!$F$83="","",'Manual Blocks'!$H$83)</f>
        <v/>
      </c>
      <c r="I439" s="55">
        <f>IF('Manual Blocks'!$F$83="","",IF('Manual Blocks'!$I$83="","MAN-082",'Manual Blocks'!$I$83))</f>
        <v/>
      </c>
    </row>
    <row r="440">
      <c r="A440" s="55">
        <f>IF('Manual Blocks'!$F$84="","",'Manual Blocks'!$A$84)</f>
        <v/>
      </c>
      <c r="B440" s="63">
        <f>IF('Manual Blocks'!$F$84="","",'Manual Blocks'!$B$84)</f>
        <v/>
      </c>
      <c r="C440" s="63">
        <f>IF('Manual Blocks'!$F$84="","",'Manual Blocks'!$C$84)</f>
        <v/>
      </c>
      <c r="D440" s="55">
        <f>IF('Manual Blocks'!$F$84="","",'Manual Blocks'!$D$84)</f>
        <v/>
      </c>
      <c r="E440" s="55">
        <f>IF('Manual Blocks'!$F$84="","",'Manual Blocks'!$E$84)</f>
        <v/>
      </c>
      <c r="F440" s="55">
        <f>IF('Manual Blocks'!$F$84="","",'Manual Blocks'!$F$84)</f>
        <v/>
      </c>
      <c r="G440" s="55">
        <f>IF('Manual Blocks'!$F$84="","",'Manual Blocks'!$G$84)</f>
        <v/>
      </c>
      <c r="H440" s="55">
        <f>IF('Manual Blocks'!$F$84="","",'Manual Blocks'!$H$84)</f>
        <v/>
      </c>
      <c r="I440" s="55">
        <f>IF('Manual Blocks'!$F$84="","",IF('Manual Blocks'!$I$84="","MAN-083",'Manual Blocks'!$I$84))</f>
        <v/>
      </c>
    </row>
    <row r="441">
      <c r="A441" s="55">
        <f>IF('Manual Blocks'!$F$85="","",'Manual Blocks'!$A$85)</f>
        <v/>
      </c>
      <c r="B441" s="63">
        <f>IF('Manual Blocks'!$F$85="","",'Manual Blocks'!$B$85)</f>
        <v/>
      </c>
      <c r="C441" s="63">
        <f>IF('Manual Blocks'!$F$85="","",'Manual Blocks'!$C$85)</f>
        <v/>
      </c>
      <c r="D441" s="55">
        <f>IF('Manual Blocks'!$F$85="","",'Manual Blocks'!$D$85)</f>
        <v/>
      </c>
      <c r="E441" s="55">
        <f>IF('Manual Blocks'!$F$85="","",'Manual Blocks'!$E$85)</f>
        <v/>
      </c>
      <c r="F441" s="55">
        <f>IF('Manual Blocks'!$F$85="","",'Manual Blocks'!$F$85)</f>
        <v/>
      </c>
      <c r="G441" s="55">
        <f>IF('Manual Blocks'!$F$85="","",'Manual Blocks'!$G$85)</f>
        <v/>
      </c>
      <c r="H441" s="55">
        <f>IF('Manual Blocks'!$F$85="","",'Manual Blocks'!$H$85)</f>
        <v/>
      </c>
      <c r="I441" s="55">
        <f>IF('Manual Blocks'!$F$85="","",IF('Manual Blocks'!$I$85="","MAN-084",'Manual Blocks'!$I$85))</f>
        <v/>
      </c>
    </row>
    <row r="442">
      <c r="A442" s="55">
        <f>IF('Manual Blocks'!$F$86="","",'Manual Blocks'!$A$86)</f>
        <v/>
      </c>
      <c r="B442" s="63">
        <f>IF('Manual Blocks'!$F$86="","",'Manual Blocks'!$B$86)</f>
        <v/>
      </c>
      <c r="C442" s="63">
        <f>IF('Manual Blocks'!$F$86="","",'Manual Blocks'!$C$86)</f>
        <v/>
      </c>
      <c r="D442" s="55">
        <f>IF('Manual Blocks'!$F$86="","",'Manual Blocks'!$D$86)</f>
        <v/>
      </c>
      <c r="E442" s="55">
        <f>IF('Manual Blocks'!$F$86="","",'Manual Blocks'!$E$86)</f>
        <v/>
      </c>
      <c r="F442" s="55">
        <f>IF('Manual Blocks'!$F$86="","",'Manual Blocks'!$F$86)</f>
        <v/>
      </c>
      <c r="G442" s="55">
        <f>IF('Manual Blocks'!$F$86="","",'Manual Blocks'!$G$86)</f>
        <v/>
      </c>
      <c r="H442" s="55">
        <f>IF('Manual Blocks'!$F$86="","",'Manual Blocks'!$H$86)</f>
        <v/>
      </c>
      <c r="I442" s="55">
        <f>IF('Manual Blocks'!$F$86="","",IF('Manual Blocks'!$I$86="","MAN-085",'Manual Blocks'!$I$86))</f>
        <v/>
      </c>
    </row>
    <row r="443">
      <c r="A443" s="55">
        <f>IF('Manual Blocks'!$F$87="","",'Manual Blocks'!$A$87)</f>
        <v/>
      </c>
      <c r="B443" s="63">
        <f>IF('Manual Blocks'!$F$87="","",'Manual Blocks'!$B$87)</f>
        <v/>
      </c>
      <c r="C443" s="63">
        <f>IF('Manual Blocks'!$F$87="","",'Manual Blocks'!$C$87)</f>
        <v/>
      </c>
      <c r="D443" s="55">
        <f>IF('Manual Blocks'!$F$87="","",'Manual Blocks'!$D$87)</f>
        <v/>
      </c>
      <c r="E443" s="55">
        <f>IF('Manual Blocks'!$F$87="","",'Manual Blocks'!$E$87)</f>
        <v/>
      </c>
      <c r="F443" s="55">
        <f>IF('Manual Blocks'!$F$87="","",'Manual Blocks'!$F$87)</f>
        <v/>
      </c>
      <c r="G443" s="55">
        <f>IF('Manual Blocks'!$F$87="","",'Manual Blocks'!$G$87)</f>
        <v/>
      </c>
      <c r="H443" s="55">
        <f>IF('Manual Blocks'!$F$87="","",'Manual Blocks'!$H$87)</f>
        <v/>
      </c>
      <c r="I443" s="55">
        <f>IF('Manual Blocks'!$F$87="","",IF('Manual Blocks'!$I$87="","MAN-086",'Manual Blocks'!$I$87))</f>
        <v/>
      </c>
    </row>
    <row r="444">
      <c r="A444" s="55">
        <f>IF('Manual Blocks'!$F$88="","",'Manual Blocks'!$A$88)</f>
        <v/>
      </c>
      <c r="B444" s="63">
        <f>IF('Manual Blocks'!$F$88="","",'Manual Blocks'!$B$88)</f>
        <v/>
      </c>
      <c r="C444" s="63">
        <f>IF('Manual Blocks'!$F$88="","",'Manual Blocks'!$C$88)</f>
        <v/>
      </c>
      <c r="D444" s="55">
        <f>IF('Manual Blocks'!$F$88="","",'Manual Blocks'!$D$88)</f>
        <v/>
      </c>
      <c r="E444" s="55">
        <f>IF('Manual Blocks'!$F$88="","",'Manual Blocks'!$E$88)</f>
        <v/>
      </c>
      <c r="F444" s="55">
        <f>IF('Manual Blocks'!$F$88="","",'Manual Blocks'!$F$88)</f>
        <v/>
      </c>
      <c r="G444" s="55">
        <f>IF('Manual Blocks'!$F$88="","",'Manual Blocks'!$G$88)</f>
        <v/>
      </c>
      <c r="H444" s="55">
        <f>IF('Manual Blocks'!$F$88="","",'Manual Blocks'!$H$88)</f>
        <v/>
      </c>
      <c r="I444" s="55">
        <f>IF('Manual Blocks'!$F$88="","",IF('Manual Blocks'!$I$88="","MAN-087",'Manual Blocks'!$I$88))</f>
        <v/>
      </c>
    </row>
    <row r="445">
      <c r="A445" s="55">
        <f>IF('Manual Blocks'!$F$89="","",'Manual Blocks'!$A$89)</f>
        <v/>
      </c>
      <c r="B445" s="63">
        <f>IF('Manual Blocks'!$F$89="","",'Manual Blocks'!$B$89)</f>
        <v/>
      </c>
      <c r="C445" s="63">
        <f>IF('Manual Blocks'!$F$89="","",'Manual Blocks'!$C$89)</f>
        <v/>
      </c>
      <c r="D445" s="55">
        <f>IF('Manual Blocks'!$F$89="","",'Manual Blocks'!$D$89)</f>
        <v/>
      </c>
      <c r="E445" s="55">
        <f>IF('Manual Blocks'!$F$89="","",'Manual Blocks'!$E$89)</f>
        <v/>
      </c>
      <c r="F445" s="55">
        <f>IF('Manual Blocks'!$F$89="","",'Manual Blocks'!$F$89)</f>
        <v/>
      </c>
      <c r="G445" s="55">
        <f>IF('Manual Blocks'!$F$89="","",'Manual Blocks'!$G$89)</f>
        <v/>
      </c>
      <c r="H445" s="55">
        <f>IF('Manual Blocks'!$F$89="","",'Manual Blocks'!$H$89)</f>
        <v/>
      </c>
      <c r="I445" s="55">
        <f>IF('Manual Blocks'!$F$89="","",IF('Manual Blocks'!$I$89="","MAN-088",'Manual Blocks'!$I$89))</f>
        <v/>
      </c>
    </row>
    <row r="446">
      <c r="A446" s="55">
        <f>IF('Manual Blocks'!$F$90="","",'Manual Blocks'!$A$90)</f>
        <v/>
      </c>
      <c r="B446" s="63">
        <f>IF('Manual Blocks'!$F$90="","",'Manual Blocks'!$B$90)</f>
        <v/>
      </c>
      <c r="C446" s="63">
        <f>IF('Manual Blocks'!$F$90="","",'Manual Blocks'!$C$90)</f>
        <v/>
      </c>
      <c r="D446" s="55">
        <f>IF('Manual Blocks'!$F$90="","",'Manual Blocks'!$D$90)</f>
        <v/>
      </c>
      <c r="E446" s="55">
        <f>IF('Manual Blocks'!$F$90="","",'Manual Blocks'!$E$90)</f>
        <v/>
      </c>
      <c r="F446" s="55">
        <f>IF('Manual Blocks'!$F$90="","",'Manual Blocks'!$F$90)</f>
        <v/>
      </c>
      <c r="G446" s="55">
        <f>IF('Manual Blocks'!$F$90="","",'Manual Blocks'!$G$90)</f>
        <v/>
      </c>
      <c r="H446" s="55">
        <f>IF('Manual Blocks'!$F$90="","",'Manual Blocks'!$H$90)</f>
        <v/>
      </c>
      <c r="I446" s="55">
        <f>IF('Manual Blocks'!$F$90="","",IF('Manual Blocks'!$I$90="","MAN-089",'Manual Blocks'!$I$90))</f>
        <v/>
      </c>
    </row>
    <row r="447">
      <c r="A447" s="55">
        <f>IF('Manual Blocks'!$F$91="","",'Manual Blocks'!$A$91)</f>
        <v/>
      </c>
      <c r="B447" s="63">
        <f>IF('Manual Blocks'!$F$91="","",'Manual Blocks'!$B$91)</f>
        <v/>
      </c>
      <c r="C447" s="63">
        <f>IF('Manual Blocks'!$F$91="","",'Manual Blocks'!$C$91)</f>
        <v/>
      </c>
      <c r="D447" s="55">
        <f>IF('Manual Blocks'!$F$91="","",'Manual Blocks'!$D$91)</f>
        <v/>
      </c>
      <c r="E447" s="55">
        <f>IF('Manual Blocks'!$F$91="","",'Manual Blocks'!$E$91)</f>
        <v/>
      </c>
      <c r="F447" s="55">
        <f>IF('Manual Blocks'!$F$91="","",'Manual Blocks'!$F$91)</f>
        <v/>
      </c>
      <c r="G447" s="55">
        <f>IF('Manual Blocks'!$F$91="","",'Manual Blocks'!$G$91)</f>
        <v/>
      </c>
      <c r="H447" s="55">
        <f>IF('Manual Blocks'!$F$91="","",'Manual Blocks'!$H$91)</f>
        <v/>
      </c>
      <c r="I447" s="55">
        <f>IF('Manual Blocks'!$F$91="","",IF('Manual Blocks'!$I$91="","MAN-090",'Manual Blocks'!$I$91))</f>
        <v/>
      </c>
    </row>
    <row r="448">
      <c r="A448" s="55">
        <f>IF('Manual Blocks'!$F$92="","",'Manual Blocks'!$A$92)</f>
        <v/>
      </c>
      <c r="B448" s="63">
        <f>IF('Manual Blocks'!$F$92="","",'Manual Blocks'!$B$92)</f>
        <v/>
      </c>
      <c r="C448" s="63">
        <f>IF('Manual Blocks'!$F$92="","",'Manual Blocks'!$C$92)</f>
        <v/>
      </c>
      <c r="D448" s="55">
        <f>IF('Manual Blocks'!$F$92="","",'Manual Blocks'!$D$92)</f>
        <v/>
      </c>
      <c r="E448" s="55">
        <f>IF('Manual Blocks'!$F$92="","",'Manual Blocks'!$E$92)</f>
        <v/>
      </c>
      <c r="F448" s="55">
        <f>IF('Manual Blocks'!$F$92="","",'Manual Blocks'!$F$92)</f>
        <v/>
      </c>
      <c r="G448" s="55">
        <f>IF('Manual Blocks'!$F$92="","",'Manual Blocks'!$G$92)</f>
        <v/>
      </c>
      <c r="H448" s="55">
        <f>IF('Manual Blocks'!$F$92="","",'Manual Blocks'!$H$92)</f>
        <v/>
      </c>
      <c r="I448" s="55">
        <f>IF('Manual Blocks'!$F$92="","",IF('Manual Blocks'!$I$92="","MAN-091",'Manual Blocks'!$I$92))</f>
        <v/>
      </c>
    </row>
    <row r="449">
      <c r="A449" s="55">
        <f>IF('Manual Blocks'!$F$93="","",'Manual Blocks'!$A$93)</f>
        <v/>
      </c>
      <c r="B449" s="63">
        <f>IF('Manual Blocks'!$F$93="","",'Manual Blocks'!$B$93)</f>
        <v/>
      </c>
      <c r="C449" s="63">
        <f>IF('Manual Blocks'!$F$93="","",'Manual Blocks'!$C$93)</f>
        <v/>
      </c>
      <c r="D449" s="55">
        <f>IF('Manual Blocks'!$F$93="","",'Manual Blocks'!$D$93)</f>
        <v/>
      </c>
      <c r="E449" s="55">
        <f>IF('Manual Blocks'!$F$93="","",'Manual Blocks'!$E$93)</f>
        <v/>
      </c>
      <c r="F449" s="55">
        <f>IF('Manual Blocks'!$F$93="","",'Manual Blocks'!$F$93)</f>
        <v/>
      </c>
      <c r="G449" s="55">
        <f>IF('Manual Blocks'!$F$93="","",'Manual Blocks'!$G$93)</f>
        <v/>
      </c>
      <c r="H449" s="55">
        <f>IF('Manual Blocks'!$F$93="","",'Manual Blocks'!$H$93)</f>
        <v/>
      </c>
      <c r="I449" s="55">
        <f>IF('Manual Blocks'!$F$93="","",IF('Manual Blocks'!$I$93="","MAN-092",'Manual Blocks'!$I$93))</f>
        <v/>
      </c>
    </row>
    <row r="450">
      <c r="A450" s="55">
        <f>IF('Manual Blocks'!$F$94="","",'Manual Blocks'!$A$94)</f>
        <v/>
      </c>
      <c r="B450" s="63">
        <f>IF('Manual Blocks'!$F$94="","",'Manual Blocks'!$B$94)</f>
        <v/>
      </c>
      <c r="C450" s="63">
        <f>IF('Manual Blocks'!$F$94="","",'Manual Blocks'!$C$94)</f>
        <v/>
      </c>
      <c r="D450" s="55">
        <f>IF('Manual Blocks'!$F$94="","",'Manual Blocks'!$D$94)</f>
        <v/>
      </c>
      <c r="E450" s="55">
        <f>IF('Manual Blocks'!$F$94="","",'Manual Blocks'!$E$94)</f>
        <v/>
      </c>
      <c r="F450" s="55">
        <f>IF('Manual Blocks'!$F$94="","",'Manual Blocks'!$F$94)</f>
        <v/>
      </c>
      <c r="G450" s="55">
        <f>IF('Manual Blocks'!$F$94="","",'Manual Blocks'!$G$94)</f>
        <v/>
      </c>
      <c r="H450" s="55">
        <f>IF('Manual Blocks'!$F$94="","",'Manual Blocks'!$H$94)</f>
        <v/>
      </c>
      <c r="I450" s="55">
        <f>IF('Manual Blocks'!$F$94="","",IF('Manual Blocks'!$I$94="","MAN-093",'Manual Blocks'!$I$94))</f>
        <v/>
      </c>
    </row>
    <row r="451">
      <c r="A451" s="55">
        <f>IF('Manual Blocks'!$F$95="","",'Manual Blocks'!$A$95)</f>
        <v/>
      </c>
      <c r="B451" s="63">
        <f>IF('Manual Blocks'!$F$95="","",'Manual Blocks'!$B$95)</f>
        <v/>
      </c>
      <c r="C451" s="63">
        <f>IF('Manual Blocks'!$F$95="","",'Manual Blocks'!$C$95)</f>
        <v/>
      </c>
      <c r="D451" s="55">
        <f>IF('Manual Blocks'!$F$95="","",'Manual Blocks'!$D$95)</f>
        <v/>
      </c>
      <c r="E451" s="55">
        <f>IF('Manual Blocks'!$F$95="","",'Manual Blocks'!$E$95)</f>
        <v/>
      </c>
      <c r="F451" s="55">
        <f>IF('Manual Blocks'!$F$95="","",'Manual Blocks'!$F$95)</f>
        <v/>
      </c>
      <c r="G451" s="55">
        <f>IF('Manual Blocks'!$F$95="","",'Manual Blocks'!$G$95)</f>
        <v/>
      </c>
      <c r="H451" s="55">
        <f>IF('Manual Blocks'!$F$95="","",'Manual Blocks'!$H$95)</f>
        <v/>
      </c>
      <c r="I451" s="55">
        <f>IF('Manual Blocks'!$F$95="","",IF('Manual Blocks'!$I$95="","MAN-094",'Manual Blocks'!$I$95))</f>
        <v/>
      </c>
    </row>
    <row r="452">
      <c r="A452" s="55">
        <f>IF('Manual Blocks'!$F$96="","",'Manual Blocks'!$A$96)</f>
        <v/>
      </c>
      <c r="B452" s="63">
        <f>IF('Manual Blocks'!$F$96="","",'Manual Blocks'!$B$96)</f>
        <v/>
      </c>
      <c r="C452" s="63">
        <f>IF('Manual Blocks'!$F$96="","",'Manual Blocks'!$C$96)</f>
        <v/>
      </c>
      <c r="D452" s="55">
        <f>IF('Manual Blocks'!$F$96="","",'Manual Blocks'!$D$96)</f>
        <v/>
      </c>
      <c r="E452" s="55">
        <f>IF('Manual Blocks'!$F$96="","",'Manual Blocks'!$E$96)</f>
        <v/>
      </c>
      <c r="F452" s="55">
        <f>IF('Manual Blocks'!$F$96="","",'Manual Blocks'!$F$96)</f>
        <v/>
      </c>
      <c r="G452" s="55">
        <f>IF('Manual Blocks'!$F$96="","",'Manual Blocks'!$G$96)</f>
        <v/>
      </c>
      <c r="H452" s="55">
        <f>IF('Manual Blocks'!$F$96="","",'Manual Blocks'!$H$96)</f>
        <v/>
      </c>
      <c r="I452" s="55">
        <f>IF('Manual Blocks'!$F$96="","",IF('Manual Blocks'!$I$96="","MAN-095",'Manual Blocks'!$I$96))</f>
        <v/>
      </c>
    </row>
    <row r="453">
      <c r="A453" s="55">
        <f>IF('Manual Blocks'!$F$97="","",'Manual Blocks'!$A$97)</f>
        <v/>
      </c>
      <c r="B453" s="63">
        <f>IF('Manual Blocks'!$F$97="","",'Manual Blocks'!$B$97)</f>
        <v/>
      </c>
      <c r="C453" s="63">
        <f>IF('Manual Blocks'!$F$97="","",'Manual Blocks'!$C$97)</f>
        <v/>
      </c>
      <c r="D453" s="55">
        <f>IF('Manual Blocks'!$F$97="","",'Manual Blocks'!$D$97)</f>
        <v/>
      </c>
      <c r="E453" s="55">
        <f>IF('Manual Blocks'!$F$97="","",'Manual Blocks'!$E$97)</f>
        <v/>
      </c>
      <c r="F453" s="55">
        <f>IF('Manual Blocks'!$F$97="","",'Manual Blocks'!$F$97)</f>
        <v/>
      </c>
      <c r="G453" s="55">
        <f>IF('Manual Blocks'!$F$97="","",'Manual Blocks'!$G$97)</f>
        <v/>
      </c>
      <c r="H453" s="55">
        <f>IF('Manual Blocks'!$F$97="","",'Manual Blocks'!$H$97)</f>
        <v/>
      </c>
      <c r="I453" s="55">
        <f>IF('Manual Blocks'!$F$97="","",IF('Manual Blocks'!$I$97="","MAN-096",'Manual Blocks'!$I$97))</f>
        <v/>
      </c>
    </row>
    <row r="454">
      <c r="A454" s="55">
        <f>IF('Manual Blocks'!$F$98="","",'Manual Blocks'!$A$98)</f>
        <v/>
      </c>
      <c r="B454" s="63">
        <f>IF('Manual Blocks'!$F$98="","",'Manual Blocks'!$B$98)</f>
        <v/>
      </c>
      <c r="C454" s="63">
        <f>IF('Manual Blocks'!$F$98="","",'Manual Blocks'!$C$98)</f>
        <v/>
      </c>
      <c r="D454" s="55">
        <f>IF('Manual Blocks'!$F$98="","",'Manual Blocks'!$D$98)</f>
        <v/>
      </c>
      <c r="E454" s="55">
        <f>IF('Manual Blocks'!$F$98="","",'Manual Blocks'!$E$98)</f>
        <v/>
      </c>
      <c r="F454" s="55">
        <f>IF('Manual Blocks'!$F$98="","",'Manual Blocks'!$F$98)</f>
        <v/>
      </c>
      <c r="G454" s="55">
        <f>IF('Manual Blocks'!$F$98="","",'Manual Blocks'!$G$98)</f>
        <v/>
      </c>
      <c r="H454" s="55">
        <f>IF('Manual Blocks'!$F$98="","",'Manual Blocks'!$H$98)</f>
        <v/>
      </c>
      <c r="I454" s="55">
        <f>IF('Manual Blocks'!$F$98="","",IF('Manual Blocks'!$I$98="","MAN-097",'Manual Blocks'!$I$98))</f>
        <v/>
      </c>
    </row>
    <row r="455">
      <c r="A455" s="55">
        <f>IF('Manual Blocks'!$F$99="","",'Manual Blocks'!$A$99)</f>
        <v/>
      </c>
      <c r="B455" s="63">
        <f>IF('Manual Blocks'!$F$99="","",'Manual Blocks'!$B$99)</f>
        <v/>
      </c>
      <c r="C455" s="63">
        <f>IF('Manual Blocks'!$F$99="","",'Manual Blocks'!$C$99)</f>
        <v/>
      </c>
      <c r="D455" s="55">
        <f>IF('Manual Blocks'!$F$99="","",'Manual Blocks'!$D$99)</f>
        <v/>
      </c>
      <c r="E455" s="55">
        <f>IF('Manual Blocks'!$F$99="","",'Manual Blocks'!$E$99)</f>
        <v/>
      </c>
      <c r="F455" s="55">
        <f>IF('Manual Blocks'!$F$99="","",'Manual Blocks'!$F$99)</f>
        <v/>
      </c>
      <c r="G455" s="55">
        <f>IF('Manual Blocks'!$F$99="","",'Manual Blocks'!$G$99)</f>
        <v/>
      </c>
      <c r="H455" s="55">
        <f>IF('Manual Blocks'!$F$99="","",'Manual Blocks'!$H$99)</f>
        <v/>
      </c>
      <c r="I455" s="55">
        <f>IF('Manual Blocks'!$F$99="","",IF('Manual Blocks'!$I$99="","MAN-098",'Manual Blocks'!$I$99))</f>
        <v/>
      </c>
    </row>
    <row r="456">
      <c r="A456" s="55">
        <f>IF('Manual Blocks'!$F$100="","",'Manual Blocks'!$A$100)</f>
        <v/>
      </c>
      <c r="B456" s="63">
        <f>IF('Manual Blocks'!$F$100="","",'Manual Blocks'!$B$100)</f>
        <v/>
      </c>
      <c r="C456" s="63">
        <f>IF('Manual Blocks'!$F$100="","",'Manual Blocks'!$C$100)</f>
        <v/>
      </c>
      <c r="D456" s="55">
        <f>IF('Manual Blocks'!$F$100="","",'Manual Blocks'!$D$100)</f>
        <v/>
      </c>
      <c r="E456" s="55">
        <f>IF('Manual Blocks'!$F$100="","",'Manual Blocks'!$E$100)</f>
        <v/>
      </c>
      <c r="F456" s="55">
        <f>IF('Manual Blocks'!$F$100="","",'Manual Blocks'!$F$100)</f>
        <v/>
      </c>
      <c r="G456" s="55">
        <f>IF('Manual Blocks'!$F$100="","",'Manual Blocks'!$G$100)</f>
        <v/>
      </c>
      <c r="H456" s="55">
        <f>IF('Manual Blocks'!$F$100="","",'Manual Blocks'!$H$100)</f>
        <v/>
      </c>
      <c r="I456" s="55">
        <f>IF('Manual Blocks'!$F$100="","",IF('Manual Blocks'!$I$100="","MAN-099",'Manual Blocks'!$I$100))</f>
        <v/>
      </c>
    </row>
    <row r="457">
      <c r="A457" s="55">
        <f>IF('Manual Blocks'!$F$101="","",'Manual Blocks'!$A$101)</f>
        <v/>
      </c>
      <c r="B457" s="63">
        <f>IF('Manual Blocks'!$F$101="","",'Manual Blocks'!$B$101)</f>
        <v/>
      </c>
      <c r="C457" s="63">
        <f>IF('Manual Blocks'!$F$101="","",'Manual Blocks'!$C$101)</f>
        <v/>
      </c>
      <c r="D457" s="55">
        <f>IF('Manual Blocks'!$F$101="","",'Manual Blocks'!$D$101)</f>
        <v/>
      </c>
      <c r="E457" s="55">
        <f>IF('Manual Blocks'!$F$101="","",'Manual Blocks'!$E$101)</f>
        <v/>
      </c>
      <c r="F457" s="55">
        <f>IF('Manual Blocks'!$F$101="","",'Manual Blocks'!$F$101)</f>
        <v/>
      </c>
      <c r="G457" s="55">
        <f>IF('Manual Blocks'!$F$101="","",'Manual Blocks'!$G$101)</f>
        <v/>
      </c>
      <c r="H457" s="55">
        <f>IF('Manual Blocks'!$F$101="","",'Manual Blocks'!$H$101)</f>
        <v/>
      </c>
      <c r="I457" s="55">
        <f>IF('Manual Blocks'!$F$101="","",IF('Manual Blocks'!$I$101="","MAN-100",'Manual Blocks'!$I$101))</f>
        <v/>
      </c>
    </row>
    <row r="458">
      <c r="A458" s="55">
        <f>IF('Manual Blocks'!$F$102="","",'Manual Blocks'!$A$102)</f>
        <v/>
      </c>
      <c r="B458" s="63">
        <f>IF('Manual Blocks'!$F$102="","",'Manual Blocks'!$B$102)</f>
        <v/>
      </c>
      <c r="C458" s="63">
        <f>IF('Manual Blocks'!$F$102="","",'Manual Blocks'!$C$102)</f>
        <v/>
      </c>
      <c r="D458" s="55">
        <f>IF('Manual Blocks'!$F$102="","",'Manual Blocks'!$D$102)</f>
        <v/>
      </c>
      <c r="E458" s="55">
        <f>IF('Manual Blocks'!$F$102="","",'Manual Blocks'!$E$102)</f>
        <v/>
      </c>
      <c r="F458" s="55">
        <f>IF('Manual Blocks'!$F$102="","",'Manual Blocks'!$F$102)</f>
        <v/>
      </c>
      <c r="G458" s="55">
        <f>IF('Manual Blocks'!$F$102="","",'Manual Blocks'!$G$102)</f>
        <v/>
      </c>
      <c r="H458" s="55">
        <f>IF('Manual Blocks'!$F$102="","",'Manual Blocks'!$H$102)</f>
        <v/>
      </c>
      <c r="I458" s="55">
        <f>IF('Manual Blocks'!$F$102="","",IF('Manual Blocks'!$I$102="","MAN-101",'Manual Blocks'!$I$102))</f>
        <v/>
      </c>
    </row>
    <row r="459">
      <c r="A459" s="55">
        <f>IF('Manual Blocks'!$F$103="","",'Manual Blocks'!$A$103)</f>
        <v/>
      </c>
      <c r="B459" s="63">
        <f>IF('Manual Blocks'!$F$103="","",'Manual Blocks'!$B$103)</f>
        <v/>
      </c>
      <c r="C459" s="63">
        <f>IF('Manual Blocks'!$F$103="","",'Manual Blocks'!$C$103)</f>
        <v/>
      </c>
      <c r="D459" s="55">
        <f>IF('Manual Blocks'!$F$103="","",'Manual Blocks'!$D$103)</f>
        <v/>
      </c>
      <c r="E459" s="55">
        <f>IF('Manual Blocks'!$F$103="","",'Manual Blocks'!$E$103)</f>
        <v/>
      </c>
      <c r="F459" s="55">
        <f>IF('Manual Blocks'!$F$103="","",'Manual Blocks'!$F$103)</f>
        <v/>
      </c>
      <c r="G459" s="55">
        <f>IF('Manual Blocks'!$F$103="","",'Manual Blocks'!$G$103)</f>
        <v/>
      </c>
      <c r="H459" s="55">
        <f>IF('Manual Blocks'!$F$103="","",'Manual Blocks'!$H$103)</f>
        <v/>
      </c>
      <c r="I459" s="55">
        <f>IF('Manual Blocks'!$F$103="","",IF('Manual Blocks'!$I$103="","MAN-102",'Manual Blocks'!$I$103))</f>
        <v/>
      </c>
    </row>
    <row r="460">
      <c r="A460" s="55">
        <f>IF('Manual Blocks'!$F$104="","",'Manual Blocks'!$A$104)</f>
        <v/>
      </c>
      <c r="B460" s="63">
        <f>IF('Manual Blocks'!$F$104="","",'Manual Blocks'!$B$104)</f>
        <v/>
      </c>
      <c r="C460" s="63">
        <f>IF('Manual Blocks'!$F$104="","",'Manual Blocks'!$C$104)</f>
        <v/>
      </c>
      <c r="D460" s="55">
        <f>IF('Manual Blocks'!$F$104="","",'Manual Blocks'!$D$104)</f>
        <v/>
      </c>
      <c r="E460" s="55">
        <f>IF('Manual Blocks'!$F$104="","",'Manual Blocks'!$E$104)</f>
        <v/>
      </c>
      <c r="F460" s="55">
        <f>IF('Manual Blocks'!$F$104="","",'Manual Blocks'!$F$104)</f>
        <v/>
      </c>
      <c r="G460" s="55">
        <f>IF('Manual Blocks'!$F$104="","",'Manual Blocks'!$G$104)</f>
        <v/>
      </c>
      <c r="H460" s="55">
        <f>IF('Manual Blocks'!$F$104="","",'Manual Blocks'!$H$104)</f>
        <v/>
      </c>
      <c r="I460" s="55">
        <f>IF('Manual Blocks'!$F$104="","",IF('Manual Blocks'!$I$104="","MAN-103",'Manual Blocks'!$I$104))</f>
        <v/>
      </c>
    </row>
    <row r="461">
      <c r="A461" s="55">
        <f>IF('Manual Blocks'!$F$105="","",'Manual Blocks'!$A$105)</f>
        <v/>
      </c>
      <c r="B461" s="63">
        <f>IF('Manual Blocks'!$F$105="","",'Manual Blocks'!$B$105)</f>
        <v/>
      </c>
      <c r="C461" s="63">
        <f>IF('Manual Blocks'!$F$105="","",'Manual Blocks'!$C$105)</f>
        <v/>
      </c>
      <c r="D461" s="55">
        <f>IF('Manual Blocks'!$F$105="","",'Manual Blocks'!$D$105)</f>
        <v/>
      </c>
      <c r="E461" s="55">
        <f>IF('Manual Blocks'!$F$105="","",'Manual Blocks'!$E$105)</f>
        <v/>
      </c>
      <c r="F461" s="55">
        <f>IF('Manual Blocks'!$F$105="","",'Manual Blocks'!$F$105)</f>
        <v/>
      </c>
      <c r="G461" s="55">
        <f>IF('Manual Blocks'!$F$105="","",'Manual Blocks'!$G$105)</f>
        <v/>
      </c>
      <c r="H461" s="55">
        <f>IF('Manual Blocks'!$F$105="","",'Manual Blocks'!$H$105)</f>
        <v/>
      </c>
      <c r="I461" s="55">
        <f>IF('Manual Blocks'!$F$105="","",IF('Manual Blocks'!$I$105="","MAN-104",'Manual Blocks'!$I$105))</f>
        <v/>
      </c>
    </row>
    <row r="462">
      <c r="A462" s="55">
        <f>IF('Manual Blocks'!$F$106="","",'Manual Blocks'!$A$106)</f>
        <v/>
      </c>
      <c r="B462" s="63">
        <f>IF('Manual Blocks'!$F$106="","",'Manual Blocks'!$B$106)</f>
        <v/>
      </c>
      <c r="C462" s="63">
        <f>IF('Manual Blocks'!$F$106="","",'Manual Blocks'!$C$106)</f>
        <v/>
      </c>
      <c r="D462" s="55">
        <f>IF('Manual Blocks'!$F$106="","",'Manual Blocks'!$D$106)</f>
        <v/>
      </c>
      <c r="E462" s="55">
        <f>IF('Manual Blocks'!$F$106="","",'Manual Blocks'!$E$106)</f>
        <v/>
      </c>
      <c r="F462" s="55">
        <f>IF('Manual Blocks'!$F$106="","",'Manual Blocks'!$F$106)</f>
        <v/>
      </c>
      <c r="G462" s="55">
        <f>IF('Manual Blocks'!$F$106="","",'Manual Blocks'!$G$106)</f>
        <v/>
      </c>
      <c r="H462" s="55">
        <f>IF('Manual Blocks'!$F$106="","",'Manual Blocks'!$H$106)</f>
        <v/>
      </c>
      <c r="I462" s="55">
        <f>IF('Manual Blocks'!$F$106="","",IF('Manual Blocks'!$I$106="","MAN-105",'Manual Blocks'!$I$106))</f>
        <v/>
      </c>
    </row>
    <row r="463">
      <c r="A463" s="55">
        <f>IF('Manual Blocks'!$F$107="","",'Manual Blocks'!$A$107)</f>
        <v/>
      </c>
      <c r="B463" s="63">
        <f>IF('Manual Blocks'!$F$107="","",'Manual Blocks'!$B$107)</f>
        <v/>
      </c>
      <c r="C463" s="63">
        <f>IF('Manual Blocks'!$F$107="","",'Manual Blocks'!$C$107)</f>
        <v/>
      </c>
      <c r="D463" s="55">
        <f>IF('Manual Blocks'!$F$107="","",'Manual Blocks'!$D$107)</f>
        <v/>
      </c>
      <c r="E463" s="55">
        <f>IF('Manual Blocks'!$F$107="","",'Manual Blocks'!$E$107)</f>
        <v/>
      </c>
      <c r="F463" s="55">
        <f>IF('Manual Blocks'!$F$107="","",'Manual Blocks'!$F$107)</f>
        <v/>
      </c>
      <c r="G463" s="55">
        <f>IF('Manual Blocks'!$F$107="","",'Manual Blocks'!$G$107)</f>
        <v/>
      </c>
      <c r="H463" s="55">
        <f>IF('Manual Blocks'!$F$107="","",'Manual Blocks'!$H$107)</f>
        <v/>
      </c>
      <c r="I463" s="55">
        <f>IF('Manual Blocks'!$F$107="","",IF('Manual Blocks'!$I$107="","MAN-106",'Manual Blocks'!$I$107))</f>
        <v/>
      </c>
    </row>
    <row r="464">
      <c r="A464" s="55">
        <f>IF('Manual Blocks'!$F$108="","",'Manual Blocks'!$A$108)</f>
        <v/>
      </c>
      <c r="B464" s="63">
        <f>IF('Manual Blocks'!$F$108="","",'Manual Blocks'!$B$108)</f>
        <v/>
      </c>
      <c r="C464" s="63">
        <f>IF('Manual Blocks'!$F$108="","",'Manual Blocks'!$C$108)</f>
        <v/>
      </c>
      <c r="D464" s="55">
        <f>IF('Manual Blocks'!$F$108="","",'Manual Blocks'!$D$108)</f>
        <v/>
      </c>
      <c r="E464" s="55">
        <f>IF('Manual Blocks'!$F$108="","",'Manual Blocks'!$E$108)</f>
        <v/>
      </c>
      <c r="F464" s="55">
        <f>IF('Manual Blocks'!$F$108="","",'Manual Blocks'!$F$108)</f>
        <v/>
      </c>
      <c r="G464" s="55">
        <f>IF('Manual Blocks'!$F$108="","",'Manual Blocks'!$G$108)</f>
        <v/>
      </c>
      <c r="H464" s="55">
        <f>IF('Manual Blocks'!$F$108="","",'Manual Blocks'!$H$108)</f>
        <v/>
      </c>
      <c r="I464" s="55">
        <f>IF('Manual Blocks'!$F$108="","",IF('Manual Blocks'!$I$108="","MAN-107",'Manual Blocks'!$I$108))</f>
        <v/>
      </c>
    </row>
    <row r="465">
      <c r="A465" s="55">
        <f>IF('Manual Blocks'!$F$109="","",'Manual Blocks'!$A$109)</f>
        <v/>
      </c>
      <c r="B465" s="63">
        <f>IF('Manual Blocks'!$F$109="","",'Manual Blocks'!$B$109)</f>
        <v/>
      </c>
      <c r="C465" s="63">
        <f>IF('Manual Blocks'!$F$109="","",'Manual Blocks'!$C$109)</f>
        <v/>
      </c>
      <c r="D465" s="55">
        <f>IF('Manual Blocks'!$F$109="","",'Manual Blocks'!$D$109)</f>
        <v/>
      </c>
      <c r="E465" s="55">
        <f>IF('Manual Blocks'!$F$109="","",'Manual Blocks'!$E$109)</f>
        <v/>
      </c>
      <c r="F465" s="55">
        <f>IF('Manual Blocks'!$F$109="","",'Manual Blocks'!$F$109)</f>
        <v/>
      </c>
      <c r="G465" s="55">
        <f>IF('Manual Blocks'!$F$109="","",'Manual Blocks'!$G$109)</f>
        <v/>
      </c>
      <c r="H465" s="55">
        <f>IF('Manual Blocks'!$F$109="","",'Manual Blocks'!$H$109)</f>
        <v/>
      </c>
      <c r="I465" s="55">
        <f>IF('Manual Blocks'!$F$109="","",IF('Manual Blocks'!$I$109="","MAN-108",'Manual Blocks'!$I$109))</f>
        <v/>
      </c>
    </row>
    <row r="466">
      <c r="A466" s="55">
        <f>IF('Manual Blocks'!$F$110="","",'Manual Blocks'!$A$110)</f>
        <v/>
      </c>
      <c r="B466" s="63">
        <f>IF('Manual Blocks'!$F$110="","",'Manual Blocks'!$B$110)</f>
        <v/>
      </c>
      <c r="C466" s="63">
        <f>IF('Manual Blocks'!$F$110="","",'Manual Blocks'!$C$110)</f>
        <v/>
      </c>
      <c r="D466" s="55">
        <f>IF('Manual Blocks'!$F$110="","",'Manual Blocks'!$D$110)</f>
        <v/>
      </c>
      <c r="E466" s="55">
        <f>IF('Manual Blocks'!$F$110="","",'Manual Blocks'!$E$110)</f>
        <v/>
      </c>
      <c r="F466" s="55">
        <f>IF('Manual Blocks'!$F$110="","",'Manual Blocks'!$F$110)</f>
        <v/>
      </c>
      <c r="G466" s="55">
        <f>IF('Manual Blocks'!$F$110="","",'Manual Blocks'!$G$110)</f>
        <v/>
      </c>
      <c r="H466" s="55">
        <f>IF('Manual Blocks'!$F$110="","",'Manual Blocks'!$H$110)</f>
        <v/>
      </c>
      <c r="I466" s="55">
        <f>IF('Manual Blocks'!$F$110="","",IF('Manual Blocks'!$I$110="","MAN-109",'Manual Blocks'!$I$110))</f>
        <v/>
      </c>
    </row>
    <row r="467">
      <c r="A467" s="55">
        <f>IF('Manual Blocks'!$F$111="","",'Manual Blocks'!$A$111)</f>
        <v/>
      </c>
      <c r="B467" s="63">
        <f>IF('Manual Blocks'!$F$111="","",'Manual Blocks'!$B$111)</f>
        <v/>
      </c>
      <c r="C467" s="63">
        <f>IF('Manual Blocks'!$F$111="","",'Manual Blocks'!$C$111)</f>
        <v/>
      </c>
      <c r="D467" s="55">
        <f>IF('Manual Blocks'!$F$111="","",'Manual Blocks'!$D$111)</f>
        <v/>
      </c>
      <c r="E467" s="55">
        <f>IF('Manual Blocks'!$F$111="","",'Manual Blocks'!$E$111)</f>
        <v/>
      </c>
      <c r="F467" s="55">
        <f>IF('Manual Blocks'!$F$111="","",'Manual Blocks'!$F$111)</f>
        <v/>
      </c>
      <c r="G467" s="55">
        <f>IF('Manual Blocks'!$F$111="","",'Manual Blocks'!$G$111)</f>
        <v/>
      </c>
      <c r="H467" s="55">
        <f>IF('Manual Blocks'!$F$111="","",'Manual Blocks'!$H$111)</f>
        <v/>
      </c>
      <c r="I467" s="55">
        <f>IF('Manual Blocks'!$F$111="","",IF('Manual Blocks'!$I$111="","MAN-110",'Manual Blocks'!$I$111))</f>
        <v/>
      </c>
    </row>
    <row r="468">
      <c r="A468" s="55">
        <f>IF('Manual Blocks'!$F$112="","",'Manual Blocks'!$A$112)</f>
        <v/>
      </c>
      <c r="B468" s="63">
        <f>IF('Manual Blocks'!$F$112="","",'Manual Blocks'!$B$112)</f>
        <v/>
      </c>
      <c r="C468" s="63">
        <f>IF('Manual Blocks'!$F$112="","",'Manual Blocks'!$C$112)</f>
        <v/>
      </c>
      <c r="D468" s="55">
        <f>IF('Manual Blocks'!$F$112="","",'Manual Blocks'!$D$112)</f>
        <v/>
      </c>
      <c r="E468" s="55">
        <f>IF('Manual Blocks'!$F$112="","",'Manual Blocks'!$E$112)</f>
        <v/>
      </c>
      <c r="F468" s="55">
        <f>IF('Manual Blocks'!$F$112="","",'Manual Blocks'!$F$112)</f>
        <v/>
      </c>
      <c r="G468" s="55">
        <f>IF('Manual Blocks'!$F$112="","",'Manual Blocks'!$G$112)</f>
        <v/>
      </c>
      <c r="H468" s="55">
        <f>IF('Manual Blocks'!$F$112="","",'Manual Blocks'!$H$112)</f>
        <v/>
      </c>
      <c r="I468" s="55">
        <f>IF('Manual Blocks'!$F$112="","",IF('Manual Blocks'!$I$112="","MAN-111",'Manual Blocks'!$I$112))</f>
        <v/>
      </c>
    </row>
    <row r="469">
      <c r="A469" s="55">
        <f>IF('Manual Blocks'!$F$113="","",'Manual Blocks'!$A$113)</f>
        <v/>
      </c>
      <c r="B469" s="63">
        <f>IF('Manual Blocks'!$F$113="","",'Manual Blocks'!$B$113)</f>
        <v/>
      </c>
      <c r="C469" s="63">
        <f>IF('Manual Blocks'!$F$113="","",'Manual Blocks'!$C$113)</f>
        <v/>
      </c>
      <c r="D469" s="55">
        <f>IF('Manual Blocks'!$F$113="","",'Manual Blocks'!$D$113)</f>
        <v/>
      </c>
      <c r="E469" s="55">
        <f>IF('Manual Blocks'!$F$113="","",'Manual Blocks'!$E$113)</f>
        <v/>
      </c>
      <c r="F469" s="55">
        <f>IF('Manual Blocks'!$F$113="","",'Manual Blocks'!$F$113)</f>
        <v/>
      </c>
      <c r="G469" s="55">
        <f>IF('Manual Blocks'!$F$113="","",'Manual Blocks'!$G$113)</f>
        <v/>
      </c>
      <c r="H469" s="55">
        <f>IF('Manual Blocks'!$F$113="","",'Manual Blocks'!$H$113)</f>
        <v/>
      </c>
      <c r="I469" s="55">
        <f>IF('Manual Blocks'!$F$113="","",IF('Manual Blocks'!$I$113="","MAN-112",'Manual Blocks'!$I$113))</f>
        <v/>
      </c>
    </row>
    <row r="470">
      <c r="A470" s="55">
        <f>IF('Manual Blocks'!$F$114="","",'Manual Blocks'!$A$114)</f>
        <v/>
      </c>
      <c r="B470" s="63">
        <f>IF('Manual Blocks'!$F$114="","",'Manual Blocks'!$B$114)</f>
        <v/>
      </c>
      <c r="C470" s="63">
        <f>IF('Manual Blocks'!$F$114="","",'Manual Blocks'!$C$114)</f>
        <v/>
      </c>
      <c r="D470" s="55">
        <f>IF('Manual Blocks'!$F$114="","",'Manual Blocks'!$D$114)</f>
        <v/>
      </c>
      <c r="E470" s="55">
        <f>IF('Manual Blocks'!$F$114="","",'Manual Blocks'!$E$114)</f>
        <v/>
      </c>
      <c r="F470" s="55">
        <f>IF('Manual Blocks'!$F$114="","",'Manual Blocks'!$F$114)</f>
        <v/>
      </c>
      <c r="G470" s="55">
        <f>IF('Manual Blocks'!$F$114="","",'Manual Blocks'!$G$114)</f>
        <v/>
      </c>
      <c r="H470" s="55">
        <f>IF('Manual Blocks'!$F$114="","",'Manual Blocks'!$H$114)</f>
        <v/>
      </c>
      <c r="I470" s="55">
        <f>IF('Manual Blocks'!$F$114="","",IF('Manual Blocks'!$I$114="","MAN-113",'Manual Blocks'!$I$114))</f>
        <v/>
      </c>
    </row>
    <row r="471">
      <c r="A471" s="55">
        <f>IF('Manual Blocks'!$F$115="","",'Manual Blocks'!$A$115)</f>
        <v/>
      </c>
      <c r="B471" s="63">
        <f>IF('Manual Blocks'!$F$115="","",'Manual Blocks'!$B$115)</f>
        <v/>
      </c>
      <c r="C471" s="63">
        <f>IF('Manual Blocks'!$F$115="","",'Manual Blocks'!$C$115)</f>
        <v/>
      </c>
      <c r="D471" s="55">
        <f>IF('Manual Blocks'!$F$115="","",'Manual Blocks'!$D$115)</f>
        <v/>
      </c>
      <c r="E471" s="55">
        <f>IF('Manual Blocks'!$F$115="","",'Manual Blocks'!$E$115)</f>
        <v/>
      </c>
      <c r="F471" s="55">
        <f>IF('Manual Blocks'!$F$115="","",'Manual Blocks'!$F$115)</f>
        <v/>
      </c>
      <c r="G471" s="55">
        <f>IF('Manual Blocks'!$F$115="","",'Manual Blocks'!$G$115)</f>
        <v/>
      </c>
      <c r="H471" s="55">
        <f>IF('Manual Blocks'!$F$115="","",'Manual Blocks'!$H$115)</f>
        <v/>
      </c>
      <c r="I471" s="55">
        <f>IF('Manual Blocks'!$F$115="","",IF('Manual Blocks'!$I$115="","MAN-114",'Manual Blocks'!$I$115))</f>
        <v/>
      </c>
    </row>
    <row r="472">
      <c r="A472" s="55">
        <f>IF('Manual Blocks'!$F$116="","",'Manual Blocks'!$A$116)</f>
        <v/>
      </c>
      <c r="B472" s="63">
        <f>IF('Manual Blocks'!$F$116="","",'Manual Blocks'!$B$116)</f>
        <v/>
      </c>
      <c r="C472" s="63">
        <f>IF('Manual Blocks'!$F$116="","",'Manual Blocks'!$C$116)</f>
        <v/>
      </c>
      <c r="D472" s="55">
        <f>IF('Manual Blocks'!$F$116="","",'Manual Blocks'!$D$116)</f>
        <v/>
      </c>
      <c r="E472" s="55">
        <f>IF('Manual Blocks'!$F$116="","",'Manual Blocks'!$E$116)</f>
        <v/>
      </c>
      <c r="F472" s="55">
        <f>IF('Manual Blocks'!$F$116="","",'Manual Blocks'!$F$116)</f>
        <v/>
      </c>
      <c r="G472" s="55">
        <f>IF('Manual Blocks'!$F$116="","",'Manual Blocks'!$G$116)</f>
        <v/>
      </c>
      <c r="H472" s="55">
        <f>IF('Manual Blocks'!$F$116="","",'Manual Blocks'!$H$116)</f>
        <v/>
      </c>
      <c r="I472" s="55">
        <f>IF('Manual Blocks'!$F$116="","",IF('Manual Blocks'!$I$116="","MAN-115",'Manual Blocks'!$I$116))</f>
        <v/>
      </c>
    </row>
    <row r="473">
      <c r="A473" s="55">
        <f>IF('Manual Blocks'!$F$117="","",'Manual Blocks'!$A$117)</f>
        <v/>
      </c>
      <c r="B473" s="63">
        <f>IF('Manual Blocks'!$F$117="","",'Manual Blocks'!$B$117)</f>
        <v/>
      </c>
      <c r="C473" s="63">
        <f>IF('Manual Blocks'!$F$117="","",'Manual Blocks'!$C$117)</f>
        <v/>
      </c>
      <c r="D473" s="55">
        <f>IF('Manual Blocks'!$F$117="","",'Manual Blocks'!$D$117)</f>
        <v/>
      </c>
      <c r="E473" s="55">
        <f>IF('Manual Blocks'!$F$117="","",'Manual Blocks'!$E$117)</f>
        <v/>
      </c>
      <c r="F473" s="55">
        <f>IF('Manual Blocks'!$F$117="","",'Manual Blocks'!$F$117)</f>
        <v/>
      </c>
      <c r="G473" s="55">
        <f>IF('Manual Blocks'!$F$117="","",'Manual Blocks'!$G$117)</f>
        <v/>
      </c>
      <c r="H473" s="55">
        <f>IF('Manual Blocks'!$F$117="","",'Manual Blocks'!$H$117)</f>
        <v/>
      </c>
      <c r="I473" s="55">
        <f>IF('Manual Blocks'!$F$117="","",IF('Manual Blocks'!$I$117="","MAN-116",'Manual Blocks'!$I$117))</f>
        <v/>
      </c>
    </row>
    <row r="474">
      <c r="A474" s="55">
        <f>IF('Manual Blocks'!$F$118="","",'Manual Blocks'!$A$118)</f>
        <v/>
      </c>
      <c r="B474" s="63">
        <f>IF('Manual Blocks'!$F$118="","",'Manual Blocks'!$B$118)</f>
        <v/>
      </c>
      <c r="C474" s="63">
        <f>IF('Manual Blocks'!$F$118="","",'Manual Blocks'!$C$118)</f>
        <v/>
      </c>
      <c r="D474" s="55">
        <f>IF('Manual Blocks'!$F$118="","",'Manual Blocks'!$D$118)</f>
        <v/>
      </c>
      <c r="E474" s="55">
        <f>IF('Manual Blocks'!$F$118="","",'Manual Blocks'!$E$118)</f>
        <v/>
      </c>
      <c r="F474" s="55">
        <f>IF('Manual Blocks'!$F$118="","",'Manual Blocks'!$F$118)</f>
        <v/>
      </c>
      <c r="G474" s="55">
        <f>IF('Manual Blocks'!$F$118="","",'Manual Blocks'!$G$118)</f>
        <v/>
      </c>
      <c r="H474" s="55">
        <f>IF('Manual Blocks'!$F$118="","",'Manual Blocks'!$H$118)</f>
        <v/>
      </c>
      <c r="I474" s="55">
        <f>IF('Manual Blocks'!$F$118="","",IF('Manual Blocks'!$I$118="","MAN-117",'Manual Blocks'!$I$118))</f>
        <v/>
      </c>
    </row>
    <row r="475">
      <c r="A475" s="55">
        <f>IF('Manual Blocks'!$F$119="","",'Manual Blocks'!$A$119)</f>
        <v/>
      </c>
      <c r="B475" s="63">
        <f>IF('Manual Blocks'!$F$119="","",'Manual Blocks'!$B$119)</f>
        <v/>
      </c>
      <c r="C475" s="63">
        <f>IF('Manual Blocks'!$F$119="","",'Manual Blocks'!$C$119)</f>
        <v/>
      </c>
      <c r="D475" s="55">
        <f>IF('Manual Blocks'!$F$119="","",'Manual Blocks'!$D$119)</f>
        <v/>
      </c>
      <c r="E475" s="55">
        <f>IF('Manual Blocks'!$F$119="","",'Manual Blocks'!$E$119)</f>
        <v/>
      </c>
      <c r="F475" s="55">
        <f>IF('Manual Blocks'!$F$119="","",'Manual Blocks'!$F$119)</f>
        <v/>
      </c>
      <c r="G475" s="55">
        <f>IF('Manual Blocks'!$F$119="","",'Manual Blocks'!$G$119)</f>
        <v/>
      </c>
      <c r="H475" s="55">
        <f>IF('Manual Blocks'!$F$119="","",'Manual Blocks'!$H$119)</f>
        <v/>
      </c>
      <c r="I475" s="55">
        <f>IF('Manual Blocks'!$F$119="","",IF('Manual Blocks'!$I$119="","MAN-118",'Manual Blocks'!$I$119))</f>
        <v/>
      </c>
    </row>
    <row r="476">
      <c r="A476" s="55">
        <f>IF('Manual Blocks'!$F$120="","",'Manual Blocks'!$A$120)</f>
        <v/>
      </c>
      <c r="B476" s="63">
        <f>IF('Manual Blocks'!$F$120="","",'Manual Blocks'!$B$120)</f>
        <v/>
      </c>
      <c r="C476" s="63">
        <f>IF('Manual Blocks'!$F$120="","",'Manual Blocks'!$C$120)</f>
        <v/>
      </c>
      <c r="D476" s="55">
        <f>IF('Manual Blocks'!$F$120="","",'Manual Blocks'!$D$120)</f>
        <v/>
      </c>
      <c r="E476" s="55">
        <f>IF('Manual Blocks'!$F$120="","",'Manual Blocks'!$E$120)</f>
        <v/>
      </c>
      <c r="F476" s="55">
        <f>IF('Manual Blocks'!$F$120="","",'Manual Blocks'!$F$120)</f>
        <v/>
      </c>
      <c r="G476" s="55">
        <f>IF('Manual Blocks'!$F$120="","",'Manual Blocks'!$G$120)</f>
        <v/>
      </c>
      <c r="H476" s="55">
        <f>IF('Manual Blocks'!$F$120="","",'Manual Blocks'!$H$120)</f>
        <v/>
      </c>
      <c r="I476" s="55">
        <f>IF('Manual Blocks'!$F$120="","",IF('Manual Blocks'!$I$120="","MAN-119",'Manual Blocks'!$I$120))</f>
        <v/>
      </c>
    </row>
    <row r="477">
      <c r="A477" s="55">
        <f>IF('Manual Blocks'!$F$121="","",'Manual Blocks'!$A$121)</f>
        <v/>
      </c>
      <c r="B477" s="63">
        <f>IF('Manual Blocks'!$F$121="","",'Manual Blocks'!$B$121)</f>
        <v/>
      </c>
      <c r="C477" s="63">
        <f>IF('Manual Blocks'!$F$121="","",'Manual Blocks'!$C$121)</f>
        <v/>
      </c>
      <c r="D477" s="55">
        <f>IF('Manual Blocks'!$F$121="","",'Manual Blocks'!$D$121)</f>
        <v/>
      </c>
      <c r="E477" s="55">
        <f>IF('Manual Blocks'!$F$121="","",'Manual Blocks'!$E$121)</f>
        <v/>
      </c>
      <c r="F477" s="55">
        <f>IF('Manual Blocks'!$F$121="","",'Manual Blocks'!$F$121)</f>
        <v/>
      </c>
      <c r="G477" s="55">
        <f>IF('Manual Blocks'!$F$121="","",'Manual Blocks'!$G$121)</f>
        <v/>
      </c>
      <c r="H477" s="55">
        <f>IF('Manual Blocks'!$F$121="","",'Manual Blocks'!$H$121)</f>
        <v/>
      </c>
      <c r="I477" s="55">
        <f>IF('Manual Blocks'!$F$121="","",IF('Manual Blocks'!$I$121="","MAN-120",'Manual Blocks'!$I$121))</f>
        <v/>
      </c>
    </row>
    <row r="478">
      <c r="A478" s="55">
        <f>IF('Manual Blocks'!$F$122="","",'Manual Blocks'!$A$122)</f>
        <v/>
      </c>
      <c r="B478" s="63">
        <f>IF('Manual Blocks'!$F$122="","",'Manual Blocks'!$B$122)</f>
        <v/>
      </c>
      <c r="C478" s="63">
        <f>IF('Manual Blocks'!$F$122="","",'Manual Blocks'!$C$122)</f>
        <v/>
      </c>
      <c r="D478" s="55">
        <f>IF('Manual Blocks'!$F$122="","",'Manual Blocks'!$D$122)</f>
        <v/>
      </c>
      <c r="E478" s="55">
        <f>IF('Manual Blocks'!$F$122="","",'Manual Blocks'!$E$122)</f>
        <v/>
      </c>
      <c r="F478" s="55">
        <f>IF('Manual Blocks'!$F$122="","",'Manual Blocks'!$F$122)</f>
        <v/>
      </c>
      <c r="G478" s="55">
        <f>IF('Manual Blocks'!$F$122="","",'Manual Blocks'!$G$122)</f>
        <v/>
      </c>
      <c r="H478" s="55">
        <f>IF('Manual Blocks'!$F$122="","",'Manual Blocks'!$H$122)</f>
        <v/>
      </c>
      <c r="I478" s="55">
        <f>IF('Manual Blocks'!$F$122="","",IF('Manual Blocks'!$I$122="","MAN-121",'Manual Blocks'!$I$122))</f>
        <v/>
      </c>
    </row>
    <row r="479">
      <c r="A479" s="55">
        <f>IF('Manual Blocks'!$F$123="","",'Manual Blocks'!$A$123)</f>
        <v/>
      </c>
      <c r="B479" s="63">
        <f>IF('Manual Blocks'!$F$123="","",'Manual Blocks'!$B$123)</f>
        <v/>
      </c>
      <c r="C479" s="63">
        <f>IF('Manual Blocks'!$F$123="","",'Manual Blocks'!$C$123)</f>
        <v/>
      </c>
      <c r="D479" s="55">
        <f>IF('Manual Blocks'!$F$123="","",'Manual Blocks'!$D$123)</f>
        <v/>
      </c>
      <c r="E479" s="55">
        <f>IF('Manual Blocks'!$F$123="","",'Manual Blocks'!$E$123)</f>
        <v/>
      </c>
      <c r="F479" s="55">
        <f>IF('Manual Blocks'!$F$123="","",'Manual Blocks'!$F$123)</f>
        <v/>
      </c>
      <c r="G479" s="55">
        <f>IF('Manual Blocks'!$F$123="","",'Manual Blocks'!$G$123)</f>
        <v/>
      </c>
      <c r="H479" s="55">
        <f>IF('Manual Blocks'!$F$123="","",'Manual Blocks'!$H$123)</f>
        <v/>
      </c>
      <c r="I479" s="55">
        <f>IF('Manual Blocks'!$F$123="","",IF('Manual Blocks'!$I$123="","MAN-122",'Manual Blocks'!$I$123))</f>
        <v/>
      </c>
    </row>
    <row r="480">
      <c r="A480" s="55">
        <f>IF('Manual Blocks'!$F$124="","",'Manual Blocks'!$A$124)</f>
        <v/>
      </c>
      <c r="B480" s="63">
        <f>IF('Manual Blocks'!$F$124="","",'Manual Blocks'!$B$124)</f>
        <v/>
      </c>
      <c r="C480" s="63">
        <f>IF('Manual Blocks'!$F$124="","",'Manual Blocks'!$C$124)</f>
        <v/>
      </c>
      <c r="D480" s="55">
        <f>IF('Manual Blocks'!$F$124="","",'Manual Blocks'!$D$124)</f>
        <v/>
      </c>
      <c r="E480" s="55">
        <f>IF('Manual Blocks'!$F$124="","",'Manual Blocks'!$E$124)</f>
        <v/>
      </c>
      <c r="F480" s="55">
        <f>IF('Manual Blocks'!$F$124="","",'Manual Blocks'!$F$124)</f>
        <v/>
      </c>
      <c r="G480" s="55">
        <f>IF('Manual Blocks'!$F$124="","",'Manual Blocks'!$G$124)</f>
        <v/>
      </c>
      <c r="H480" s="55">
        <f>IF('Manual Blocks'!$F$124="","",'Manual Blocks'!$H$124)</f>
        <v/>
      </c>
      <c r="I480" s="55">
        <f>IF('Manual Blocks'!$F$124="","",IF('Manual Blocks'!$I$124="","MAN-123",'Manual Blocks'!$I$124))</f>
        <v/>
      </c>
    </row>
    <row r="481">
      <c r="A481" s="55">
        <f>IF('Manual Blocks'!$F$125="","",'Manual Blocks'!$A$125)</f>
        <v/>
      </c>
      <c r="B481" s="63">
        <f>IF('Manual Blocks'!$F$125="","",'Manual Blocks'!$B$125)</f>
        <v/>
      </c>
      <c r="C481" s="63">
        <f>IF('Manual Blocks'!$F$125="","",'Manual Blocks'!$C$125)</f>
        <v/>
      </c>
      <c r="D481" s="55">
        <f>IF('Manual Blocks'!$F$125="","",'Manual Blocks'!$D$125)</f>
        <v/>
      </c>
      <c r="E481" s="55">
        <f>IF('Manual Blocks'!$F$125="","",'Manual Blocks'!$E$125)</f>
        <v/>
      </c>
      <c r="F481" s="55">
        <f>IF('Manual Blocks'!$F$125="","",'Manual Blocks'!$F$125)</f>
        <v/>
      </c>
      <c r="G481" s="55">
        <f>IF('Manual Blocks'!$F$125="","",'Manual Blocks'!$G$125)</f>
        <v/>
      </c>
      <c r="H481" s="55">
        <f>IF('Manual Blocks'!$F$125="","",'Manual Blocks'!$H$125)</f>
        <v/>
      </c>
      <c r="I481" s="55">
        <f>IF('Manual Blocks'!$F$125="","",IF('Manual Blocks'!$I$125="","MAN-124",'Manual Blocks'!$I$125))</f>
        <v/>
      </c>
    </row>
    <row r="482">
      <c r="A482" s="55">
        <f>IF('Manual Blocks'!$F$126="","",'Manual Blocks'!$A$126)</f>
        <v/>
      </c>
      <c r="B482" s="63">
        <f>IF('Manual Blocks'!$F$126="","",'Manual Blocks'!$B$126)</f>
        <v/>
      </c>
      <c r="C482" s="63">
        <f>IF('Manual Blocks'!$F$126="","",'Manual Blocks'!$C$126)</f>
        <v/>
      </c>
      <c r="D482" s="55">
        <f>IF('Manual Blocks'!$F$126="","",'Manual Blocks'!$D$126)</f>
        <v/>
      </c>
      <c r="E482" s="55">
        <f>IF('Manual Blocks'!$F$126="","",'Manual Blocks'!$E$126)</f>
        <v/>
      </c>
      <c r="F482" s="55">
        <f>IF('Manual Blocks'!$F$126="","",'Manual Blocks'!$F$126)</f>
        <v/>
      </c>
      <c r="G482" s="55">
        <f>IF('Manual Blocks'!$F$126="","",'Manual Blocks'!$G$126)</f>
        <v/>
      </c>
      <c r="H482" s="55">
        <f>IF('Manual Blocks'!$F$126="","",'Manual Blocks'!$H$126)</f>
        <v/>
      </c>
      <c r="I482" s="55">
        <f>IF('Manual Blocks'!$F$126="","",IF('Manual Blocks'!$I$126="","MAN-125",'Manual Blocks'!$I$126))</f>
        <v/>
      </c>
    </row>
    <row r="483">
      <c r="A483" s="55">
        <f>IF('Manual Blocks'!$F$127="","",'Manual Blocks'!$A$127)</f>
        <v/>
      </c>
      <c r="B483" s="63">
        <f>IF('Manual Blocks'!$F$127="","",'Manual Blocks'!$B$127)</f>
        <v/>
      </c>
      <c r="C483" s="63">
        <f>IF('Manual Blocks'!$F$127="","",'Manual Blocks'!$C$127)</f>
        <v/>
      </c>
      <c r="D483" s="55">
        <f>IF('Manual Blocks'!$F$127="","",'Manual Blocks'!$D$127)</f>
        <v/>
      </c>
      <c r="E483" s="55">
        <f>IF('Manual Blocks'!$F$127="","",'Manual Blocks'!$E$127)</f>
        <v/>
      </c>
      <c r="F483" s="55">
        <f>IF('Manual Blocks'!$F$127="","",'Manual Blocks'!$F$127)</f>
        <v/>
      </c>
      <c r="G483" s="55">
        <f>IF('Manual Blocks'!$F$127="","",'Manual Blocks'!$G$127)</f>
        <v/>
      </c>
      <c r="H483" s="55">
        <f>IF('Manual Blocks'!$F$127="","",'Manual Blocks'!$H$127)</f>
        <v/>
      </c>
      <c r="I483" s="55">
        <f>IF('Manual Blocks'!$F$127="","",IF('Manual Blocks'!$I$127="","MAN-126",'Manual Blocks'!$I$127))</f>
        <v/>
      </c>
    </row>
    <row r="484">
      <c r="A484" s="55">
        <f>IF('Manual Blocks'!$F$128="","",'Manual Blocks'!$A$128)</f>
        <v/>
      </c>
      <c r="B484" s="63">
        <f>IF('Manual Blocks'!$F$128="","",'Manual Blocks'!$B$128)</f>
        <v/>
      </c>
      <c r="C484" s="63">
        <f>IF('Manual Blocks'!$F$128="","",'Manual Blocks'!$C$128)</f>
        <v/>
      </c>
      <c r="D484" s="55">
        <f>IF('Manual Blocks'!$F$128="","",'Manual Blocks'!$D$128)</f>
        <v/>
      </c>
      <c r="E484" s="55">
        <f>IF('Manual Blocks'!$F$128="","",'Manual Blocks'!$E$128)</f>
        <v/>
      </c>
      <c r="F484" s="55">
        <f>IF('Manual Blocks'!$F$128="","",'Manual Blocks'!$F$128)</f>
        <v/>
      </c>
      <c r="G484" s="55">
        <f>IF('Manual Blocks'!$F$128="","",'Manual Blocks'!$G$128)</f>
        <v/>
      </c>
      <c r="H484" s="55">
        <f>IF('Manual Blocks'!$F$128="","",'Manual Blocks'!$H$128)</f>
        <v/>
      </c>
      <c r="I484" s="55">
        <f>IF('Manual Blocks'!$F$128="","",IF('Manual Blocks'!$I$128="","MAN-127",'Manual Blocks'!$I$128))</f>
        <v/>
      </c>
    </row>
    <row r="485">
      <c r="A485" s="55">
        <f>IF('Manual Blocks'!$F$129="","",'Manual Blocks'!$A$129)</f>
        <v/>
      </c>
      <c r="B485" s="63">
        <f>IF('Manual Blocks'!$F$129="","",'Manual Blocks'!$B$129)</f>
        <v/>
      </c>
      <c r="C485" s="63">
        <f>IF('Manual Blocks'!$F$129="","",'Manual Blocks'!$C$129)</f>
        <v/>
      </c>
      <c r="D485" s="55">
        <f>IF('Manual Blocks'!$F$129="","",'Manual Blocks'!$D$129)</f>
        <v/>
      </c>
      <c r="E485" s="55">
        <f>IF('Manual Blocks'!$F$129="","",'Manual Blocks'!$E$129)</f>
        <v/>
      </c>
      <c r="F485" s="55">
        <f>IF('Manual Blocks'!$F$129="","",'Manual Blocks'!$F$129)</f>
        <v/>
      </c>
      <c r="G485" s="55">
        <f>IF('Manual Blocks'!$F$129="","",'Manual Blocks'!$G$129)</f>
        <v/>
      </c>
      <c r="H485" s="55">
        <f>IF('Manual Blocks'!$F$129="","",'Manual Blocks'!$H$129)</f>
        <v/>
      </c>
      <c r="I485" s="55">
        <f>IF('Manual Blocks'!$F$129="","",IF('Manual Blocks'!$I$129="","MAN-128",'Manual Blocks'!$I$129))</f>
        <v/>
      </c>
    </row>
    <row r="486">
      <c r="A486" s="55">
        <f>IF('Manual Blocks'!$F$130="","",'Manual Blocks'!$A$130)</f>
        <v/>
      </c>
      <c r="B486" s="63">
        <f>IF('Manual Blocks'!$F$130="","",'Manual Blocks'!$B$130)</f>
        <v/>
      </c>
      <c r="C486" s="63">
        <f>IF('Manual Blocks'!$F$130="","",'Manual Blocks'!$C$130)</f>
        <v/>
      </c>
      <c r="D486" s="55">
        <f>IF('Manual Blocks'!$F$130="","",'Manual Blocks'!$D$130)</f>
        <v/>
      </c>
      <c r="E486" s="55">
        <f>IF('Manual Blocks'!$F$130="","",'Manual Blocks'!$E$130)</f>
        <v/>
      </c>
      <c r="F486" s="55">
        <f>IF('Manual Blocks'!$F$130="","",'Manual Blocks'!$F$130)</f>
        <v/>
      </c>
      <c r="G486" s="55">
        <f>IF('Manual Blocks'!$F$130="","",'Manual Blocks'!$G$130)</f>
        <v/>
      </c>
      <c r="H486" s="55">
        <f>IF('Manual Blocks'!$F$130="","",'Manual Blocks'!$H$130)</f>
        <v/>
      </c>
      <c r="I486" s="55">
        <f>IF('Manual Blocks'!$F$130="","",IF('Manual Blocks'!$I$130="","MAN-129",'Manual Blocks'!$I$130))</f>
        <v/>
      </c>
    </row>
    <row r="487">
      <c r="A487" s="55">
        <f>IF('Manual Blocks'!$F$131="","",'Manual Blocks'!$A$131)</f>
        <v/>
      </c>
      <c r="B487" s="63">
        <f>IF('Manual Blocks'!$F$131="","",'Manual Blocks'!$B$131)</f>
        <v/>
      </c>
      <c r="C487" s="63">
        <f>IF('Manual Blocks'!$F$131="","",'Manual Blocks'!$C$131)</f>
        <v/>
      </c>
      <c r="D487" s="55">
        <f>IF('Manual Blocks'!$F$131="","",'Manual Blocks'!$D$131)</f>
        <v/>
      </c>
      <c r="E487" s="55">
        <f>IF('Manual Blocks'!$F$131="","",'Manual Blocks'!$E$131)</f>
        <v/>
      </c>
      <c r="F487" s="55">
        <f>IF('Manual Blocks'!$F$131="","",'Manual Blocks'!$F$131)</f>
        <v/>
      </c>
      <c r="G487" s="55">
        <f>IF('Manual Blocks'!$F$131="","",'Manual Blocks'!$G$131)</f>
        <v/>
      </c>
      <c r="H487" s="55">
        <f>IF('Manual Blocks'!$F$131="","",'Manual Blocks'!$H$131)</f>
        <v/>
      </c>
      <c r="I487" s="55">
        <f>IF('Manual Blocks'!$F$131="","",IF('Manual Blocks'!$I$131="","MAN-130",'Manual Blocks'!$I$131))</f>
        <v/>
      </c>
    </row>
    <row r="488">
      <c r="A488" s="55">
        <f>IF('Manual Blocks'!$F$132="","",'Manual Blocks'!$A$132)</f>
        <v/>
      </c>
      <c r="B488" s="63">
        <f>IF('Manual Blocks'!$F$132="","",'Manual Blocks'!$B$132)</f>
        <v/>
      </c>
      <c r="C488" s="63">
        <f>IF('Manual Blocks'!$F$132="","",'Manual Blocks'!$C$132)</f>
        <v/>
      </c>
      <c r="D488" s="55">
        <f>IF('Manual Blocks'!$F$132="","",'Manual Blocks'!$D$132)</f>
        <v/>
      </c>
      <c r="E488" s="55">
        <f>IF('Manual Blocks'!$F$132="","",'Manual Blocks'!$E$132)</f>
        <v/>
      </c>
      <c r="F488" s="55">
        <f>IF('Manual Blocks'!$F$132="","",'Manual Blocks'!$F$132)</f>
        <v/>
      </c>
      <c r="G488" s="55">
        <f>IF('Manual Blocks'!$F$132="","",'Manual Blocks'!$G$132)</f>
        <v/>
      </c>
      <c r="H488" s="55">
        <f>IF('Manual Blocks'!$F$132="","",'Manual Blocks'!$H$132)</f>
        <v/>
      </c>
      <c r="I488" s="55">
        <f>IF('Manual Blocks'!$F$132="","",IF('Manual Blocks'!$I$132="","MAN-131",'Manual Blocks'!$I$132))</f>
        <v/>
      </c>
    </row>
    <row r="489">
      <c r="A489" s="55">
        <f>IF('Manual Blocks'!$F$133="","",'Manual Blocks'!$A$133)</f>
        <v/>
      </c>
      <c r="B489" s="63">
        <f>IF('Manual Blocks'!$F$133="","",'Manual Blocks'!$B$133)</f>
        <v/>
      </c>
      <c r="C489" s="63">
        <f>IF('Manual Blocks'!$F$133="","",'Manual Blocks'!$C$133)</f>
        <v/>
      </c>
      <c r="D489" s="55">
        <f>IF('Manual Blocks'!$F$133="","",'Manual Blocks'!$D$133)</f>
        <v/>
      </c>
      <c r="E489" s="55">
        <f>IF('Manual Blocks'!$F$133="","",'Manual Blocks'!$E$133)</f>
        <v/>
      </c>
      <c r="F489" s="55">
        <f>IF('Manual Blocks'!$F$133="","",'Manual Blocks'!$F$133)</f>
        <v/>
      </c>
      <c r="G489" s="55">
        <f>IF('Manual Blocks'!$F$133="","",'Manual Blocks'!$G$133)</f>
        <v/>
      </c>
      <c r="H489" s="55">
        <f>IF('Manual Blocks'!$F$133="","",'Manual Blocks'!$H$133)</f>
        <v/>
      </c>
      <c r="I489" s="55">
        <f>IF('Manual Blocks'!$F$133="","",IF('Manual Blocks'!$I$133="","MAN-132",'Manual Blocks'!$I$133))</f>
        <v/>
      </c>
    </row>
    <row r="490">
      <c r="A490" s="55">
        <f>IF('Manual Blocks'!$F$134="","",'Manual Blocks'!$A$134)</f>
        <v/>
      </c>
      <c r="B490" s="63">
        <f>IF('Manual Blocks'!$F$134="","",'Manual Blocks'!$B$134)</f>
        <v/>
      </c>
      <c r="C490" s="63">
        <f>IF('Manual Blocks'!$F$134="","",'Manual Blocks'!$C$134)</f>
        <v/>
      </c>
      <c r="D490" s="55">
        <f>IF('Manual Blocks'!$F$134="","",'Manual Blocks'!$D$134)</f>
        <v/>
      </c>
      <c r="E490" s="55">
        <f>IF('Manual Blocks'!$F$134="","",'Manual Blocks'!$E$134)</f>
        <v/>
      </c>
      <c r="F490" s="55">
        <f>IF('Manual Blocks'!$F$134="","",'Manual Blocks'!$F$134)</f>
        <v/>
      </c>
      <c r="G490" s="55">
        <f>IF('Manual Blocks'!$F$134="","",'Manual Blocks'!$G$134)</f>
        <v/>
      </c>
      <c r="H490" s="55">
        <f>IF('Manual Blocks'!$F$134="","",'Manual Blocks'!$H$134)</f>
        <v/>
      </c>
      <c r="I490" s="55">
        <f>IF('Manual Blocks'!$F$134="","",IF('Manual Blocks'!$I$134="","MAN-133",'Manual Blocks'!$I$134))</f>
        <v/>
      </c>
    </row>
    <row r="491">
      <c r="A491" s="55">
        <f>IF('Manual Blocks'!$F$135="","",'Manual Blocks'!$A$135)</f>
        <v/>
      </c>
      <c r="B491" s="63">
        <f>IF('Manual Blocks'!$F$135="","",'Manual Blocks'!$B$135)</f>
        <v/>
      </c>
      <c r="C491" s="63">
        <f>IF('Manual Blocks'!$F$135="","",'Manual Blocks'!$C$135)</f>
        <v/>
      </c>
      <c r="D491" s="55">
        <f>IF('Manual Blocks'!$F$135="","",'Manual Blocks'!$D$135)</f>
        <v/>
      </c>
      <c r="E491" s="55">
        <f>IF('Manual Blocks'!$F$135="","",'Manual Blocks'!$E$135)</f>
        <v/>
      </c>
      <c r="F491" s="55">
        <f>IF('Manual Blocks'!$F$135="","",'Manual Blocks'!$F$135)</f>
        <v/>
      </c>
      <c r="G491" s="55">
        <f>IF('Manual Blocks'!$F$135="","",'Manual Blocks'!$G$135)</f>
        <v/>
      </c>
      <c r="H491" s="55">
        <f>IF('Manual Blocks'!$F$135="","",'Manual Blocks'!$H$135)</f>
        <v/>
      </c>
      <c r="I491" s="55">
        <f>IF('Manual Blocks'!$F$135="","",IF('Manual Blocks'!$I$135="","MAN-134",'Manual Blocks'!$I$135))</f>
        <v/>
      </c>
    </row>
    <row r="492">
      <c r="A492" s="55">
        <f>IF('Manual Blocks'!$F$136="","",'Manual Blocks'!$A$136)</f>
        <v/>
      </c>
      <c r="B492" s="63">
        <f>IF('Manual Blocks'!$F$136="","",'Manual Blocks'!$B$136)</f>
        <v/>
      </c>
      <c r="C492" s="63">
        <f>IF('Manual Blocks'!$F$136="","",'Manual Blocks'!$C$136)</f>
        <v/>
      </c>
      <c r="D492" s="55">
        <f>IF('Manual Blocks'!$F$136="","",'Manual Blocks'!$D$136)</f>
        <v/>
      </c>
      <c r="E492" s="55">
        <f>IF('Manual Blocks'!$F$136="","",'Manual Blocks'!$E$136)</f>
        <v/>
      </c>
      <c r="F492" s="55">
        <f>IF('Manual Blocks'!$F$136="","",'Manual Blocks'!$F$136)</f>
        <v/>
      </c>
      <c r="G492" s="55">
        <f>IF('Manual Blocks'!$F$136="","",'Manual Blocks'!$G$136)</f>
        <v/>
      </c>
      <c r="H492" s="55">
        <f>IF('Manual Blocks'!$F$136="","",'Manual Blocks'!$H$136)</f>
        <v/>
      </c>
      <c r="I492" s="55">
        <f>IF('Manual Blocks'!$F$136="","",IF('Manual Blocks'!$I$136="","MAN-135",'Manual Blocks'!$I$136))</f>
        <v/>
      </c>
    </row>
    <row r="493">
      <c r="A493" s="55">
        <f>IF('Manual Blocks'!$F$137="","",'Manual Blocks'!$A$137)</f>
        <v/>
      </c>
      <c r="B493" s="63">
        <f>IF('Manual Blocks'!$F$137="","",'Manual Blocks'!$B$137)</f>
        <v/>
      </c>
      <c r="C493" s="63">
        <f>IF('Manual Blocks'!$F$137="","",'Manual Blocks'!$C$137)</f>
        <v/>
      </c>
      <c r="D493" s="55">
        <f>IF('Manual Blocks'!$F$137="","",'Manual Blocks'!$D$137)</f>
        <v/>
      </c>
      <c r="E493" s="55">
        <f>IF('Manual Blocks'!$F$137="","",'Manual Blocks'!$E$137)</f>
        <v/>
      </c>
      <c r="F493" s="55">
        <f>IF('Manual Blocks'!$F$137="","",'Manual Blocks'!$F$137)</f>
        <v/>
      </c>
      <c r="G493" s="55">
        <f>IF('Manual Blocks'!$F$137="","",'Manual Blocks'!$G$137)</f>
        <v/>
      </c>
      <c r="H493" s="55">
        <f>IF('Manual Blocks'!$F$137="","",'Manual Blocks'!$H$137)</f>
        <v/>
      </c>
      <c r="I493" s="55">
        <f>IF('Manual Blocks'!$F$137="","",IF('Manual Blocks'!$I$137="","MAN-136",'Manual Blocks'!$I$137))</f>
        <v/>
      </c>
    </row>
    <row r="494">
      <c r="A494" s="55">
        <f>IF('Manual Blocks'!$F$138="","",'Manual Blocks'!$A$138)</f>
        <v/>
      </c>
      <c r="B494" s="63">
        <f>IF('Manual Blocks'!$F$138="","",'Manual Blocks'!$B$138)</f>
        <v/>
      </c>
      <c r="C494" s="63">
        <f>IF('Manual Blocks'!$F$138="","",'Manual Blocks'!$C$138)</f>
        <v/>
      </c>
      <c r="D494" s="55">
        <f>IF('Manual Blocks'!$F$138="","",'Manual Blocks'!$D$138)</f>
        <v/>
      </c>
      <c r="E494" s="55">
        <f>IF('Manual Blocks'!$F$138="","",'Manual Blocks'!$E$138)</f>
        <v/>
      </c>
      <c r="F494" s="55">
        <f>IF('Manual Blocks'!$F$138="","",'Manual Blocks'!$F$138)</f>
        <v/>
      </c>
      <c r="G494" s="55">
        <f>IF('Manual Blocks'!$F$138="","",'Manual Blocks'!$G$138)</f>
        <v/>
      </c>
      <c r="H494" s="55">
        <f>IF('Manual Blocks'!$F$138="","",'Manual Blocks'!$H$138)</f>
        <v/>
      </c>
      <c r="I494" s="55">
        <f>IF('Manual Blocks'!$F$138="","",IF('Manual Blocks'!$I$138="","MAN-137",'Manual Blocks'!$I$138))</f>
        <v/>
      </c>
    </row>
    <row r="495">
      <c r="A495" s="55">
        <f>IF('Manual Blocks'!$F$139="","",'Manual Blocks'!$A$139)</f>
        <v/>
      </c>
      <c r="B495" s="63">
        <f>IF('Manual Blocks'!$F$139="","",'Manual Blocks'!$B$139)</f>
        <v/>
      </c>
      <c r="C495" s="63">
        <f>IF('Manual Blocks'!$F$139="","",'Manual Blocks'!$C$139)</f>
        <v/>
      </c>
      <c r="D495" s="55">
        <f>IF('Manual Blocks'!$F$139="","",'Manual Blocks'!$D$139)</f>
        <v/>
      </c>
      <c r="E495" s="55">
        <f>IF('Manual Blocks'!$F$139="","",'Manual Blocks'!$E$139)</f>
        <v/>
      </c>
      <c r="F495" s="55">
        <f>IF('Manual Blocks'!$F$139="","",'Manual Blocks'!$F$139)</f>
        <v/>
      </c>
      <c r="G495" s="55">
        <f>IF('Manual Blocks'!$F$139="","",'Manual Blocks'!$G$139)</f>
        <v/>
      </c>
      <c r="H495" s="55">
        <f>IF('Manual Blocks'!$F$139="","",'Manual Blocks'!$H$139)</f>
        <v/>
      </c>
      <c r="I495" s="55">
        <f>IF('Manual Blocks'!$F$139="","",IF('Manual Blocks'!$I$139="","MAN-138",'Manual Blocks'!$I$139))</f>
        <v/>
      </c>
    </row>
    <row r="496">
      <c r="A496" s="55">
        <f>IF('Manual Blocks'!$F$140="","",'Manual Blocks'!$A$140)</f>
        <v/>
      </c>
      <c r="B496" s="63">
        <f>IF('Manual Blocks'!$F$140="","",'Manual Blocks'!$B$140)</f>
        <v/>
      </c>
      <c r="C496" s="63">
        <f>IF('Manual Blocks'!$F$140="","",'Manual Blocks'!$C$140)</f>
        <v/>
      </c>
      <c r="D496" s="55">
        <f>IF('Manual Blocks'!$F$140="","",'Manual Blocks'!$D$140)</f>
        <v/>
      </c>
      <c r="E496" s="55">
        <f>IF('Manual Blocks'!$F$140="","",'Manual Blocks'!$E$140)</f>
        <v/>
      </c>
      <c r="F496" s="55">
        <f>IF('Manual Blocks'!$F$140="","",'Manual Blocks'!$F$140)</f>
        <v/>
      </c>
      <c r="G496" s="55">
        <f>IF('Manual Blocks'!$F$140="","",'Manual Blocks'!$G$140)</f>
        <v/>
      </c>
      <c r="H496" s="55">
        <f>IF('Manual Blocks'!$F$140="","",'Manual Blocks'!$H$140)</f>
        <v/>
      </c>
      <c r="I496" s="55">
        <f>IF('Manual Blocks'!$F$140="","",IF('Manual Blocks'!$I$140="","MAN-139",'Manual Blocks'!$I$140))</f>
        <v/>
      </c>
    </row>
    <row r="497">
      <c r="A497" s="55">
        <f>IF('Manual Blocks'!$F$141="","",'Manual Blocks'!$A$141)</f>
        <v/>
      </c>
      <c r="B497" s="63">
        <f>IF('Manual Blocks'!$F$141="","",'Manual Blocks'!$B$141)</f>
        <v/>
      </c>
      <c r="C497" s="63">
        <f>IF('Manual Blocks'!$F$141="","",'Manual Blocks'!$C$141)</f>
        <v/>
      </c>
      <c r="D497" s="55">
        <f>IF('Manual Blocks'!$F$141="","",'Manual Blocks'!$D$141)</f>
        <v/>
      </c>
      <c r="E497" s="55">
        <f>IF('Manual Blocks'!$F$141="","",'Manual Blocks'!$E$141)</f>
        <v/>
      </c>
      <c r="F497" s="55">
        <f>IF('Manual Blocks'!$F$141="","",'Manual Blocks'!$F$141)</f>
        <v/>
      </c>
      <c r="G497" s="55">
        <f>IF('Manual Blocks'!$F$141="","",'Manual Blocks'!$G$141)</f>
        <v/>
      </c>
      <c r="H497" s="55">
        <f>IF('Manual Blocks'!$F$141="","",'Manual Blocks'!$H$141)</f>
        <v/>
      </c>
      <c r="I497" s="55">
        <f>IF('Manual Blocks'!$F$141="","",IF('Manual Blocks'!$I$141="","MAN-140",'Manual Blocks'!$I$141))</f>
        <v/>
      </c>
    </row>
    <row r="498">
      <c r="A498" s="55">
        <f>IF('Manual Blocks'!$F$142="","",'Manual Blocks'!$A$142)</f>
        <v/>
      </c>
      <c r="B498" s="63">
        <f>IF('Manual Blocks'!$F$142="","",'Manual Blocks'!$B$142)</f>
        <v/>
      </c>
      <c r="C498" s="63">
        <f>IF('Manual Blocks'!$F$142="","",'Manual Blocks'!$C$142)</f>
        <v/>
      </c>
      <c r="D498" s="55">
        <f>IF('Manual Blocks'!$F$142="","",'Manual Blocks'!$D$142)</f>
        <v/>
      </c>
      <c r="E498" s="55">
        <f>IF('Manual Blocks'!$F$142="","",'Manual Blocks'!$E$142)</f>
        <v/>
      </c>
      <c r="F498" s="55">
        <f>IF('Manual Blocks'!$F$142="","",'Manual Blocks'!$F$142)</f>
        <v/>
      </c>
      <c r="G498" s="55">
        <f>IF('Manual Blocks'!$F$142="","",'Manual Blocks'!$G$142)</f>
        <v/>
      </c>
      <c r="H498" s="55">
        <f>IF('Manual Blocks'!$F$142="","",'Manual Blocks'!$H$142)</f>
        <v/>
      </c>
      <c r="I498" s="55">
        <f>IF('Manual Blocks'!$F$142="","",IF('Manual Blocks'!$I$142="","MAN-141",'Manual Blocks'!$I$142))</f>
        <v/>
      </c>
    </row>
    <row r="499">
      <c r="A499" s="55">
        <f>IF('Manual Blocks'!$F$143="","",'Manual Blocks'!$A$143)</f>
        <v/>
      </c>
      <c r="B499" s="63">
        <f>IF('Manual Blocks'!$F$143="","",'Manual Blocks'!$B$143)</f>
        <v/>
      </c>
      <c r="C499" s="63">
        <f>IF('Manual Blocks'!$F$143="","",'Manual Blocks'!$C$143)</f>
        <v/>
      </c>
      <c r="D499" s="55">
        <f>IF('Manual Blocks'!$F$143="","",'Manual Blocks'!$D$143)</f>
        <v/>
      </c>
      <c r="E499" s="55">
        <f>IF('Manual Blocks'!$F$143="","",'Manual Blocks'!$E$143)</f>
        <v/>
      </c>
      <c r="F499" s="55">
        <f>IF('Manual Blocks'!$F$143="","",'Manual Blocks'!$F$143)</f>
        <v/>
      </c>
      <c r="G499" s="55">
        <f>IF('Manual Blocks'!$F$143="","",'Manual Blocks'!$G$143)</f>
        <v/>
      </c>
      <c r="H499" s="55">
        <f>IF('Manual Blocks'!$F$143="","",'Manual Blocks'!$H$143)</f>
        <v/>
      </c>
      <c r="I499" s="55">
        <f>IF('Manual Blocks'!$F$143="","",IF('Manual Blocks'!$I$143="","MAN-142",'Manual Blocks'!$I$143))</f>
        <v/>
      </c>
    </row>
    <row r="500">
      <c r="A500" s="55">
        <f>IF('Manual Blocks'!$F$144="","",'Manual Blocks'!$A$144)</f>
        <v/>
      </c>
      <c r="B500" s="63">
        <f>IF('Manual Blocks'!$F$144="","",'Manual Blocks'!$B$144)</f>
        <v/>
      </c>
      <c r="C500" s="63">
        <f>IF('Manual Blocks'!$F$144="","",'Manual Blocks'!$C$144)</f>
        <v/>
      </c>
      <c r="D500" s="55">
        <f>IF('Manual Blocks'!$F$144="","",'Manual Blocks'!$D$144)</f>
        <v/>
      </c>
      <c r="E500" s="55">
        <f>IF('Manual Blocks'!$F$144="","",'Manual Blocks'!$E$144)</f>
        <v/>
      </c>
      <c r="F500" s="55">
        <f>IF('Manual Blocks'!$F$144="","",'Manual Blocks'!$F$144)</f>
        <v/>
      </c>
      <c r="G500" s="55">
        <f>IF('Manual Blocks'!$F$144="","",'Manual Blocks'!$G$144)</f>
        <v/>
      </c>
      <c r="H500" s="55">
        <f>IF('Manual Blocks'!$F$144="","",'Manual Blocks'!$H$144)</f>
        <v/>
      </c>
      <c r="I500" s="55">
        <f>IF('Manual Blocks'!$F$144="","",IF('Manual Blocks'!$I$144="","MAN-143",'Manual Blocks'!$I$144))</f>
        <v/>
      </c>
    </row>
    <row r="501">
      <c r="A501" s="55">
        <f>IF('Manual Blocks'!$F$145="","",'Manual Blocks'!$A$145)</f>
        <v/>
      </c>
      <c r="B501" s="63">
        <f>IF('Manual Blocks'!$F$145="","",'Manual Blocks'!$B$145)</f>
        <v/>
      </c>
      <c r="C501" s="63">
        <f>IF('Manual Blocks'!$F$145="","",'Manual Blocks'!$C$145)</f>
        <v/>
      </c>
      <c r="D501" s="55">
        <f>IF('Manual Blocks'!$F$145="","",'Manual Blocks'!$D$145)</f>
        <v/>
      </c>
      <c r="E501" s="55">
        <f>IF('Manual Blocks'!$F$145="","",'Manual Blocks'!$E$145)</f>
        <v/>
      </c>
      <c r="F501" s="55">
        <f>IF('Manual Blocks'!$F$145="","",'Manual Blocks'!$F$145)</f>
        <v/>
      </c>
      <c r="G501" s="55">
        <f>IF('Manual Blocks'!$F$145="","",'Manual Blocks'!$G$145)</f>
        <v/>
      </c>
      <c r="H501" s="55">
        <f>IF('Manual Blocks'!$F$145="","",'Manual Blocks'!$H$145)</f>
        <v/>
      </c>
      <c r="I501" s="55">
        <f>IF('Manual Blocks'!$F$145="","",IF('Manual Blocks'!$I$145="","MAN-144",'Manual Blocks'!$I$145))</f>
        <v/>
      </c>
    </row>
    <row r="502">
      <c r="A502" s="55">
        <f>IF('Manual Blocks'!$F$146="","",'Manual Blocks'!$A$146)</f>
        <v/>
      </c>
      <c r="B502" s="63">
        <f>IF('Manual Blocks'!$F$146="","",'Manual Blocks'!$B$146)</f>
        <v/>
      </c>
      <c r="C502" s="63">
        <f>IF('Manual Blocks'!$F$146="","",'Manual Blocks'!$C$146)</f>
        <v/>
      </c>
      <c r="D502" s="55">
        <f>IF('Manual Blocks'!$F$146="","",'Manual Blocks'!$D$146)</f>
        <v/>
      </c>
      <c r="E502" s="55">
        <f>IF('Manual Blocks'!$F$146="","",'Manual Blocks'!$E$146)</f>
        <v/>
      </c>
      <c r="F502" s="55">
        <f>IF('Manual Blocks'!$F$146="","",'Manual Blocks'!$F$146)</f>
        <v/>
      </c>
      <c r="G502" s="55">
        <f>IF('Manual Blocks'!$F$146="","",'Manual Blocks'!$G$146)</f>
        <v/>
      </c>
      <c r="H502" s="55">
        <f>IF('Manual Blocks'!$F$146="","",'Manual Blocks'!$H$146)</f>
        <v/>
      </c>
      <c r="I502" s="55">
        <f>IF('Manual Blocks'!$F$146="","",IF('Manual Blocks'!$I$146="","MAN-145",'Manual Blocks'!$I$146))</f>
        <v/>
      </c>
    </row>
    <row r="503">
      <c r="A503" s="55">
        <f>IF('Manual Blocks'!$F$147="","",'Manual Blocks'!$A$147)</f>
        <v/>
      </c>
      <c r="B503" s="63">
        <f>IF('Manual Blocks'!$F$147="","",'Manual Blocks'!$B$147)</f>
        <v/>
      </c>
      <c r="C503" s="63">
        <f>IF('Manual Blocks'!$F$147="","",'Manual Blocks'!$C$147)</f>
        <v/>
      </c>
      <c r="D503" s="55">
        <f>IF('Manual Blocks'!$F$147="","",'Manual Blocks'!$D$147)</f>
        <v/>
      </c>
      <c r="E503" s="55">
        <f>IF('Manual Blocks'!$F$147="","",'Manual Blocks'!$E$147)</f>
        <v/>
      </c>
      <c r="F503" s="55">
        <f>IF('Manual Blocks'!$F$147="","",'Manual Blocks'!$F$147)</f>
        <v/>
      </c>
      <c r="G503" s="55">
        <f>IF('Manual Blocks'!$F$147="","",'Manual Blocks'!$G$147)</f>
        <v/>
      </c>
      <c r="H503" s="55">
        <f>IF('Manual Blocks'!$F$147="","",'Manual Blocks'!$H$147)</f>
        <v/>
      </c>
      <c r="I503" s="55">
        <f>IF('Manual Blocks'!$F$147="","",IF('Manual Blocks'!$I$147="","MAN-146",'Manual Blocks'!$I$147))</f>
        <v/>
      </c>
    </row>
    <row r="504">
      <c r="A504" s="55">
        <f>IF('Manual Blocks'!$F$148="","",'Manual Blocks'!$A$148)</f>
        <v/>
      </c>
      <c r="B504" s="63">
        <f>IF('Manual Blocks'!$F$148="","",'Manual Blocks'!$B$148)</f>
        <v/>
      </c>
      <c r="C504" s="63">
        <f>IF('Manual Blocks'!$F$148="","",'Manual Blocks'!$C$148)</f>
        <v/>
      </c>
      <c r="D504" s="55">
        <f>IF('Manual Blocks'!$F$148="","",'Manual Blocks'!$D$148)</f>
        <v/>
      </c>
      <c r="E504" s="55">
        <f>IF('Manual Blocks'!$F$148="","",'Manual Blocks'!$E$148)</f>
        <v/>
      </c>
      <c r="F504" s="55">
        <f>IF('Manual Blocks'!$F$148="","",'Manual Blocks'!$F$148)</f>
        <v/>
      </c>
      <c r="G504" s="55">
        <f>IF('Manual Blocks'!$F$148="","",'Manual Blocks'!$G$148)</f>
        <v/>
      </c>
      <c r="H504" s="55">
        <f>IF('Manual Blocks'!$F$148="","",'Manual Blocks'!$H$148)</f>
        <v/>
      </c>
      <c r="I504" s="55">
        <f>IF('Manual Blocks'!$F$148="","",IF('Manual Blocks'!$I$148="","MAN-147",'Manual Blocks'!$I$148))</f>
        <v/>
      </c>
    </row>
    <row r="505">
      <c r="A505" s="55">
        <f>IF('Manual Blocks'!$F$149="","",'Manual Blocks'!$A$149)</f>
        <v/>
      </c>
      <c r="B505" s="63">
        <f>IF('Manual Blocks'!$F$149="","",'Manual Blocks'!$B$149)</f>
        <v/>
      </c>
      <c r="C505" s="63">
        <f>IF('Manual Blocks'!$F$149="","",'Manual Blocks'!$C$149)</f>
        <v/>
      </c>
      <c r="D505" s="55">
        <f>IF('Manual Blocks'!$F$149="","",'Manual Blocks'!$D$149)</f>
        <v/>
      </c>
      <c r="E505" s="55">
        <f>IF('Manual Blocks'!$F$149="","",'Manual Blocks'!$E$149)</f>
        <v/>
      </c>
      <c r="F505" s="55">
        <f>IF('Manual Blocks'!$F$149="","",'Manual Blocks'!$F$149)</f>
        <v/>
      </c>
      <c r="G505" s="55">
        <f>IF('Manual Blocks'!$F$149="","",'Manual Blocks'!$G$149)</f>
        <v/>
      </c>
      <c r="H505" s="55">
        <f>IF('Manual Blocks'!$F$149="","",'Manual Blocks'!$H$149)</f>
        <v/>
      </c>
      <c r="I505" s="55">
        <f>IF('Manual Blocks'!$F$149="","",IF('Manual Blocks'!$I$149="","MAN-148",'Manual Blocks'!$I$149))</f>
        <v/>
      </c>
    </row>
    <row r="506">
      <c r="A506" s="55">
        <f>IF('Manual Blocks'!$F$150="","",'Manual Blocks'!$A$150)</f>
        <v/>
      </c>
      <c r="B506" s="63">
        <f>IF('Manual Blocks'!$F$150="","",'Manual Blocks'!$B$150)</f>
        <v/>
      </c>
      <c r="C506" s="63">
        <f>IF('Manual Blocks'!$F$150="","",'Manual Blocks'!$C$150)</f>
        <v/>
      </c>
      <c r="D506" s="55">
        <f>IF('Manual Blocks'!$F$150="","",'Manual Blocks'!$D$150)</f>
        <v/>
      </c>
      <c r="E506" s="55">
        <f>IF('Manual Blocks'!$F$150="","",'Manual Blocks'!$E$150)</f>
        <v/>
      </c>
      <c r="F506" s="55">
        <f>IF('Manual Blocks'!$F$150="","",'Manual Blocks'!$F$150)</f>
        <v/>
      </c>
      <c r="G506" s="55">
        <f>IF('Manual Blocks'!$F$150="","",'Manual Blocks'!$G$150)</f>
        <v/>
      </c>
      <c r="H506" s="55">
        <f>IF('Manual Blocks'!$F$150="","",'Manual Blocks'!$H$150)</f>
        <v/>
      </c>
      <c r="I506" s="55">
        <f>IF('Manual Blocks'!$F$150="","",IF('Manual Blocks'!$I$150="","MAN-149",'Manual Blocks'!$I$150))</f>
        <v/>
      </c>
    </row>
    <row r="507">
      <c r="A507" s="55">
        <f>IF('Manual Blocks'!$F$151="","",'Manual Blocks'!$A$151)</f>
        <v/>
      </c>
      <c r="B507" s="63">
        <f>IF('Manual Blocks'!$F$151="","",'Manual Blocks'!$B$151)</f>
        <v/>
      </c>
      <c r="C507" s="63">
        <f>IF('Manual Blocks'!$F$151="","",'Manual Blocks'!$C$151)</f>
        <v/>
      </c>
      <c r="D507" s="55">
        <f>IF('Manual Blocks'!$F$151="","",'Manual Blocks'!$D$151)</f>
        <v/>
      </c>
      <c r="E507" s="55">
        <f>IF('Manual Blocks'!$F$151="","",'Manual Blocks'!$E$151)</f>
        <v/>
      </c>
      <c r="F507" s="55">
        <f>IF('Manual Blocks'!$F$151="","",'Manual Blocks'!$F$151)</f>
        <v/>
      </c>
      <c r="G507" s="55">
        <f>IF('Manual Blocks'!$F$151="","",'Manual Blocks'!$G$151)</f>
        <v/>
      </c>
      <c r="H507" s="55">
        <f>IF('Manual Blocks'!$F$151="","",'Manual Blocks'!$H$151)</f>
        <v/>
      </c>
      <c r="I507" s="55">
        <f>IF('Manual Blocks'!$F$151="","",IF('Manual Blocks'!$I$151="","MAN-150",'Manual Blocks'!$I$151))</f>
        <v/>
      </c>
    </row>
    <row r="508">
      <c r="A508" s="55">
        <f>IF('Manual Blocks'!$F$152="","",'Manual Blocks'!$A$152)</f>
        <v/>
      </c>
      <c r="B508" s="63">
        <f>IF('Manual Blocks'!$F$152="","",'Manual Blocks'!$B$152)</f>
        <v/>
      </c>
      <c r="C508" s="63">
        <f>IF('Manual Blocks'!$F$152="","",'Manual Blocks'!$C$152)</f>
        <v/>
      </c>
      <c r="D508" s="55">
        <f>IF('Manual Blocks'!$F$152="","",'Manual Blocks'!$D$152)</f>
        <v/>
      </c>
      <c r="E508" s="55">
        <f>IF('Manual Blocks'!$F$152="","",'Manual Blocks'!$E$152)</f>
        <v/>
      </c>
      <c r="F508" s="55">
        <f>IF('Manual Blocks'!$F$152="","",'Manual Blocks'!$F$152)</f>
        <v/>
      </c>
      <c r="G508" s="55">
        <f>IF('Manual Blocks'!$F$152="","",'Manual Blocks'!$G$152)</f>
        <v/>
      </c>
      <c r="H508" s="55">
        <f>IF('Manual Blocks'!$F$152="","",'Manual Blocks'!$H$152)</f>
        <v/>
      </c>
      <c r="I508" s="55">
        <f>IF('Manual Blocks'!$F$152="","",IF('Manual Blocks'!$I$152="","MAN-151",'Manual Blocks'!$I$152))</f>
        <v/>
      </c>
    </row>
    <row r="509">
      <c r="A509" s="55">
        <f>IF('Manual Blocks'!$F$153="","",'Manual Blocks'!$A$153)</f>
        <v/>
      </c>
      <c r="B509" s="63">
        <f>IF('Manual Blocks'!$F$153="","",'Manual Blocks'!$B$153)</f>
        <v/>
      </c>
      <c r="C509" s="63">
        <f>IF('Manual Blocks'!$F$153="","",'Manual Blocks'!$C$153)</f>
        <v/>
      </c>
      <c r="D509" s="55">
        <f>IF('Manual Blocks'!$F$153="","",'Manual Blocks'!$D$153)</f>
        <v/>
      </c>
      <c r="E509" s="55">
        <f>IF('Manual Blocks'!$F$153="","",'Manual Blocks'!$E$153)</f>
        <v/>
      </c>
      <c r="F509" s="55">
        <f>IF('Manual Blocks'!$F$153="","",'Manual Blocks'!$F$153)</f>
        <v/>
      </c>
      <c r="G509" s="55">
        <f>IF('Manual Blocks'!$F$153="","",'Manual Blocks'!$G$153)</f>
        <v/>
      </c>
      <c r="H509" s="55">
        <f>IF('Manual Blocks'!$F$153="","",'Manual Blocks'!$H$153)</f>
        <v/>
      </c>
      <c r="I509" s="55">
        <f>IF('Manual Blocks'!$F$153="","",IF('Manual Blocks'!$I$153="","MAN-152",'Manual Blocks'!$I$153))</f>
        <v/>
      </c>
    </row>
    <row r="510">
      <c r="A510" s="55">
        <f>IF('Manual Blocks'!$F$154="","",'Manual Blocks'!$A$154)</f>
        <v/>
      </c>
      <c r="B510" s="63">
        <f>IF('Manual Blocks'!$F$154="","",'Manual Blocks'!$B$154)</f>
        <v/>
      </c>
      <c r="C510" s="63">
        <f>IF('Manual Blocks'!$F$154="","",'Manual Blocks'!$C$154)</f>
        <v/>
      </c>
      <c r="D510" s="55">
        <f>IF('Manual Blocks'!$F$154="","",'Manual Blocks'!$D$154)</f>
        <v/>
      </c>
      <c r="E510" s="55">
        <f>IF('Manual Blocks'!$F$154="","",'Manual Blocks'!$E$154)</f>
        <v/>
      </c>
      <c r="F510" s="55">
        <f>IF('Manual Blocks'!$F$154="","",'Manual Blocks'!$F$154)</f>
        <v/>
      </c>
      <c r="G510" s="55">
        <f>IF('Manual Blocks'!$F$154="","",'Manual Blocks'!$G$154)</f>
        <v/>
      </c>
      <c r="H510" s="55">
        <f>IF('Manual Blocks'!$F$154="","",'Manual Blocks'!$H$154)</f>
        <v/>
      </c>
      <c r="I510" s="55">
        <f>IF('Manual Blocks'!$F$154="","",IF('Manual Blocks'!$I$154="","MAN-153",'Manual Blocks'!$I$154))</f>
        <v/>
      </c>
    </row>
    <row r="511">
      <c r="A511" s="55">
        <f>IF('Manual Blocks'!$F$155="","",'Manual Blocks'!$A$155)</f>
        <v/>
      </c>
      <c r="B511" s="63">
        <f>IF('Manual Blocks'!$F$155="","",'Manual Blocks'!$B$155)</f>
        <v/>
      </c>
      <c r="C511" s="63">
        <f>IF('Manual Blocks'!$F$155="","",'Manual Blocks'!$C$155)</f>
        <v/>
      </c>
      <c r="D511" s="55">
        <f>IF('Manual Blocks'!$F$155="","",'Manual Blocks'!$D$155)</f>
        <v/>
      </c>
      <c r="E511" s="55">
        <f>IF('Manual Blocks'!$F$155="","",'Manual Blocks'!$E$155)</f>
        <v/>
      </c>
      <c r="F511" s="55">
        <f>IF('Manual Blocks'!$F$155="","",'Manual Blocks'!$F$155)</f>
        <v/>
      </c>
      <c r="G511" s="55">
        <f>IF('Manual Blocks'!$F$155="","",'Manual Blocks'!$G$155)</f>
        <v/>
      </c>
      <c r="H511" s="55">
        <f>IF('Manual Blocks'!$F$155="","",'Manual Blocks'!$H$155)</f>
        <v/>
      </c>
      <c r="I511" s="55">
        <f>IF('Manual Blocks'!$F$155="","",IF('Manual Blocks'!$I$155="","MAN-154",'Manual Blocks'!$I$155))</f>
        <v/>
      </c>
    </row>
    <row r="512">
      <c r="A512" s="55">
        <f>IF('Manual Blocks'!$F$156="","",'Manual Blocks'!$A$156)</f>
        <v/>
      </c>
      <c r="B512" s="63">
        <f>IF('Manual Blocks'!$F$156="","",'Manual Blocks'!$B$156)</f>
        <v/>
      </c>
      <c r="C512" s="63">
        <f>IF('Manual Blocks'!$F$156="","",'Manual Blocks'!$C$156)</f>
        <v/>
      </c>
      <c r="D512" s="55">
        <f>IF('Manual Blocks'!$F$156="","",'Manual Blocks'!$D$156)</f>
        <v/>
      </c>
      <c r="E512" s="55">
        <f>IF('Manual Blocks'!$F$156="","",'Manual Blocks'!$E$156)</f>
        <v/>
      </c>
      <c r="F512" s="55">
        <f>IF('Manual Blocks'!$F$156="","",'Manual Blocks'!$F$156)</f>
        <v/>
      </c>
      <c r="G512" s="55">
        <f>IF('Manual Blocks'!$F$156="","",'Manual Blocks'!$G$156)</f>
        <v/>
      </c>
      <c r="H512" s="55">
        <f>IF('Manual Blocks'!$F$156="","",'Manual Blocks'!$H$156)</f>
        <v/>
      </c>
      <c r="I512" s="55">
        <f>IF('Manual Blocks'!$F$156="","",IF('Manual Blocks'!$I$156="","MAN-155",'Manual Blocks'!$I$156))</f>
        <v/>
      </c>
    </row>
    <row r="513">
      <c r="A513" s="55">
        <f>IF('Manual Blocks'!$F$157="","",'Manual Blocks'!$A$157)</f>
        <v/>
      </c>
      <c r="B513" s="63">
        <f>IF('Manual Blocks'!$F$157="","",'Manual Blocks'!$B$157)</f>
        <v/>
      </c>
      <c r="C513" s="63">
        <f>IF('Manual Blocks'!$F$157="","",'Manual Blocks'!$C$157)</f>
        <v/>
      </c>
      <c r="D513" s="55">
        <f>IF('Manual Blocks'!$F$157="","",'Manual Blocks'!$D$157)</f>
        <v/>
      </c>
      <c r="E513" s="55">
        <f>IF('Manual Blocks'!$F$157="","",'Manual Blocks'!$E$157)</f>
        <v/>
      </c>
      <c r="F513" s="55">
        <f>IF('Manual Blocks'!$F$157="","",'Manual Blocks'!$F$157)</f>
        <v/>
      </c>
      <c r="G513" s="55">
        <f>IF('Manual Blocks'!$F$157="","",'Manual Blocks'!$G$157)</f>
        <v/>
      </c>
      <c r="H513" s="55">
        <f>IF('Manual Blocks'!$F$157="","",'Manual Blocks'!$H$157)</f>
        <v/>
      </c>
      <c r="I513" s="55">
        <f>IF('Manual Blocks'!$F$157="","",IF('Manual Blocks'!$I$157="","MAN-156",'Manual Blocks'!$I$157))</f>
        <v/>
      </c>
    </row>
    <row r="514">
      <c r="A514" s="55">
        <f>IF('Manual Blocks'!$F$158="","",'Manual Blocks'!$A$158)</f>
        <v/>
      </c>
      <c r="B514" s="63">
        <f>IF('Manual Blocks'!$F$158="","",'Manual Blocks'!$B$158)</f>
        <v/>
      </c>
      <c r="C514" s="63">
        <f>IF('Manual Blocks'!$F$158="","",'Manual Blocks'!$C$158)</f>
        <v/>
      </c>
      <c r="D514" s="55">
        <f>IF('Manual Blocks'!$F$158="","",'Manual Blocks'!$D$158)</f>
        <v/>
      </c>
      <c r="E514" s="55">
        <f>IF('Manual Blocks'!$F$158="","",'Manual Blocks'!$E$158)</f>
        <v/>
      </c>
      <c r="F514" s="55">
        <f>IF('Manual Blocks'!$F$158="","",'Manual Blocks'!$F$158)</f>
        <v/>
      </c>
      <c r="G514" s="55">
        <f>IF('Manual Blocks'!$F$158="","",'Manual Blocks'!$G$158)</f>
        <v/>
      </c>
      <c r="H514" s="55">
        <f>IF('Manual Blocks'!$F$158="","",'Manual Blocks'!$H$158)</f>
        <v/>
      </c>
      <c r="I514" s="55">
        <f>IF('Manual Blocks'!$F$158="","",IF('Manual Blocks'!$I$158="","MAN-157",'Manual Blocks'!$I$158))</f>
        <v/>
      </c>
    </row>
    <row r="515">
      <c r="A515" s="55">
        <f>IF('Manual Blocks'!$F$159="","",'Manual Blocks'!$A$159)</f>
        <v/>
      </c>
      <c r="B515" s="63">
        <f>IF('Manual Blocks'!$F$159="","",'Manual Blocks'!$B$159)</f>
        <v/>
      </c>
      <c r="C515" s="63">
        <f>IF('Manual Blocks'!$F$159="","",'Manual Blocks'!$C$159)</f>
        <v/>
      </c>
      <c r="D515" s="55">
        <f>IF('Manual Blocks'!$F$159="","",'Manual Blocks'!$D$159)</f>
        <v/>
      </c>
      <c r="E515" s="55">
        <f>IF('Manual Blocks'!$F$159="","",'Manual Blocks'!$E$159)</f>
        <v/>
      </c>
      <c r="F515" s="55">
        <f>IF('Manual Blocks'!$F$159="","",'Manual Blocks'!$F$159)</f>
        <v/>
      </c>
      <c r="G515" s="55">
        <f>IF('Manual Blocks'!$F$159="","",'Manual Blocks'!$G$159)</f>
        <v/>
      </c>
      <c r="H515" s="55">
        <f>IF('Manual Blocks'!$F$159="","",'Manual Blocks'!$H$159)</f>
        <v/>
      </c>
      <c r="I515" s="55">
        <f>IF('Manual Blocks'!$F$159="","",IF('Manual Blocks'!$I$159="","MAN-158",'Manual Blocks'!$I$159))</f>
        <v/>
      </c>
    </row>
    <row r="516">
      <c r="A516" s="55">
        <f>IF('Manual Blocks'!$F$160="","",'Manual Blocks'!$A$160)</f>
        <v/>
      </c>
      <c r="B516" s="63">
        <f>IF('Manual Blocks'!$F$160="","",'Manual Blocks'!$B$160)</f>
        <v/>
      </c>
      <c r="C516" s="63">
        <f>IF('Manual Blocks'!$F$160="","",'Manual Blocks'!$C$160)</f>
        <v/>
      </c>
      <c r="D516" s="55">
        <f>IF('Manual Blocks'!$F$160="","",'Manual Blocks'!$D$160)</f>
        <v/>
      </c>
      <c r="E516" s="55">
        <f>IF('Manual Blocks'!$F$160="","",'Manual Blocks'!$E$160)</f>
        <v/>
      </c>
      <c r="F516" s="55">
        <f>IF('Manual Blocks'!$F$160="","",'Manual Blocks'!$F$160)</f>
        <v/>
      </c>
      <c r="G516" s="55">
        <f>IF('Manual Blocks'!$F$160="","",'Manual Blocks'!$G$160)</f>
        <v/>
      </c>
      <c r="H516" s="55">
        <f>IF('Manual Blocks'!$F$160="","",'Manual Blocks'!$H$160)</f>
        <v/>
      </c>
      <c r="I516" s="55">
        <f>IF('Manual Blocks'!$F$160="","",IF('Manual Blocks'!$I$160="","MAN-159",'Manual Blocks'!$I$160))</f>
        <v/>
      </c>
    </row>
    <row r="517">
      <c r="A517" s="55">
        <f>IF('Manual Blocks'!$F$161="","",'Manual Blocks'!$A$161)</f>
        <v/>
      </c>
      <c r="B517" s="63">
        <f>IF('Manual Blocks'!$F$161="","",'Manual Blocks'!$B$161)</f>
        <v/>
      </c>
      <c r="C517" s="63">
        <f>IF('Manual Blocks'!$F$161="","",'Manual Blocks'!$C$161)</f>
        <v/>
      </c>
      <c r="D517" s="55">
        <f>IF('Manual Blocks'!$F$161="","",'Manual Blocks'!$D$161)</f>
        <v/>
      </c>
      <c r="E517" s="55">
        <f>IF('Manual Blocks'!$F$161="","",'Manual Blocks'!$E$161)</f>
        <v/>
      </c>
      <c r="F517" s="55">
        <f>IF('Manual Blocks'!$F$161="","",'Manual Blocks'!$F$161)</f>
        <v/>
      </c>
      <c r="G517" s="55">
        <f>IF('Manual Blocks'!$F$161="","",'Manual Blocks'!$G$161)</f>
        <v/>
      </c>
      <c r="H517" s="55">
        <f>IF('Manual Blocks'!$F$161="","",'Manual Blocks'!$H$161)</f>
        <v/>
      </c>
      <c r="I517" s="55">
        <f>IF('Manual Blocks'!$F$161="","",IF('Manual Blocks'!$I$161="","MAN-160",'Manual Blocks'!$I$161))</f>
        <v/>
      </c>
    </row>
    <row r="518">
      <c r="A518" s="55">
        <f>IF('Manual Blocks'!$F$162="","",'Manual Blocks'!$A$162)</f>
        <v/>
      </c>
      <c r="B518" s="63">
        <f>IF('Manual Blocks'!$F$162="","",'Manual Blocks'!$B$162)</f>
        <v/>
      </c>
      <c r="C518" s="63">
        <f>IF('Manual Blocks'!$F$162="","",'Manual Blocks'!$C$162)</f>
        <v/>
      </c>
      <c r="D518" s="55">
        <f>IF('Manual Blocks'!$F$162="","",'Manual Blocks'!$D$162)</f>
        <v/>
      </c>
      <c r="E518" s="55">
        <f>IF('Manual Blocks'!$F$162="","",'Manual Blocks'!$E$162)</f>
        <v/>
      </c>
      <c r="F518" s="55">
        <f>IF('Manual Blocks'!$F$162="","",'Manual Blocks'!$F$162)</f>
        <v/>
      </c>
      <c r="G518" s="55">
        <f>IF('Manual Blocks'!$F$162="","",'Manual Blocks'!$G$162)</f>
        <v/>
      </c>
      <c r="H518" s="55">
        <f>IF('Manual Blocks'!$F$162="","",'Manual Blocks'!$H$162)</f>
        <v/>
      </c>
      <c r="I518" s="55">
        <f>IF('Manual Blocks'!$F$162="","",IF('Manual Blocks'!$I$162="","MAN-161",'Manual Blocks'!$I$162))</f>
        <v/>
      </c>
    </row>
    <row r="519">
      <c r="A519" s="55">
        <f>IF('Manual Blocks'!$F$163="","",'Manual Blocks'!$A$163)</f>
        <v/>
      </c>
      <c r="B519" s="63">
        <f>IF('Manual Blocks'!$F$163="","",'Manual Blocks'!$B$163)</f>
        <v/>
      </c>
      <c r="C519" s="63">
        <f>IF('Manual Blocks'!$F$163="","",'Manual Blocks'!$C$163)</f>
        <v/>
      </c>
      <c r="D519" s="55">
        <f>IF('Manual Blocks'!$F$163="","",'Manual Blocks'!$D$163)</f>
        <v/>
      </c>
      <c r="E519" s="55">
        <f>IF('Manual Blocks'!$F$163="","",'Manual Blocks'!$E$163)</f>
        <v/>
      </c>
      <c r="F519" s="55">
        <f>IF('Manual Blocks'!$F$163="","",'Manual Blocks'!$F$163)</f>
        <v/>
      </c>
      <c r="G519" s="55">
        <f>IF('Manual Blocks'!$F$163="","",'Manual Blocks'!$G$163)</f>
        <v/>
      </c>
      <c r="H519" s="55">
        <f>IF('Manual Blocks'!$F$163="","",'Manual Blocks'!$H$163)</f>
        <v/>
      </c>
      <c r="I519" s="55">
        <f>IF('Manual Blocks'!$F$163="","",IF('Manual Blocks'!$I$163="","MAN-162",'Manual Blocks'!$I$163))</f>
        <v/>
      </c>
    </row>
    <row r="520">
      <c r="A520" s="55">
        <f>IF('Manual Blocks'!$F$164="","",'Manual Blocks'!$A$164)</f>
        <v/>
      </c>
      <c r="B520" s="63">
        <f>IF('Manual Blocks'!$F$164="","",'Manual Blocks'!$B$164)</f>
        <v/>
      </c>
      <c r="C520" s="63">
        <f>IF('Manual Blocks'!$F$164="","",'Manual Blocks'!$C$164)</f>
        <v/>
      </c>
      <c r="D520" s="55">
        <f>IF('Manual Blocks'!$F$164="","",'Manual Blocks'!$D$164)</f>
        <v/>
      </c>
      <c r="E520" s="55">
        <f>IF('Manual Blocks'!$F$164="","",'Manual Blocks'!$E$164)</f>
        <v/>
      </c>
      <c r="F520" s="55">
        <f>IF('Manual Blocks'!$F$164="","",'Manual Blocks'!$F$164)</f>
        <v/>
      </c>
      <c r="G520" s="55">
        <f>IF('Manual Blocks'!$F$164="","",'Manual Blocks'!$G$164)</f>
        <v/>
      </c>
      <c r="H520" s="55">
        <f>IF('Manual Blocks'!$F$164="","",'Manual Blocks'!$H$164)</f>
        <v/>
      </c>
      <c r="I520" s="55">
        <f>IF('Manual Blocks'!$F$164="","",IF('Manual Blocks'!$I$164="","MAN-163",'Manual Blocks'!$I$164))</f>
        <v/>
      </c>
    </row>
    <row r="521">
      <c r="A521" s="55">
        <f>IF('Manual Blocks'!$F$165="","",'Manual Blocks'!$A$165)</f>
        <v/>
      </c>
      <c r="B521" s="63">
        <f>IF('Manual Blocks'!$F$165="","",'Manual Blocks'!$B$165)</f>
        <v/>
      </c>
      <c r="C521" s="63">
        <f>IF('Manual Blocks'!$F$165="","",'Manual Blocks'!$C$165)</f>
        <v/>
      </c>
      <c r="D521" s="55">
        <f>IF('Manual Blocks'!$F$165="","",'Manual Blocks'!$D$165)</f>
        <v/>
      </c>
      <c r="E521" s="55">
        <f>IF('Manual Blocks'!$F$165="","",'Manual Blocks'!$E$165)</f>
        <v/>
      </c>
      <c r="F521" s="55">
        <f>IF('Manual Blocks'!$F$165="","",'Manual Blocks'!$F$165)</f>
        <v/>
      </c>
      <c r="G521" s="55">
        <f>IF('Manual Blocks'!$F$165="","",'Manual Blocks'!$G$165)</f>
        <v/>
      </c>
      <c r="H521" s="55">
        <f>IF('Manual Blocks'!$F$165="","",'Manual Blocks'!$H$165)</f>
        <v/>
      </c>
      <c r="I521" s="55">
        <f>IF('Manual Blocks'!$F$165="","",IF('Manual Blocks'!$I$165="","MAN-164",'Manual Blocks'!$I$165))</f>
        <v/>
      </c>
    </row>
    <row r="522">
      <c r="A522" s="55">
        <f>IF('Manual Blocks'!$F$166="","",'Manual Blocks'!$A$166)</f>
        <v/>
      </c>
      <c r="B522" s="63">
        <f>IF('Manual Blocks'!$F$166="","",'Manual Blocks'!$B$166)</f>
        <v/>
      </c>
      <c r="C522" s="63">
        <f>IF('Manual Blocks'!$F$166="","",'Manual Blocks'!$C$166)</f>
        <v/>
      </c>
      <c r="D522" s="55">
        <f>IF('Manual Blocks'!$F$166="","",'Manual Blocks'!$D$166)</f>
        <v/>
      </c>
      <c r="E522" s="55">
        <f>IF('Manual Blocks'!$F$166="","",'Manual Blocks'!$E$166)</f>
        <v/>
      </c>
      <c r="F522" s="55">
        <f>IF('Manual Blocks'!$F$166="","",'Manual Blocks'!$F$166)</f>
        <v/>
      </c>
      <c r="G522" s="55">
        <f>IF('Manual Blocks'!$F$166="","",'Manual Blocks'!$G$166)</f>
        <v/>
      </c>
      <c r="H522" s="55">
        <f>IF('Manual Blocks'!$F$166="","",'Manual Blocks'!$H$166)</f>
        <v/>
      </c>
      <c r="I522" s="55">
        <f>IF('Manual Blocks'!$F$166="","",IF('Manual Blocks'!$I$166="","MAN-165",'Manual Blocks'!$I$166))</f>
        <v/>
      </c>
    </row>
    <row r="523">
      <c r="A523" s="55">
        <f>IF('Manual Blocks'!$F$167="","",'Manual Blocks'!$A$167)</f>
        <v/>
      </c>
      <c r="B523" s="63">
        <f>IF('Manual Blocks'!$F$167="","",'Manual Blocks'!$B$167)</f>
        <v/>
      </c>
      <c r="C523" s="63">
        <f>IF('Manual Blocks'!$F$167="","",'Manual Blocks'!$C$167)</f>
        <v/>
      </c>
      <c r="D523" s="55">
        <f>IF('Manual Blocks'!$F$167="","",'Manual Blocks'!$D$167)</f>
        <v/>
      </c>
      <c r="E523" s="55">
        <f>IF('Manual Blocks'!$F$167="","",'Manual Blocks'!$E$167)</f>
        <v/>
      </c>
      <c r="F523" s="55">
        <f>IF('Manual Blocks'!$F$167="","",'Manual Blocks'!$F$167)</f>
        <v/>
      </c>
      <c r="G523" s="55">
        <f>IF('Manual Blocks'!$F$167="","",'Manual Blocks'!$G$167)</f>
        <v/>
      </c>
      <c r="H523" s="55">
        <f>IF('Manual Blocks'!$F$167="","",'Manual Blocks'!$H$167)</f>
        <v/>
      </c>
      <c r="I523" s="55">
        <f>IF('Manual Blocks'!$F$167="","",IF('Manual Blocks'!$I$167="","MAN-166",'Manual Blocks'!$I$167))</f>
        <v/>
      </c>
    </row>
    <row r="524">
      <c r="A524" s="55">
        <f>IF('Manual Blocks'!$F$168="","",'Manual Blocks'!$A$168)</f>
        <v/>
      </c>
      <c r="B524" s="63">
        <f>IF('Manual Blocks'!$F$168="","",'Manual Blocks'!$B$168)</f>
        <v/>
      </c>
      <c r="C524" s="63">
        <f>IF('Manual Blocks'!$F$168="","",'Manual Blocks'!$C$168)</f>
        <v/>
      </c>
      <c r="D524" s="55">
        <f>IF('Manual Blocks'!$F$168="","",'Manual Blocks'!$D$168)</f>
        <v/>
      </c>
      <c r="E524" s="55">
        <f>IF('Manual Blocks'!$F$168="","",'Manual Blocks'!$E$168)</f>
        <v/>
      </c>
      <c r="F524" s="55">
        <f>IF('Manual Blocks'!$F$168="","",'Manual Blocks'!$F$168)</f>
        <v/>
      </c>
      <c r="G524" s="55">
        <f>IF('Manual Blocks'!$F$168="","",'Manual Blocks'!$G$168)</f>
        <v/>
      </c>
      <c r="H524" s="55">
        <f>IF('Manual Blocks'!$F$168="","",'Manual Blocks'!$H$168)</f>
        <v/>
      </c>
      <c r="I524" s="55">
        <f>IF('Manual Blocks'!$F$168="","",IF('Manual Blocks'!$I$168="","MAN-167",'Manual Blocks'!$I$168))</f>
        <v/>
      </c>
    </row>
    <row r="525">
      <c r="A525" s="55">
        <f>IF('Manual Blocks'!$F$169="","",'Manual Blocks'!$A$169)</f>
        <v/>
      </c>
      <c r="B525" s="63">
        <f>IF('Manual Blocks'!$F$169="","",'Manual Blocks'!$B$169)</f>
        <v/>
      </c>
      <c r="C525" s="63">
        <f>IF('Manual Blocks'!$F$169="","",'Manual Blocks'!$C$169)</f>
        <v/>
      </c>
      <c r="D525" s="55">
        <f>IF('Manual Blocks'!$F$169="","",'Manual Blocks'!$D$169)</f>
        <v/>
      </c>
      <c r="E525" s="55">
        <f>IF('Manual Blocks'!$F$169="","",'Manual Blocks'!$E$169)</f>
        <v/>
      </c>
      <c r="F525" s="55">
        <f>IF('Manual Blocks'!$F$169="","",'Manual Blocks'!$F$169)</f>
        <v/>
      </c>
      <c r="G525" s="55">
        <f>IF('Manual Blocks'!$F$169="","",'Manual Blocks'!$G$169)</f>
        <v/>
      </c>
      <c r="H525" s="55">
        <f>IF('Manual Blocks'!$F$169="","",'Manual Blocks'!$H$169)</f>
        <v/>
      </c>
      <c r="I525" s="55">
        <f>IF('Manual Blocks'!$F$169="","",IF('Manual Blocks'!$I$169="","MAN-168",'Manual Blocks'!$I$169))</f>
        <v/>
      </c>
    </row>
    <row r="526">
      <c r="A526" s="55">
        <f>IF('Manual Blocks'!$F$170="","",'Manual Blocks'!$A$170)</f>
        <v/>
      </c>
      <c r="B526" s="63">
        <f>IF('Manual Blocks'!$F$170="","",'Manual Blocks'!$B$170)</f>
        <v/>
      </c>
      <c r="C526" s="63">
        <f>IF('Manual Blocks'!$F$170="","",'Manual Blocks'!$C$170)</f>
        <v/>
      </c>
      <c r="D526" s="55">
        <f>IF('Manual Blocks'!$F$170="","",'Manual Blocks'!$D$170)</f>
        <v/>
      </c>
      <c r="E526" s="55">
        <f>IF('Manual Blocks'!$F$170="","",'Manual Blocks'!$E$170)</f>
        <v/>
      </c>
      <c r="F526" s="55">
        <f>IF('Manual Blocks'!$F$170="","",'Manual Blocks'!$F$170)</f>
        <v/>
      </c>
      <c r="G526" s="55">
        <f>IF('Manual Blocks'!$F$170="","",'Manual Blocks'!$G$170)</f>
        <v/>
      </c>
      <c r="H526" s="55">
        <f>IF('Manual Blocks'!$F$170="","",'Manual Blocks'!$H$170)</f>
        <v/>
      </c>
      <c r="I526" s="55">
        <f>IF('Manual Blocks'!$F$170="","",IF('Manual Blocks'!$I$170="","MAN-169",'Manual Blocks'!$I$170))</f>
        <v/>
      </c>
    </row>
    <row r="527">
      <c r="A527" s="55">
        <f>IF('Manual Blocks'!$F$171="","",'Manual Blocks'!$A$171)</f>
        <v/>
      </c>
      <c r="B527" s="63">
        <f>IF('Manual Blocks'!$F$171="","",'Manual Blocks'!$B$171)</f>
        <v/>
      </c>
      <c r="C527" s="63">
        <f>IF('Manual Blocks'!$F$171="","",'Manual Blocks'!$C$171)</f>
        <v/>
      </c>
      <c r="D527" s="55">
        <f>IF('Manual Blocks'!$F$171="","",'Manual Blocks'!$D$171)</f>
        <v/>
      </c>
      <c r="E527" s="55">
        <f>IF('Manual Blocks'!$F$171="","",'Manual Blocks'!$E$171)</f>
        <v/>
      </c>
      <c r="F527" s="55">
        <f>IF('Manual Blocks'!$F$171="","",'Manual Blocks'!$F$171)</f>
        <v/>
      </c>
      <c r="G527" s="55">
        <f>IF('Manual Blocks'!$F$171="","",'Manual Blocks'!$G$171)</f>
        <v/>
      </c>
      <c r="H527" s="55">
        <f>IF('Manual Blocks'!$F$171="","",'Manual Blocks'!$H$171)</f>
        <v/>
      </c>
      <c r="I527" s="55">
        <f>IF('Manual Blocks'!$F$171="","",IF('Manual Blocks'!$I$171="","MAN-170",'Manual Blocks'!$I$171))</f>
        <v/>
      </c>
    </row>
    <row r="528">
      <c r="A528" s="55">
        <f>IF('Manual Blocks'!$F$172="","",'Manual Blocks'!$A$172)</f>
        <v/>
      </c>
      <c r="B528" s="63">
        <f>IF('Manual Blocks'!$F$172="","",'Manual Blocks'!$B$172)</f>
        <v/>
      </c>
      <c r="C528" s="63">
        <f>IF('Manual Blocks'!$F$172="","",'Manual Blocks'!$C$172)</f>
        <v/>
      </c>
      <c r="D528" s="55">
        <f>IF('Manual Blocks'!$F$172="","",'Manual Blocks'!$D$172)</f>
        <v/>
      </c>
      <c r="E528" s="55">
        <f>IF('Manual Blocks'!$F$172="","",'Manual Blocks'!$E$172)</f>
        <v/>
      </c>
      <c r="F528" s="55">
        <f>IF('Manual Blocks'!$F$172="","",'Manual Blocks'!$F$172)</f>
        <v/>
      </c>
      <c r="G528" s="55">
        <f>IF('Manual Blocks'!$F$172="","",'Manual Blocks'!$G$172)</f>
        <v/>
      </c>
      <c r="H528" s="55">
        <f>IF('Manual Blocks'!$F$172="","",'Manual Blocks'!$H$172)</f>
        <v/>
      </c>
      <c r="I528" s="55">
        <f>IF('Manual Blocks'!$F$172="","",IF('Manual Blocks'!$I$172="","MAN-171",'Manual Blocks'!$I$172))</f>
        <v/>
      </c>
    </row>
    <row r="529">
      <c r="A529" s="55">
        <f>IF('Manual Blocks'!$F$173="","",'Manual Blocks'!$A$173)</f>
        <v/>
      </c>
      <c r="B529" s="63">
        <f>IF('Manual Blocks'!$F$173="","",'Manual Blocks'!$B$173)</f>
        <v/>
      </c>
      <c r="C529" s="63">
        <f>IF('Manual Blocks'!$F$173="","",'Manual Blocks'!$C$173)</f>
        <v/>
      </c>
      <c r="D529" s="55">
        <f>IF('Manual Blocks'!$F$173="","",'Manual Blocks'!$D$173)</f>
        <v/>
      </c>
      <c r="E529" s="55">
        <f>IF('Manual Blocks'!$F$173="","",'Manual Blocks'!$E$173)</f>
        <v/>
      </c>
      <c r="F529" s="55">
        <f>IF('Manual Blocks'!$F$173="","",'Manual Blocks'!$F$173)</f>
        <v/>
      </c>
      <c r="G529" s="55">
        <f>IF('Manual Blocks'!$F$173="","",'Manual Blocks'!$G$173)</f>
        <v/>
      </c>
      <c r="H529" s="55">
        <f>IF('Manual Blocks'!$F$173="","",'Manual Blocks'!$H$173)</f>
        <v/>
      </c>
      <c r="I529" s="55">
        <f>IF('Manual Blocks'!$F$173="","",IF('Manual Blocks'!$I$173="","MAN-172",'Manual Blocks'!$I$173))</f>
        <v/>
      </c>
    </row>
    <row r="530">
      <c r="A530" s="55">
        <f>IF('Manual Blocks'!$F$174="","",'Manual Blocks'!$A$174)</f>
        <v/>
      </c>
      <c r="B530" s="63">
        <f>IF('Manual Blocks'!$F$174="","",'Manual Blocks'!$B$174)</f>
        <v/>
      </c>
      <c r="C530" s="63">
        <f>IF('Manual Blocks'!$F$174="","",'Manual Blocks'!$C$174)</f>
        <v/>
      </c>
      <c r="D530" s="55">
        <f>IF('Manual Blocks'!$F$174="","",'Manual Blocks'!$D$174)</f>
        <v/>
      </c>
      <c r="E530" s="55">
        <f>IF('Manual Blocks'!$F$174="","",'Manual Blocks'!$E$174)</f>
        <v/>
      </c>
      <c r="F530" s="55">
        <f>IF('Manual Blocks'!$F$174="","",'Manual Blocks'!$F$174)</f>
        <v/>
      </c>
      <c r="G530" s="55">
        <f>IF('Manual Blocks'!$F$174="","",'Manual Blocks'!$G$174)</f>
        <v/>
      </c>
      <c r="H530" s="55">
        <f>IF('Manual Blocks'!$F$174="","",'Manual Blocks'!$H$174)</f>
        <v/>
      </c>
      <c r="I530" s="55">
        <f>IF('Manual Blocks'!$F$174="","",IF('Manual Blocks'!$I$174="","MAN-173",'Manual Blocks'!$I$174))</f>
        <v/>
      </c>
    </row>
    <row r="531">
      <c r="A531" s="55">
        <f>IF('Manual Blocks'!$F$175="","",'Manual Blocks'!$A$175)</f>
        <v/>
      </c>
      <c r="B531" s="63">
        <f>IF('Manual Blocks'!$F$175="","",'Manual Blocks'!$B$175)</f>
        <v/>
      </c>
      <c r="C531" s="63">
        <f>IF('Manual Blocks'!$F$175="","",'Manual Blocks'!$C$175)</f>
        <v/>
      </c>
      <c r="D531" s="55">
        <f>IF('Manual Blocks'!$F$175="","",'Manual Blocks'!$D$175)</f>
        <v/>
      </c>
      <c r="E531" s="55">
        <f>IF('Manual Blocks'!$F$175="","",'Manual Blocks'!$E$175)</f>
        <v/>
      </c>
      <c r="F531" s="55">
        <f>IF('Manual Blocks'!$F$175="","",'Manual Blocks'!$F$175)</f>
        <v/>
      </c>
      <c r="G531" s="55">
        <f>IF('Manual Blocks'!$F$175="","",'Manual Blocks'!$G$175)</f>
        <v/>
      </c>
      <c r="H531" s="55">
        <f>IF('Manual Blocks'!$F$175="","",'Manual Blocks'!$H$175)</f>
        <v/>
      </c>
      <c r="I531" s="55">
        <f>IF('Manual Blocks'!$F$175="","",IF('Manual Blocks'!$I$175="","MAN-174",'Manual Blocks'!$I$175))</f>
        <v/>
      </c>
    </row>
    <row r="532">
      <c r="A532" s="55">
        <f>IF('Manual Blocks'!$F$176="","",'Manual Blocks'!$A$176)</f>
        <v/>
      </c>
      <c r="B532" s="63">
        <f>IF('Manual Blocks'!$F$176="","",'Manual Blocks'!$B$176)</f>
        <v/>
      </c>
      <c r="C532" s="63">
        <f>IF('Manual Blocks'!$F$176="","",'Manual Blocks'!$C$176)</f>
        <v/>
      </c>
      <c r="D532" s="55">
        <f>IF('Manual Blocks'!$F$176="","",'Manual Blocks'!$D$176)</f>
        <v/>
      </c>
      <c r="E532" s="55">
        <f>IF('Manual Blocks'!$F$176="","",'Manual Blocks'!$E$176)</f>
        <v/>
      </c>
      <c r="F532" s="55">
        <f>IF('Manual Blocks'!$F$176="","",'Manual Blocks'!$F$176)</f>
        <v/>
      </c>
      <c r="G532" s="55">
        <f>IF('Manual Blocks'!$F$176="","",'Manual Blocks'!$G$176)</f>
        <v/>
      </c>
      <c r="H532" s="55">
        <f>IF('Manual Blocks'!$F$176="","",'Manual Blocks'!$H$176)</f>
        <v/>
      </c>
      <c r="I532" s="55">
        <f>IF('Manual Blocks'!$F$176="","",IF('Manual Blocks'!$I$176="","MAN-175",'Manual Blocks'!$I$176))</f>
        <v/>
      </c>
    </row>
    <row r="533">
      <c r="A533" s="55">
        <f>IF('Manual Blocks'!$F$177="","",'Manual Blocks'!$A$177)</f>
        <v/>
      </c>
      <c r="B533" s="63">
        <f>IF('Manual Blocks'!$F$177="","",'Manual Blocks'!$B$177)</f>
        <v/>
      </c>
      <c r="C533" s="63">
        <f>IF('Manual Blocks'!$F$177="","",'Manual Blocks'!$C$177)</f>
        <v/>
      </c>
      <c r="D533" s="55">
        <f>IF('Manual Blocks'!$F$177="","",'Manual Blocks'!$D$177)</f>
        <v/>
      </c>
      <c r="E533" s="55">
        <f>IF('Manual Blocks'!$F$177="","",'Manual Blocks'!$E$177)</f>
        <v/>
      </c>
      <c r="F533" s="55">
        <f>IF('Manual Blocks'!$F$177="","",'Manual Blocks'!$F$177)</f>
        <v/>
      </c>
      <c r="G533" s="55">
        <f>IF('Manual Blocks'!$F$177="","",'Manual Blocks'!$G$177)</f>
        <v/>
      </c>
      <c r="H533" s="55">
        <f>IF('Manual Blocks'!$F$177="","",'Manual Blocks'!$H$177)</f>
        <v/>
      </c>
      <c r="I533" s="55">
        <f>IF('Manual Blocks'!$F$177="","",IF('Manual Blocks'!$I$177="","MAN-176",'Manual Blocks'!$I$177))</f>
        <v/>
      </c>
    </row>
    <row r="534">
      <c r="A534" s="55">
        <f>IF('Manual Blocks'!$F$178="","",'Manual Blocks'!$A$178)</f>
        <v/>
      </c>
      <c r="B534" s="63">
        <f>IF('Manual Blocks'!$F$178="","",'Manual Blocks'!$B$178)</f>
        <v/>
      </c>
      <c r="C534" s="63">
        <f>IF('Manual Blocks'!$F$178="","",'Manual Blocks'!$C$178)</f>
        <v/>
      </c>
      <c r="D534" s="55">
        <f>IF('Manual Blocks'!$F$178="","",'Manual Blocks'!$D$178)</f>
        <v/>
      </c>
      <c r="E534" s="55">
        <f>IF('Manual Blocks'!$F$178="","",'Manual Blocks'!$E$178)</f>
        <v/>
      </c>
      <c r="F534" s="55">
        <f>IF('Manual Blocks'!$F$178="","",'Manual Blocks'!$F$178)</f>
        <v/>
      </c>
      <c r="G534" s="55">
        <f>IF('Manual Blocks'!$F$178="","",'Manual Blocks'!$G$178)</f>
        <v/>
      </c>
      <c r="H534" s="55">
        <f>IF('Manual Blocks'!$F$178="","",'Manual Blocks'!$H$178)</f>
        <v/>
      </c>
      <c r="I534" s="55">
        <f>IF('Manual Blocks'!$F$178="","",IF('Manual Blocks'!$I$178="","MAN-177",'Manual Blocks'!$I$178))</f>
        <v/>
      </c>
    </row>
    <row r="535">
      <c r="A535" s="55">
        <f>IF('Manual Blocks'!$F$179="","",'Manual Blocks'!$A$179)</f>
        <v/>
      </c>
      <c r="B535" s="63">
        <f>IF('Manual Blocks'!$F$179="","",'Manual Blocks'!$B$179)</f>
        <v/>
      </c>
      <c r="C535" s="63">
        <f>IF('Manual Blocks'!$F$179="","",'Manual Blocks'!$C$179)</f>
        <v/>
      </c>
      <c r="D535" s="55">
        <f>IF('Manual Blocks'!$F$179="","",'Manual Blocks'!$D$179)</f>
        <v/>
      </c>
      <c r="E535" s="55">
        <f>IF('Manual Blocks'!$F$179="","",'Manual Blocks'!$E$179)</f>
        <v/>
      </c>
      <c r="F535" s="55">
        <f>IF('Manual Blocks'!$F$179="","",'Manual Blocks'!$F$179)</f>
        <v/>
      </c>
      <c r="G535" s="55">
        <f>IF('Manual Blocks'!$F$179="","",'Manual Blocks'!$G$179)</f>
        <v/>
      </c>
      <c r="H535" s="55">
        <f>IF('Manual Blocks'!$F$179="","",'Manual Blocks'!$H$179)</f>
        <v/>
      </c>
      <c r="I535" s="55">
        <f>IF('Manual Blocks'!$F$179="","",IF('Manual Blocks'!$I$179="","MAN-178",'Manual Blocks'!$I$179))</f>
        <v/>
      </c>
    </row>
    <row r="536">
      <c r="A536" s="55">
        <f>IF('Manual Blocks'!$F$180="","",'Manual Blocks'!$A$180)</f>
        <v/>
      </c>
      <c r="B536" s="63">
        <f>IF('Manual Blocks'!$F$180="","",'Manual Blocks'!$B$180)</f>
        <v/>
      </c>
      <c r="C536" s="63">
        <f>IF('Manual Blocks'!$F$180="","",'Manual Blocks'!$C$180)</f>
        <v/>
      </c>
      <c r="D536" s="55">
        <f>IF('Manual Blocks'!$F$180="","",'Manual Blocks'!$D$180)</f>
        <v/>
      </c>
      <c r="E536" s="55">
        <f>IF('Manual Blocks'!$F$180="","",'Manual Blocks'!$E$180)</f>
        <v/>
      </c>
      <c r="F536" s="55">
        <f>IF('Manual Blocks'!$F$180="","",'Manual Blocks'!$F$180)</f>
        <v/>
      </c>
      <c r="G536" s="55">
        <f>IF('Manual Blocks'!$F$180="","",'Manual Blocks'!$G$180)</f>
        <v/>
      </c>
      <c r="H536" s="55">
        <f>IF('Manual Blocks'!$F$180="","",'Manual Blocks'!$H$180)</f>
        <v/>
      </c>
      <c r="I536" s="55">
        <f>IF('Manual Blocks'!$F$180="","",IF('Manual Blocks'!$I$180="","MAN-179",'Manual Blocks'!$I$180))</f>
        <v/>
      </c>
    </row>
    <row r="537">
      <c r="A537" s="55">
        <f>IF('Manual Blocks'!$F$181="","",'Manual Blocks'!$A$181)</f>
        <v/>
      </c>
      <c r="B537" s="63">
        <f>IF('Manual Blocks'!$F$181="","",'Manual Blocks'!$B$181)</f>
        <v/>
      </c>
      <c r="C537" s="63">
        <f>IF('Manual Blocks'!$F$181="","",'Manual Blocks'!$C$181)</f>
        <v/>
      </c>
      <c r="D537" s="55">
        <f>IF('Manual Blocks'!$F$181="","",'Manual Blocks'!$D$181)</f>
        <v/>
      </c>
      <c r="E537" s="55">
        <f>IF('Manual Blocks'!$F$181="","",'Manual Blocks'!$E$181)</f>
        <v/>
      </c>
      <c r="F537" s="55">
        <f>IF('Manual Blocks'!$F$181="","",'Manual Blocks'!$F$181)</f>
        <v/>
      </c>
      <c r="G537" s="55">
        <f>IF('Manual Blocks'!$F$181="","",'Manual Blocks'!$G$181)</f>
        <v/>
      </c>
      <c r="H537" s="55">
        <f>IF('Manual Blocks'!$F$181="","",'Manual Blocks'!$H$181)</f>
        <v/>
      </c>
      <c r="I537" s="55">
        <f>IF('Manual Blocks'!$F$181="","",IF('Manual Blocks'!$I$181="","MAN-180",'Manual Blocks'!$I$181))</f>
        <v/>
      </c>
    </row>
    <row r="538">
      <c r="A538" s="55">
        <f>IF('Manual Blocks'!$F$182="","",'Manual Blocks'!$A$182)</f>
        <v/>
      </c>
      <c r="B538" s="63">
        <f>IF('Manual Blocks'!$F$182="","",'Manual Blocks'!$B$182)</f>
        <v/>
      </c>
      <c r="C538" s="63">
        <f>IF('Manual Blocks'!$F$182="","",'Manual Blocks'!$C$182)</f>
        <v/>
      </c>
      <c r="D538" s="55">
        <f>IF('Manual Blocks'!$F$182="","",'Manual Blocks'!$D$182)</f>
        <v/>
      </c>
      <c r="E538" s="55">
        <f>IF('Manual Blocks'!$F$182="","",'Manual Blocks'!$E$182)</f>
        <v/>
      </c>
      <c r="F538" s="55">
        <f>IF('Manual Blocks'!$F$182="","",'Manual Blocks'!$F$182)</f>
        <v/>
      </c>
      <c r="G538" s="55">
        <f>IF('Manual Blocks'!$F$182="","",'Manual Blocks'!$G$182)</f>
        <v/>
      </c>
      <c r="H538" s="55">
        <f>IF('Manual Blocks'!$F$182="","",'Manual Blocks'!$H$182)</f>
        <v/>
      </c>
      <c r="I538" s="55">
        <f>IF('Manual Blocks'!$F$182="","",IF('Manual Blocks'!$I$182="","MAN-181",'Manual Blocks'!$I$182))</f>
        <v/>
      </c>
    </row>
    <row r="539">
      <c r="A539" s="55">
        <f>IF('Manual Blocks'!$F$183="","",'Manual Blocks'!$A$183)</f>
        <v/>
      </c>
      <c r="B539" s="63">
        <f>IF('Manual Blocks'!$F$183="","",'Manual Blocks'!$B$183)</f>
        <v/>
      </c>
      <c r="C539" s="63">
        <f>IF('Manual Blocks'!$F$183="","",'Manual Blocks'!$C$183)</f>
        <v/>
      </c>
      <c r="D539" s="55">
        <f>IF('Manual Blocks'!$F$183="","",'Manual Blocks'!$D$183)</f>
        <v/>
      </c>
      <c r="E539" s="55">
        <f>IF('Manual Blocks'!$F$183="","",'Manual Blocks'!$E$183)</f>
        <v/>
      </c>
      <c r="F539" s="55">
        <f>IF('Manual Blocks'!$F$183="","",'Manual Blocks'!$F$183)</f>
        <v/>
      </c>
      <c r="G539" s="55">
        <f>IF('Manual Blocks'!$F$183="","",'Manual Blocks'!$G$183)</f>
        <v/>
      </c>
      <c r="H539" s="55">
        <f>IF('Manual Blocks'!$F$183="","",'Manual Blocks'!$H$183)</f>
        <v/>
      </c>
      <c r="I539" s="55">
        <f>IF('Manual Blocks'!$F$183="","",IF('Manual Blocks'!$I$183="","MAN-182",'Manual Blocks'!$I$183))</f>
        <v/>
      </c>
    </row>
    <row r="540">
      <c r="A540" s="55">
        <f>IF('Manual Blocks'!$F$184="","",'Manual Blocks'!$A$184)</f>
        <v/>
      </c>
      <c r="B540" s="63">
        <f>IF('Manual Blocks'!$F$184="","",'Manual Blocks'!$B$184)</f>
        <v/>
      </c>
      <c r="C540" s="63">
        <f>IF('Manual Blocks'!$F$184="","",'Manual Blocks'!$C$184)</f>
        <v/>
      </c>
      <c r="D540" s="55">
        <f>IF('Manual Blocks'!$F$184="","",'Manual Blocks'!$D$184)</f>
        <v/>
      </c>
      <c r="E540" s="55">
        <f>IF('Manual Blocks'!$F$184="","",'Manual Blocks'!$E$184)</f>
        <v/>
      </c>
      <c r="F540" s="55">
        <f>IF('Manual Blocks'!$F$184="","",'Manual Blocks'!$F$184)</f>
        <v/>
      </c>
      <c r="G540" s="55">
        <f>IF('Manual Blocks'!$F$184="","",'Manual Blocks'!$G$184)</f>
        <v/>
      </c>
      <c r="H540" s="55">
        <f>IF('Manual Blocks'!$F$184="","",'Manual Blocks'!$H$184)</f>
        <v/>
      </c>
      <c r="I540" s="55">
        <f>IF('Manual Blocks'!$F$184="","",IF('Manual Blocks'!$I$184="","MAN-183",'Manual Blocks'!$I$184))</f>
        <v/>
      </c>
    </row>
    <row r="541">
      <c r="A541" s="55">
        <f>IF('Manual Blocks'!$F$185="","",'Manual Blocks'!$A$185)</f>
        <v/>
      </c>
      <c r="B541" s="63">
        <f>IF('Manual Blocks'!$F$185="","",'Manual Blocks'!$B$185)</f>
        <v/>
      </c>
      <c r="C541" s="63">
        <f>IF('Manual Blocks'!$F$185="","",'Manual Blocks'!$C$185)</f>
        <v/>
      </c>
      <c r="D541" s="55">
        <f>IF('Manual Blocks'!$F$185="","",'Manual Blocks'!$D$185)</f>
        <v/>
      </c>
      <c r="E541" s="55">
        <f>IF('Manual Blocks'!$F$185="","",'Manual Blocks'!$E$185)</f>
        <v/>
      </c>
      <c r="F541" s="55">
        <f>IF('Manual Blocks'!$F$185="","",'Manual Blocks'!$F$185)</f>
        <v/>
      </c>
      <c r="G541" s="55">
        <f>IF('Manual Blocks'!$F$185="","",'Manual Blocks'!$G$185)</f>
        <v/>
      </c>
      <c r="H541" s="55">
        <f>IF('Manual Blocks'!$F$185="","",'Manual Blocks'!$H$185)</f>
        <v/>
      </c>
      <c r="I541" s="55">
        <f>IF('Manual Blocks'!$F$185="","",IF('Manual Blocks'!$I$185="","MAN-184",'Manual Blocks'!$I$185))</f>
        <v/>
      </c>
    </row>
    <row r="542">
      <c r="A542" s="55">
        <f>IF('Manual Blocks'!$F$186="","",'Manual Blocks'!$A$186)</f>
        <v/>
      </c>
      <c r="B542" s="63">
        <f>IF('Manual Blocks'!$F$186="","",'Manual Blocks'!$B$186)</f>
        <v/>
      </c>
      <c r="C542" s="63">
        <f>IF('Manual Blocks'!$F$186="","",'Manual Blocks'!$C$186)</f>
        <v/>
      </c>
      <c r="D542" s="55">
        <f>IF('Manual Blocks'!$F$186="","",'Manual Blocks'!$D$186)</f>
        <v/>
      </c>
      <c r="E542" s="55">
        <f>IF('Manual Blocks'!$F$186="","",'Manual Blocks'!$E$186)</f>
        <v/>
      </c>
      <c r="F542" s="55">
        <f>IF('Manual Blocks'!$F$186="","",'Manual Blocks'!$F$186)</f>
        <v/>
      </c>
      <c r="G542" s="55">
        <f>IF('Manual Blocks'!$F$186="","",'Manual Blocks'!$G$186)</f>
        <v/>
      </c>
      <c r="H542" s="55">
        <f>IF('Manual Blocks'!$F$186="","",'Manual Blocks'!$H$186)</f>
        <v/>
      </c>
      <c r="I542" s="55">
        <f>IF('Manual Blocks'!$F$186="","",IF('Manual Blocks'!$I$186="","MAN-185",'Manual Blocks'!$I$186))</f>
        <v/>
      </c>
    </row>
    <row r="543">
      <c r="A543" s="55">
        <f>IF('Manual Blocks'!$F$187="","",'Manual Blocks'!$A$187)</f>
        <v/>
      </c>
      <c r="B543" s="63">
        <f>IF('Manual Blocks'!$F$187="","",'Manual Blocks'!$B$187)</f>
        <v/>
      </c>
      <c r="C543" s="63">
        <f>IF('Manual Blocks'!$F$187="","",'Manual Blocks'!$C$187)</f>
        <v/>
      </c>
      <c r="D543" s="55">
        <f>IF('Manual Blocks'!$F$187="","",'Manual Blocks'!$D$187)</f>
        <v/>
      </c>
      <c r="E543" s="55">
        <f>IF('Manual Blocks'!$F$187="","",'Manual Blocks'!$E$187)</f>
        <v/>
      </c>
      <c r="F543" s="55">
        <f>IF('Manual Blocks'!$F$187="","",'Manual Blocks'!$F$187)</f>
        <v/>
      </c>
      <c r="G543" s="55">
        <f>IF('Manual Blocks'!$F$187="","",'Manual Blocks'!$G$187)</f>
        <v/>
      </c>
      <c r="H543" s="55">
        <f>IF('Manual Blocks'!$F$187="","",'Manual Blocks'!$H$187)</f>
        <v/>
      </c>
      <c r="I543" s="55">
        <f>IF('Manual Blocks'!$F$187="","",IF('Manual Blocks'!$I$187="","MAN-186",'Manual Blocks'!$I$187))</f>
        <v/>
      </c>
    </row>
    <row r="544">
      <c r="A544" s="55">
        <f>IF('Manual Blocks'!$F$188="","",'Manual Blocks'!$A$188)</f>
        <v/>
      </c>
      <c r="B544" s="63">
        <f>IF('Manual Blocks'!$F$188="","",'Manual Blocks'!$B$188)</f>
        <v/>
      </c>
      <c r="C544" s="63">
        <f>IF('Manual Blocks'!$F$188="","",'Manual Blocks'!$C$188)</f>
        <v/>
      </c>
      <c r="D544" s="55">
        <f>IF('Manual Blocks'!$F$188="","",'Manual Blocks'!$D$188)</f>
        <v/>
      </c>
      <c r="E544" s="55">
        <f>IF('Manual Blocks'!$F$188="","",'Manual Blocks'!$E$188)</f>
        <v/>
      </c>
      <c r="F544" s="55">
        <f>IF('Manual Blocks'!$F$188="","",'Manual Blocks'!$F$188)</f>
        <v/>
      </c>
      <c r="G544" s="55">
        <f>IF('Manual Blocks'!$F$188="","",'Manual Blocks'!$G$188)</f>
        <v/>
      </c>
      <c r="H544" s="55">
        <f>IF('Manual Blocks'!$F$188="","",'Manual Blocks'!$H$188)</f>
        <v/>
      </c>
      <c r="I544" s="55">
        <f>IF('Manual Blocks'!$F$188="","",IF('Manual Blocks'!$I$188="","MAN-187",'Manual Blocks'!$I$188))</f>
        <v/>
      </c>
    </row>
    <row r="545">
      <c r="A545" s="55">
        <f>IF('Manual Blocks'!$F$189="","",'Manual Blocks'!$A$189)</f>
        <v/>
      </c>
      <c r="B545" s="63">
        <f>IF('Manual Blocks'!$F$189="","",'Manual Blocks'!$B$189)</f>
        <v/>
      </c>
      <c r="C545" s="63">
        <f>IF('Manual Blocks'!$F$189="","",'Manual Blocks'!$C$189)</f>
        <v/>
      </c>
      <c r="D545" s="55">
        <f>IF('Manual Blocks'!$F$189="","",'Manual Blocks'!$D$189)</f>
        <v/>
      </c>
      <c r="E545" s="55">
        <f>IF('Manual Blocks'!$F$189="","",'Manual Blocks'!$E$189)</f>
        <v/>
      </c>
      <c r="F545" s="55">
        <f>IF('Manual Blocks'!$F$189="","",'Manual Blocks'!$F$189)</f>
        <v/>
      </c>
      <c r="G545" s="55">
        <f>IF('Manual Blocks'!$F$189="","",'Manual Blocks'!$G$189)</f>
        <v/>
      </c>
      <c r="H545" s="55">
        <f>IF('Manual Blocks'!$F$189="","",'Manual Blocks'!$H$189)</f>
        <v/>
      </c>
      <c r="I545" s="55">
        <f>IF('Manual Blocks'!$F$189="","",IF('Manual Blocks'!$I$189="","MAN-188",'Manual Blocks'!$I$189))</f>
        <v/>
      </c>
    </row>
    <row r="546">
      <c r="A546" s="55">
        <f>IF('Manual Blocks'!$F$190="","",'Manual Blocks'!$A$190)</f>
        <v/>
      </c>
      <c r="B546" s="63">
        <f>IF('Manual Blocks'!$F$190="","",'Manual Blocks'!$B$190)</f>
        <v/>
      </c>
      <c r="C546" s="63">
        <f>IF('Manual Blocks'!$F$190="","",'Manual Blocks'!$C$190)</f>
        <v/>
      </c>
      <c r="D546" s="55">
        <f>IF('Manual Blocks'!$F$190="","",'Manual Blocks'!$D$190)</f>
        <v/>
      </c>
      <c r="E546" s="55">
        <f>IF('Manual Blocks'!$F$190="","",'Manual Blocks'!$E$190)</f>
        <v/>
      </c>
      <c r="F546" s="55">
        <f>IF('Manual Blocks'!$F$190="","",'Manual Blocks'!$F$190)</f>
        <v/>
      </c>
      <c r="G546" s="55">
        <f>IF('Manual Blocks'!$F$190="","",'Manual Blocks'!$G$190)</f>
        <v/>
      </c>
      <c r="H546" s="55">
        <f>IF('Manual Blocks'!$F$190="","",'Manual Blocks'!$H$190)</f>
        <v/>
      </c>
      <c r="I546" s="55">
        <f>IF('Manual Blocks'!$F$190="","",IF('Manual Blocks'!$I$190="","MAN-189",'Manual Blocks'!$I$190))</f>
        <v/>
      </c>
    </row>
    <row r="547">
      <c r="A547" s="55">
        <f>IF('Manual Blocks'!$F$191="","",'Manual Blocks'!$A$191)</f>
        <v/>
      </c>
      <c r="B547" s="63">
        <f>IF('Manual Blocks'!$F$191="","",'Manual Blocks'!$B$191)</f>
        <v/>
      </c>
      <c r="C547" s="63">
        <f>IF('Manual Blocks'!$F$191="","",'Manual Blocks'!$C$191)</f>
        <v/>
      </c>
      <c r="D547" s="55">
        <f>IF('Manual Blocks'!$F$191="","",'Manual Blocks'!$D$191)</f>
        <v/>
      </c>
      <c r="E547" s="55">
        <f>IF('Manual Blocks'!$F$191="","",'Manual Blocks'!$E$191)</f>
        <v/>
      </c>
      <c r="F547" s="55">
        <f>IF('Manual Blocks'!$F$191="","",'Manual Blocks'!$F$191)</f>
        <v/>
      </c>
      <c r="G547" s="55">
        <f>IF('Manual Blocks'!$F$191="","",'Manual Blocks'!$G$191)</f>
        <v/>
      </c>
      <c r="H547" s="55">
        <f>IF('Manual Blocks'!$F$191="","",'Manual Blocks'!$H$191)</f>
        <v/>
      </c>
      <c r="I547" s="55">
        <f>IF('Manual Blocks'!$F$191="","",IF('Manual Blocks'!$I$191="","MAN-190",'Manual Blocks'!$I$191))</f>
        <v/>
      </c>
    </row>
    <row r="548">
      <c r="A548" s="55">
        <f>IF('Manual Blocks'!$F$192="","",'Manual Blocks'!$A$192)</f>
        <v/>
      </c>
      <c r="B548" s="63">
        <f>IF('Manual Blocks'!$F$192="","",'Manual Blocks'!$B$192)</f>
        <v/>
      </c>
      <c r="C548" s="63">
        <f>IF('Manual Blocks'!$F$192="","",'Manual Blocks'!$C$192)</f>
        <v/>
      </c>
      <c r="D548" s="55">
        <f>IF('Manual Blocks'!$F$192="","",'Manual Blocks'!$D$192)</f>
        <v/>
      </c>
      <c r="E548" s="55">
        <f>IF('Manual Blocks'!$F$192="","",'Manual Blocks'!$E$192)</f>
        <v/>
      </c>
      <c r="F548" s="55">
        <f>IF('Manual Blocks'!$F$192="","",'Manual Blocks'!$F$192)</f>
        <v/>
      </c>
      <c r="G548" s="55">
        <f>IF('Manual Blocks'!$F$192="","",'Manual Blocks'!$G$192)</f>
        <v/>
      </c>
      <c r="H548" s="55">
        <f>IF('Manual Blocks'!$F$192="","",'Manual Blocks'!$H$192)</f>
        <v/>
      </c>
      <c r="I548" s="55">
        <f>IF('Manual Blocks'!$F$192="","",IF('Manual Blocks'!$I$192="","MAN-191",'Manual Blocks'!$I$192))</f>
        <v/>
      </c>
    </row>
    <row r="549">
      <c r="A549" s="55">
        <f>IF('Manual Blocks'!$F$193="","",'Manual Blocks'!$A$193)</f>
        <v/>
      </c>
      <c r="B549" s="63">
        <f>IF('Manual Blocks'!$F$193="","",'Manual Blocks'!$B$193)</f>
        <v/>
      </c>
      <c r="C549" s="63">
        <f>IF('Manual Blocks'!$F$193="","",'Manual Blocks'!$C$193)</f>
        <v/>
      </c>
      <c r="D549" s="55">
        <f>IF('Manual Blocks'!$F$193="","",'Manual Blocks'!$D$193)</f>
        <v/>
      </c>
      <c r="E549" s="55">
        <f>IF('Manual Blocks'!$F$193="","",'Manual Blocks'!$E$193)</f>
        <v/>
      </c>
      <c r="F549" s="55">
        <f>IF('Manual Blocks'!$F$193="","",'Manual Blocks'!$F$193)</f>
        <v/>
      </c>
      <c r="G549" s="55">
        <f>IF('Manual Blocks'!$F$193="","",'Manual Blocks'!$G$193)</f>
        <v/>
      </c>
      <c r="H549" s="55">
        <f>IF('Manual Blocks'!$F$193="","",'Manual Blocks'!$H$193)</f>
        <v/>
      </c>
      <c r="I549" s="55">
        <f>IF('Manual Blocks'!$F$193="","",IF('Manual Blocks'!$I$193="","MAN-192",'Manual Blocks'!$I$193))</f>
        <v/>
      </c>
    </row>
    <row r="550">
      <c r="A550" s="55">
        <f>IF('Manual Blocks'!$F$194="","",'Manual Blocks'!$A$194)</f>
        <v/>
      </c>
      <c r="B550" s="63">
        <f>IF('Manual Blocks'!$F$194="","",'Manual Blocks'!$B$194)</f>
        <v/>
      </c>
      <c r="C550" s="63">
        <f>IF('Manual Blocks'!$F$194="","",'Manual Blocks'!$C$194)</f>
        <v/>
      </c>
      <c r="D550" s="55">
        <f>IF('Manual Blocks'!$F$194="","",'Manual Blocks'!$D$194)</f>
        <v/>
      </c>
      <c r="E550" s="55">
        <f>IF('Manual Blocks'!$F$194="","",'Manual Blocks'!$E$194)</f>
        <v/>
      </c>
      <c r="F550" s="55">
        <f>IF('Manual Blocks'!$F$194="","",'Manual Blocks'!$F$194)</f>
        <v/>
      </c>
      <c r="G550" s="55">
        <f>IF('Manual Blocks'!$F$194="","",'Manual Blocks'!$G$194)</f>
        <v/>
      </c>
      <c r="H550" s="55">
        <f>IF('Manual Blocks'!$F$194="","",'Manual Blocks'!$H$194)</f>
        <v/>
      </c>
      <c r="I550" s="55">
        <f>IF('Manual Blocks'!$F$194="","",IF('Manual Blocks'!$I$194="","MAN-193",'Manual Blocks'!$I$194))</f>
        <v/>
      </c>
    </row>
    <row r="551">
      <c r="A551" s="55">
        <f>IF('Manual Blocks'!$F$195="","",'Manual Blocks'!$A$195)</f>
        <v/>
      </c>
      <c r="B551" s="63">
        <f>IF('Manual Blocks'!$F$195="","",'Manual Blocks'!$B$195)</f>
        <v/>
      </c>
      <c r="C551" s="63">
        <f>IF('Manual Blocks'!$F$195="","",'Manual Blocks'!$C$195)</f>
        <v/>
      </c>
      <c r="D551" s="55">
        <f>IF('Manual Blocks'!$F$195="","",'Manual Blocks'!$D$195)</f>
        <v/>
      </c>
      <c r="E551" s="55">
        <f>IF('Manual Blocks'!$F$195="","",'Manual Blocks'!$E$195)</f>
        <v/>
      </c>
      <c r="F551" s="55">
        <f>IF('Manual Blocks'!$F$195="","",'Manual Blocks'!$F$195)</f>
        <v/>
      </c>
      <c r="G551" s="55">
        <f>IF('Manual Blocks'!$F$195="","",'Manual Blocks'!$G$195)</f>
        <v/>
      </c>
      <c r="H551" s="55">
        <f>IF('Manual Blocks'!$F$195="","",'Manual Blocks'!$H$195)</f>
        <v/>
      </c>
      <c r="I551" s="55">
        <f>IF('Manual Blocks'!$F$195="","",IF('Manual Blocks'!$I$195="","MAN-194",'Manual Blocks'!$I$195))</f>
        <v/>
      </c>
    </row>
    <row r="552">
      <c r="A552" s="55">
        <f>IF('Manual Blocks'!$F$196="","",'Manual Blocks'!$A$196)</f>
        <v/>
      </c>
      <c r="B552" s="63">
        <f>IF('Manual Blocks'!$F$196="","",'Manual Blocks'!$B$196)</f>
        <v/>
      </c>
      <c r="C552" s="63">
        <f>IF('Manual Blocks'!$F$196="","",'Manual Blocks'!$C$196)</f>
        <v/>
      </c>
      <c r="D552" s="55">
        <f>IF('Manual Blocks'!$F$196="","",'Manual Blocks'!$D$196)</f>
        <v/>
      </c>
      <c r="E552" s="55">
        <f>IF('Manual Blocks'!$F$196="","",'Manual Blocks'!$E$196)</f>
        <v/>
      </c>
      <c r="F552" s="55">
        <f>IF('Manual Blocks'!$F$196="","",'Manual Blocks'!$F$196)</f>
        <v/>
      </c>
      <c r="G552" s="55">
        <f>IF('Manual Blocks'!$F$196="","",'Manual Blocks'!$G$196)</f>
        <v/>
      </c>
      <c r="H552" s="55">
        <f>IF('Manual Blocks'!$F$196="","",'Manual Blocks'!$H$196)</f>
        <v/>
      </c>
      <c r="I552" s="55">
        <f>IF('Manual Blocks'!$F$196="","",IF('Manual Blocks'!$I$196="","MAN-195",'Manual Blocks'!$I$196))</f>
        <v/>
      </c>
    </row>
    <row r="553">
      <c r="A553" s="55">
        <f>IF('Manual Blocks'!$F$197="","",'Manual Blocks'!$A$197)</f>
        <v/>
      </c>
      <c r="B553" s="63">
        <f>IF('Manual Blocks'!$F$197="","",'Manual Blocks'!$B$197)</f>
        <v/>
      </c>
      <c r="C553" s="63">
        <f>IF('Manual Blocks'!$F$197="","",'Manual Blocks'!$C$197)</f>
        <v/>
      </c>
      <c r="D553" s="55">
        <f>IF('Manual Blocks'!$F$197="","",'Manual Blocks'!$D$197)</f>
        <v/>
      </c>
      <c r="E553" s="55">
        <f>IF('Manual Blocks'!$F$197="","",'Manual Blocks'!$E$197)</f>
        <v/>
      </c>
      <c r="F553" s="55">
        <f>IF('Manual Blocks'!$F$197="","",'Manual Blocks'!$F$197)</f>
        <v/>
      </c>
      <c r="G553" s="55">
        <f>IF('Manual Blocks'!$F$197="","",'Manual Blocks'!$G$197)</f>
        <v/>
      </c>
      <c r="H553" s="55">
        <f>IF('Manual Blocks'!$F$197="","",'Manual Blocks'!$H$197)</f>
        <v/>
      </c>
      <c r="I553" s="55">
        <f>IF('Manual Blocks'!$F$197="","",IF('Manual Blocks'!$I$197="","MAN-196",'Manual Blocks'!$I$197))</f>
        <v/>
      </c>
    </row>
    <row r="554">
      <c r="A554" s="55">
        <f>IF('Manual Blocks'!$F$198="","",'Manual Blocks'!$A$198)</f>
        <v/>
      </c>
      <c r="B554" s="63">
        <f>IF('Manual Blocks'!$F$198="","",'Manual Blocks'!$B$198)</f>
        <v/>
      </c>
      <c r="C554" s="63">
        <f>IF('Manual Blocks'!$F$198="","",'Manual Blocks'!$C$198)</f>
        <v/>
      </c>
      <c r="D554" s="55">
        <f>IF('Manual Blocks'!$F$198="","",'Manual Blocks'!$D$198)</f>
        <v/>
      </c>
      <c r="E554" s="55">
        <f>IF('Manual Blocks'!$F$198="","",'Manual Blocks'!$E$198)</f>
        <v/>
      </c>
      <c r="F554" s="55">
        <f>IF('Manual Blocks'!$F$198="","",'Manual Blocks'!$F$198)</f>
        <v/>
      </c>
      <c r="G554" s="55">
        <f>IF('Manual Blocks'!$F$198="","",'Manual Blocks'!$G$198)</f>
        <v/>
      </c>
      <c r="H554" s="55">
        <f>IF('Manual Blocks'!$F$198="","",'Manual Blocks'!$H$198)</f>
        <v/>
      </c>
      <c r="I554" s="55">
        <f>IF('Manual Blocks'!$F$198="","",IF('Manual Blocks'!$I$198="","MAN-197",'Manual Blocks'!$I$198))</f>
        <v/>
      </c>
    </row>
    <row r="555">
      <c r="A555" s="55">
        <f>IF('Manual Blocks'!$F$199="","",'Manual Blocks'!$A$199)</f>
        <v/>
      </c>
      <c r="B555" s="63">
        <f>IF('Manual Blocks'!$F$199="","",'Manual Blocks'!$B$199)</f>
        <v/>
      </c>
      <c r="C555" s="63">
        <f>IF('Manual Blocks'!$F$199="","",'Manual Blocks'!$C$199)</f>
        <v/>
      </c>
      <c r="D555" s="55">
        <f>IF('Manual Blocks'!$F$199="","",'Manual Blocks'!$D$199)</f>
        <v/>
      </c>
      <c r="E555" s="55">
        <f>IF('Manual Blocks'!$F$199="","",'Manual Blocks'!$E$199)</f>
        <v/>
      </c>
      <c r="F555" s="55">
        <f>IF('Manual Blocks'!$F$199="","",'Manual Blocks'!$F$199)</f>
        <v/>
      </c>
      <c r="G555" s="55">
        <f>IF('Manual Blocks'!$F$199="","",'Manual Blocks'!$G$199)</f>
        <v/>
      </c>
      <c r="H555" s="55">
        <f>IF('Manual Blocks'!$F$199="","",'Manual Blocks'!$H$199)</f>
        <v/>
      </c>
      <c r="I555" s="55">
        <f>IF('Manual Blocks'!$F$199="","",IF('Manual Blocks'!$I$199="","MAN-198",'Manual Blocks'!$I$199))</f>
        <v/>
      </c>
    </row>
    <row r="556">
      <c r="A556" s="55">
        <f>IF('Manual Blocks'!$F$200="","",'Manual Blocks'!$A$200)</f>
        <v/>
      </c>
      <c r="B556" s="63">
        <f>IF('Manual Blocks'!$F$200="","",'Manual Blocks'!$B$200)</f>
        <v/>
      </c>
      <c r="C556" s="63">
        <f>IF('Manual Blocks'!$F$200="","",'Manual Blocks'!$C$200)</f>
        <v/>
      </c>
      <c r="D556" s="55">
        <f>IF('Manual Blocks'!$F$200="","",'Manual Blocks'!$D$200)</f>
        <v/>
      </c>
      <c r="E556" s="55">
        <f>IF('Manual Blocks'!$F$200="","",'Manual Blocks'!$E$200)</f>
        <v/>
      </c>
      <c r="F556" s="55">
        <f>IF('Manual Blocks'!$F$200="","",'Manual Blocks'!$F$200)</f>
        <v/>
      </c>
      <c r="G556" s="55">
        <f>IF('Manual Blocks'!$F$200="","",'Manual Blocks'!$G$200)</f>
        <v/>
      </c>
      <c r="H556" s="55">
        <f>IF('Manual Blocks'!$F$200="","",'Manual Blocks'!$H$200)</f>
        <v/>
      </c>
      <c r="I556" s="55">
        <f>IF('Manual Blocks'!$F$200="","",IF('Manual Blocks'!$I$200="","MAN-199",'Manual Blocks'!$I$200))</f>
        <v/>
      </c>
    </row>
    <row r="557">
      <c r="A557" s="55">
        <f>IF('Manual Blocks'!$F$201="","",'Manual Blocks'!$A$201)</f>
        <v/>
      </c>
      <c r="B557" s="63">
        <f>IF('Manual Blocks'!$F$201="","",'Manual Blocks'!$B$201)</f>
        <v/>
      </c>
      <c r="C557" s="63">
        <f>IF('Manual Blocks'!$F$201="","",'Manual Blocks'!$C$201)</f>
        <v/>
      </c>
      <c r="D557" s="55">
        <f>IF('Manual Blocks'!$F$201="","",'Manual Blocks'!$D$201)</f>
        <v/>
      </c>
      <c r="E557" s="55">
        <f>IF('Manual Blocks'!$F$201="","",'Manual Blocks'!$E$201)</f>
        <v/>
      </c>
      <c r="F557" s="55">
        <f>IF('Manual Blocks'!$F$201="","",'Manual Blocks'!$F$201)</f>
        <v/>
      </c>
      <c r="G557" s="55">
        <f>IF('Manual Blocks'!$F$201="","",'Manual Blocks'!$G$201)</f>
        <v/>
      </c>
      <c r="H557" s="55">
        <f>IF('Manual Blocks'!$F$201="","",'Manual Blocks'!$H$201)</f>
        <v/>
      </c>
      <c r="I557" s="55">
        <f>IF('Manual Blocks'!$F$201="","",IF('Manual Blocks'!$I$201="","MAN-200",'Manual Blocks'!$I$201))</f>
        <v/>
      </c>
    </row>
    <row r="559">
      <c r="A559" s="64" t="inlineStr">
        <is>
          <t>EVERY CELL HERE IS CALCULATED. Do not type on this tab.</t>
        </is>
      </c>
    </row>
    <row r="560">
      <c r="A560" s="64" t="inlineStr">
        <is>
          <t>THIS IS THE TAB THE APP READS. Publish only this one.</t>
        </is>
      </c>
    </row>
    <row r="561">
      <c r="A561" s="23" t="inlineStr">
        <is>
          <t>In Google Sheets:  File &gt; Share &gt; Publish to web &gt; choose "Export" &gt; Comma-separated values (.csv) &gt; Publish. Give that URL to whoever runs the app.</t>
        </is>
      </c>
    </row>
    <row r="562">
      <c r="A562" s="23" t="inlineStr">
        <is>
          <t>Blank rows are spare capacity and are ignored on import.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6"/>
  <sheetViews>
    <sheetView workbookViewId="0">
      <selection activeCell="A1" sqref="A1"/>
    </sheetView>
  </sheetViews>
  <sheetFormatPr baseColWidth="8" defaultRowHeight="15"/>
  <cols>
    <col width="40" customWidth="1" min="1" max="1"/>
    <col width="15" customWidth="1" min="2" max="2"/>
    <col width="13" customWidth="1" min="3" max="3"/>
    <col width="13" customWidth="1" min="4" max="4"/>
    <col width="15" customWidth="1" min="5" max="5"/>
    <col width="14" customWidth="1" min="6" max="6"/>
    <col width="13" customWidth="1" min="7" max="7"/>
    <col width="13" customWidth="1" min="8" max="8"/>
    <col width="13" customWidth="1" min="9" max="9"/>
    <col width="13" customWidth="1" min="10" max="10"/>
  </cols>
  <sheetData>
    <row r="1">
      <c r="A1" s="65" t="inlineStr">
        <is>
          <t>FIXED TIMES — nothing may push these</t>
        </is>
      </c>
    </row>
    <row r="2">
      <c r="A2" s="66" t="inlineStr">
        <is>
          <t>Doors open</t>
        </is>
      </c>
      <c r="B2" s="52" t="n">
        <v>0.6666666666666666</v>
      </c>
    </row>
    <row r="3">
      <c r="A3" s="66" t="inlineStr">
        <is>
          <t>Curtain — show starts</t>
        </is>
      </c>
      <c r="B3" s="52" t="n">
        <v>0.7083333333333334</v>
      </c>
    </row>
    <row r="4">
      <c r="A4" s="66" t="inlineStr">
        <is>
          <t>First team on stage, min after curtain</t>
        </is>
      </c>
      <c r="B4" s="67" t="n">
        <v>25</v>
      </c>
    </row>
    <row r="5">
      <c r="A5" s="68" t="inlineStr">
        <is>
          <t>First team on stage</t>
        </is>
      </c>
      <c r="B5" s="54">
        <f>$B$3+$B$4/1440</f>
        <v/>
      </c>
    </row>
    <row r="6">
      <c r="A6" s="66" t="inlineStr">
        <is>
          <t>Warn when slack under (min)</t>
        </is>
      </c>
      <c r="B6" s="67" t="n">
        <v>20</v>
      </c>
    </row>
    <row r="7">
      <c r="A7" s="66" t="inlineStr">
        <is>
          <t>Warn when vehicle turnaround under (min)</t>
        </is>
      </c>
      <c r="B7" s="67" t="n">
        <v>15</v>
      </c>
    </row>
    <row r="9" ht="20" customHeight="1">
      <c r="A9" s="69" t="inlineStr">
        <is>
          <t xml:space="preserve">  DOES THE DAY STILL FIT?</t>
        </is>
      </c>
    </row>
    <row r="10">
      <c r="A10" s="70" t="inlineStr">
        <is>
          <t>Item</t>
        </is>
      </c>
      <c r="B10" s="70" t="inlineStr">
        <is>
          <t>Type</t>
        </is>
      </c>
      <c r="C10" s="70" t="inlineStr">
        <is>
          <t>Starts</t>
        </is>
      </c>
      <c r="D10" s="70" t="inlineStr">
        <is>
          <t>Ends</t>
        </is>
      </c>
      <c r="E10" s="70" t="inlineStr">
        <is>
          <t>Slack before (min)</t>
        </is>
      </c>
      <c r="F10" s="70" t="inlineStr">
        <is>
          <t>Status</t>
        </is>
      </c>
    </row>
    <row r="11">
      <c r="A11" s="55" t="inlineStr">
        <is>
          <t>Saturday Practice</t>
        </is>
      </c>
      <c r="B11" s="20" t="inlineStr">
        <is>
          <t>Pipeline</t>
        </is>
      </c>
      <c r="C11" s="59">
        <f>MIN(Export!$B$2:$B$113)</f>
        <v/>
      </c>
      <c r="D11" s="59">
        <f>MAX(Export!$C$2:$C$113)</f>
        <v/>
      </c>
      <c r="E11" s="71" t="inlineStr"/>
      <c r="F11" s="20" t="inlineStr">
        <is>
          <t>anchored to Curtain</t>
        </is>
      </c>
    </row>
    <row r="12">
      <c r="A12" s="55" t="inlineStr">
        <is>
          <t>Saturday Photos</t>
        </is>
      </c>
      <c r="B12" s="20" t="inlineStr">
        <is>
          <t>Pipeline</t>
        </is>
      </c>
      <c r="C12" s="59">
        <f>MIN(Export!$B$114:$B$225)</f>
        <v/>
      </c>
      <c r="D12" s="59">
        <f>MAX(Export!$C$114:$C$225)</f>
        <v/>
      </c>
      <c r="E12" s="71" t="inlineStr"/>
      <c r="F12" s="20" t="inlineStr">
        <is>
          <t>anchored to Curtain</t>
        </is>
      </c>
    </row>
    <row r="13">
      <c r="A13" s="72" t="inlineStr">
        <is>
          <t>Doors Open</t>
        </is>
      </c>
      <c r="B13" s="73" t="inlineStr">
        <is>
          <t>ANCHOR</t>
        </is>
      </c>
      <c r="C13" s="59">
        <f>$B$2</f>
        <v/>
      </c>
      <c r="D13" s="59" t="inlineStr">
        <is>
          <t>—</t>
        </is>
      </c>
      <c r="E13" s="71">
        <f>IF(OR($C13="",$D12=""),"",($C13-$D12)*1440)</f>
        <v/>
      </c>
      <c r="F13" s="56">
        <f>IF($E13="","",IF($E13&lt;0,"OVERLAP",IF($E13&lt;Checks!$B$5,"TIGHT","OK")))</f>
        <v/>
      </c>
    </row>
    <row r="14">
      <c r="A14" s="72" t="inlineStr">
        <is>
          <t>Curtain — show starts</t>
        </is>
      </c>
      <c r="B14" s="73" t="inlineStr">
        <is>
          <t>ANCHOR</t>
        </is>
      </c>
      <c r="C14" s="59">
        <f>$B$3</f>
        <v/>
      </c>
      <c r="D14" s="59" t="inlineStr">
        <is>
          <t>—</t>
        </is>
      </c>
      <c r="E14" s="71">
        <f>($C14-$C13)*1440</f>
        <v/>
      </c>
      <c r="F14" s="56">
        <f>IF($E14="","",IF($E14&lt;0,"OVERLAP",IF($E14&lt;Checks!$B$5,"TIGHT","OK")))</f>
        <v/>
      </c>
    </row>
    <row r="15">
      <c r="A15" s="55" t="inlineStr">
        <is>
          <t>Show Backstage</t>
        </is>
      </c>
      <c r="B15" s="20" t="inlineStr">
        <is>
          <t>Pipeline</t>
        </is>
      </c>
      <c r="C15" s="59">
        <f>MIN(Export!$B$226:$B$337)</f>
        <v/>
      </c>
      <c r="D15" s="59">
        <f>MAX(Export!$C$226:$C$337)</f>
        <v/>
      </c>
      <c r="E15" s="71" t="inlineStr"/>
      <c r="F15" s="20" t="inlineStr">
        <is>
          <t>anchored to Curtain</t>
        </is>
      </c>
    </row>
    <row r="18" ht="20" customHeight="1">
      <c r="A18" s="69" t="inlineStr">
        <is>
          <t xml:space="preserve">  SHARED SPACES — can two teams end up in the same room?</t>
        </is>
      </c>
    </row>
    <row r="19">
      <c r="A19" s="70" t="inlineStr">
        <is>
          <t>Room</t>
        </is>
      </c>
      <c r="B19" s="70" t="inlineStr">
        <is>
          <t>Sequence</t>
        </is>
      </c>
      <c r="C19" s="70" t="inlineStr">
        <is>
          <t>Step</t>
        </is>
      </c>
      <c r="D19" s="70" t="inlineStr">
        <is>
          <t>Length (min)</t>
        </is>
      </c>
      <c r="E19" s="70" t="inlineStr">
        <is>
          <t>Smallest real gap</t>
        </is>
      </c>
      <c r="F19" s="70" t="inlineStr">
        <is>
          <t>Buffer (min)</t>
        </is>
      </c>
      <c r="G19" s="70" t="inlineStr">
        <is>
          <t>Teams at once</t>
        </is>
      </c>
      <c r="H19" s="70" t="inlineStr">
        <is>
          <t>How many fit</t>
        </is>
      </c>
      <c r="I19" s="70" t="inlineStr">
        <is>
          <t>Status</t>
        </is>
      </c>
    </row>
    <row r="20">
      <c r="A20" s="72">
        <f>Sequences!$G$5</f>
        <v/>
      </c>
      <c r="B20" s="57" t="inlineStr">
        <is>
          <t>Saturday Practice</t>
        </is>
      </c>
      <c r="C20" s="55">
        <f>Sequences!$B$5</f>
        <v/>
      </c>
      <c r="D20" s="56">
        <f>Sequences!$D$5</f>
        <v/>
      </c>
      <c r="E20" s="56">
        <f>MIN('Slot Times'!$G$3:$G$9)</f>
        <v/>
      </c>
      <c r="F20" s="56">
        <f>$E20-$D20</f>
        <v/>
      </c>
      <c r="G20" s="56">
        <f>IF($E20=0,"",ROUNDUP($D20/$E20,0))</f>
        <v/>
      </c>
      <c r="H20" s="56">
        <f>Sequences!$H$5</f>
        <v/>
      </c>
      <c r="I20" s="51">
        <f>IF($G20="","",IF($G20&gt;$H20,"OVERLOAD",IF($F20&lt;5,"BACK TO BACK","OK")))</f>
        <v/>
      </c>
    </row>
    <row r="21">
      <c r="A21" s="72">
        <f>Sequences!$G$7</f>
        <v/>
      </c>
      <c r="B21" s="57" t="inlineStr">
        <is>
          <t>Saturday Practice</t>
        </is>
      </c>
      <c r="C21" s="55">
        <f>Sequences!$B$7</f>
        <v/>
      </c>
      <c r="D21" s="56">
        <f>Sequences!$D$7</f>
        <v/>
      </c>
      <c r="E21" s="56">
        <f>MIN('Slot Times'!$G$3:$G$9)</f>
        <v/>
      </c>
      <c r="F21" s="56">
        <f>$E21-$D21</f>
        <v/>
      </c>
      <c r="G21" s="56">
        <f>IF($E21=0,"",ROUNDUP($D21/$E21,0))</f>
        <v/>
      </c>
      <c r="H21" s="56">
        <f>Sequences!$H$7</f>
        <v/>
      </c>
      <c r="I21" s="51">
        <f>IF($G21="","",IF($G21&gt;$H21,"OVERLOAD",IF($F21&lt;5,"BACK TO BACK","OK")))</f>
        <v/>
      </c>
    </row>
    <row r="22">
      <c r="A22" s="72">
        <f>Sequences!$G$10</f>
        <v/>
      </c>
      <c r="B22" s="57" t="inlineStr">
        <is>
          <t>Saturday Practice</t>
        </is>
      </c>
      <c r="C22" s="55">
        <f>Sequences!$B$10</f>
        <v/>
      </c>
      <c r="D22" s="56">
        <f>Sequences!$D$10</f>
        <v/>
      </c>
      <c r="E22" s="56">
        <f>MIN('Slot Times'!$G$3:$G$9)</f>
        <v/>
      </c>
      <c r="F22" s="56">
        <f>$E22-$D22</f>
        <v/>
      </c>
      <c r="G22" s="56">
        <f>IF($E22=0,"",ROUNDUP($D22/$E22,0))</f>
        <v/>
      </c>
      <c r="H22" s="56">
        <f>Sequences!$H$10</f>
        <v/>
      </c>
      <c r="I22" s="51">
        <f>IF($G22="","",IF($G22&gt;$H22,"OVERLOAD",IF($F22&lt;5,"BACK TO BACK","OK")))</f>
        <v/>
      </c>
    </row>
    <row r="23">
      <c r="A23" s="72">
        <f>Sequences!$G$16</f>
        <v/>
      </c>
      <c r="B23" s="57" t="inlineStr">
        <is>
          <t>Saturday Photos</t>
        </is>
      </c>
      <c r="C23" s="55">
        <f>Sequences!$B$16</f>
        <v/>
      </c>
      <c r="D23" s="56">
        <f>Sequences!$D$16</f>
        <v/>
      </c>
      <c r="E23" s="56">
        <f>MIN('Slot Times'!$G$11:$G$17)</f>
        <v/>
      </c>
      <c r="F23" s="56">
        <f>$E23-$D23</f>
        <v/>
      </c>
      <c r="G23" s="56">
        <f>IF($E23=0,"",ROUNDUP($D23/$E23,0))</f>
        <v/>
      </c>
      <c r="H23" s="56">
        <f>Sequences!$H$16</f>
        <v/>
      </c>
      <c r="I23" s="51">
        <f>IF($G23="","",IF($G23&gt;$H23,"OVERLOAD",IF($F23&lt;5,"BACK TO BACK","OK")))</f>
        <v/>
      </c>
    </row>
    <row r="24">
      <c r="A24" s="72">
        <f>Sequences!$G$17</f>
        <v/>
      </c>
      <c r="B24" s="57" t="inlineStr">
        <is>
          <t>Saturday Photos</t>
        </is>
      </c>
      <c r="C24" s="55">
        <f>Sequences!$B$17</f>
        <v/>
      </c>
      <c r="D24" s="56">
        <f>Sequences!$D$17</f>
        <v/>
      </c>
      <c r="E24" s="56">
        <f>MIN('Slot Times'!$G$11:$G$17)</f>
        <v/>
      </c>
      <c r="F24" s="56">
        <f>$E24-$D24</f>
        <v/>
      </c>
      <c r="G24" s="56">
        <f>IF($E24=0,"",ROUNDUP($D24/$E24,0))</f>
        <v/>
      </c>
      <c r="H24" s="56">
        <f>Sequences!$H$17</f>
        <v/>
      </c>
      <c r="I24" s="51">
        <f>IF($G24="","",IF($G24&gt;$H24,"OVERLOAD",IF($F24&lt;5,"BACK TO BACK","OK")))</f>
        <v/>
      </c>
    </row>
    <row r="25">
      <c r="A25" s="72">
        <f>Sequences!$G$32</f>
        <v/>
      </c>
      <c r="B25" s="57" t="inlineStr">
        <is>
          <t>Show Backstage</t>
        </is>
      </c>
      <c r="C25" s="55">
        <f>Sequences!$B$32</f>
        <v/>
      </c>
      <c r="D25" s="56">
        <f>Sequences!$D$32</f>
        <v/>
      </c>
      <c r="E25" s="56">
        <f>MIN('Slot Times'!$G$19:$G$25)</f>
        <v/>
      </c>
      <c r="F25" s="56">
        <f>$E25-$D25</f>
        <v/>
      </c>
      <c r="G25" s="56">
        <f>IF($E25=0,"",ROUNDUP($D25/$E25,0))</f>
        <v/>
      </c>
      <c r="H25" s="56">
        <f>Sequences!$H$32</f>
        <v/>
      </c>
      <c r="I25" s="51">
        <f>IF($G25="","",IF($G25&gt;$H25,"OVERLOAD",IF($F25&lt;5,"BACK TO BACK","OK")))</f>
        <v/>
      </c>
    </row>
    <row r="26">
      <c r="A26" s="72">
        <f>Sequences!$G$33</f>
        <v/>
      </c>
      <c r="B26" s="57" t="inlineStr">
        <is>
          <t>Show Backstage</t>
        </is>
      </c>
      <c r="C26" s="55">
        <f>Sequences!$B$33</f>
        <v/>
      </c>
      <c r="D26" s="56">
        <f>Sequences!$D$33</f>
        <v/>
      </c>
      <c r="E26" s="56">
        <f>MIN('Slot Times'!$G$19:$G$25)</f>
        <v/>
      </c>
      <c r="F26" s="56">
        <f>$E26-$D26</f>
        <v/>
      </c>
      <c r="G26" s="56">
        <f>IF($E26=0,"",ROUNDUP($D26/$E26,0))</f>
        <v/>
      </c>
      <c r="H26" s="56">
        <f>Sequences!$H$33</f>
        <v/>
      </c>
      <c r="I26" s="51">
        <f>IF($G26="","",IF($G26&gt;$H26,"OVERLOAD",IF($F26&lt;5,"BACK TO BACK","OK")))</f>
        <v/>
      </c>
    </row>
    <row r="27">
      <c r="A27" s="72">
        <f>Sequences!$G$34</f>
        <v/>
      </c>
      <c r="B27" s="57" t="inlineStr">
        <is>
          <t>Show Backstage</t>
        </is>
      </c>
      <c r="C27" s="55">
        <f>Sequences!$B$34</f>
        <v/>
      </c>
      <c r="D27" s="56">
        <f>Sequences!$D$34</f>
        <v/>
      </c>
      <c r="E27" s="56">
        <f>MIN('Slot Times'!$G$19:$G$25)</f>
        <v/>
      </c>
      <c r="F27" s="56">
        <f>$E27-$D27</f>
        <v/>
      </c>
      <c r="G27" s="56">
        <f>IF($E27=0,"",ROUNDUP($D27/$E27,0))</f>
        <v/>
      </c>
      <c r="H27" s="56">
        <f>Sequences!$H$34</f>
        <v/>
      </c>
      <c r="I27" s="51">
        <f>IF($G27="","",IF($G27&gt;$H27,"OVERLOAD",IF($F27&lt;5,"BACK TO BACK","OK")))</f>
        <v/>
      </c>
    </row>
    <row r="28">
      <c r="A28" s="72">
        <f>Sequences!$G$35</f>
        <v/>
      </c>
      <c r="B28" s="57" t="inlineStr">
        <is>
          <t>Show Backstage</t>
        </is>
      </c>
      <c r="C28" s="55">
        <f>Sequences!$B$35</f>
        <v/>
      </c>
      <c r="D28" s="56">
        <f>Sequences!$D$35</f>
        <v/>
      </c>
      <c r="E28" s="56">
        <f>MIN('Slot Times'!$G$19:$G$25)</f>
        <v/>
      </c>
      <c r="F28" s="56">
        <f>$E28-$D28</f>
        <v/>
      </c>
      <c r="G28" s="56">
        <f>IF($E28=0,"",ROUNDUP($D28/$E28,0))</f>
        <v/>
      </c>
      <c r="H28" s="56">
        <f>Sequences!$H$35</f>
        <v/>
      </c>
      <c r="I28" s="51">
        <f>IF($G28="","",IF($G28&gt;$H28,"OVERLOAD",IF($F28&lt;5,"BACK TO BACK","OK")))</f>
        <v/>
      </c>
    </row>
    <row r="29">
      <c r="A29" s="72">
        <f>Sequences!$G$36</f>
        <v/>
      </c>
      <c r="B29" s="57" t="inlineStr">
        <is>
          <t>Show Backstage</t>
        </is>
      </c>
      <c r="C29" s="55">
        <f>Sequences!$B$36</f>
        <v/>
      </c>
      <c r="D29" s="56">
        <f>Sequences!$D$36</f>
        <v/>
      </c>
      <c r="E29" s="56">
        <f>MIN('Slot Times'!$G$19:$G$25)</f>
        <v/>
      </c>
      <c r="F29" s="56">
        <f>$E29-$D29</f>
        <v/>
      </c>
      <c r="G29" s="56">
        <f>IF($E29=0,"",ROUNDUP($D29/$E29,0))</f>
        <v/>
      </c>
      <c r="H29" s="56">
        <f>Sequences!$H$36</f>
        <v/>
      </c>
      <c r="I29" s="51">
        <f>IF($G29="","",IF($G29&gt;$H29,"OVERLOAD",IF($F29&lt;5,"BACK TO BACK","OK")))</f>
        <v/>
      </c>
    </row>
    <row r="32" ht="20" customHeight="1">
      <c r="A32" s="69" t="inlineStr">
        <is>
          <t xml:space="preserve">  THE DANCER'S DAY — is this humane?</t>
        </is>
      </c>
    </row>
    <row r="33">
      <c r="A33" s="70" t="inlineStr">
        <is>
          <t>Slot</t>
        </is>
      </c>
      <c r="B33" s="70" t="inlineStr">
        <is>
          <t>Team</t>
        </is>
      </c>
      <c r="C33" s="70" t="inlineStr">
        <is>
          <t>First call</t>
        </is>
      </c>
      <c r="D33" s="70" t="inlineStr">
        <is>
          <t>Practice ends</t>
        </is>
      </c>
      <c r="E33" s="70" t="inlineStr">
        <is>
          <t>Collected for show</t>
        </is>
      </c>
      <c r="F33" s="70" t="inlineStr">
        <is>
          <t>Released</t>
        </is>
      </c>
      <c r="G33" s="70" t="inlineStr">
        <is>
          <t>Day length (h)</t>
        </is>
      </c>
      <c r="H33" s="70" t="inlineStr">
        <is>
          <t>Waiting (h)</t>
        </is>
      </c>
      <c r="I33" s="70" t="inlineStr">
        <is>
          <t>Breaks</t>
        </is>
      </c>
      <c r="J33" s="70" t="inlineStr">
        <is>
          <t>Status</t>
        </is>
      </c>
    </row>
    <row r="34">
      <c r="A34" s="56" t="n">
        <v>1</v>
      </c>
      <c r="B34" s="55">
        <f>'Slot Times'!$I$2</f>
        <v/>
      </c>
      <c r="C34" s="59">
        <f>IF('Slot Times'!$H$2="","",'Slot Times'!$H$2+MIN(Sequences!$E$2:$E$15)/1440)</f>
        <v/>
      </c>
      <c r="D34" s="59">
        <f>IF('Slot Times'!$H$2="","",'Slot Times'!$H$2+MAX(Sequences!$J$2:$J$15)/1440)</f>
        <v/>
      </c>
      <c r="E34" s="59">
        <f>IF('Slot Times'!$H$18="","",'Slot Times'!$H$18+MIN(Sequences!$E$30:$E$43)/1440)</f>
        <v/>
      </c>
      <c r="F34" s="59">
        <f>IF('Slot Times'!$H$18="","",'Slot Times'!$H$18+MAX(Sequences!$J$30:$J$43)/1440)</f>
        <v/>
      </c>
      <c r="G34" s="74">
        <f>IF(OR($C34="",$F34=""),"",($F34-$C34)*24)</f>
        <v/>
      </c>
      <c r="H34" s="74">
        <f>IF(OR($D34="",$E34=""),"",($E34-$D34)*24)</f>
        <v/>
      </c>
      <c r="I34" s="56">
        <f>COUNTIF(Sequences!$I$2:$I$15,"Y")+COUNTIF(Sequences!$I$30:$I$43,"Y")</f>
        <v/>
      </c>
      <c r="J34" s="51">
        <f>IF($G34="","",IF($I34=0,"NO BREAKS",IF($G34&gt;13,"LONG DAY",IF($H34&gt;6,"LONG WAIT","OK"))))</f>
        <v/>
      </c>
    </row>
    <row r="35">
      <c r="A35" s="56" t="n">
        <v>2</v>
      </c>
      <c r="B35" s="55">
        <f>'Slot Times'!$I$3</f>
        <v/>
      </c>
      <c r="C35" s="59">
        <f>IF('Slot Times'!$H$3="","",'Slot Times'!$H$3+MIN(Sequences!$E$2:$E$15)/1440)</f>
        <v/>
      </c>
      <c r="D35" s="59">
        <f>IF('Slot Times'!$H$3="","",'Slot Times'!$H$3+MAX(Sequences!$J$2:$J$15)/1440)</f>
        <v/>
      </c>
      <c r="E35" s="59">
        <f>IF('Slot Times'!$H$19="","",'Slot Times'!$H$19+MIN(Sequences!$E$30:$E$43)/1440)</f>
        <v/>
      </c>
      <c r="F35" s="59">
        <f>IF('Slot Times'!$H$19="","",'Slot Times'!$H$19+MAX(Sequences!$J$30:$J$43)/1440)</f>
        <v/>
      </c>
      <c r="G35" s="74">
        <f>IF(OR($C35="",$F35=""),"",($F35-$C35)*24)</f>
        <v/>
      </c>
      <c r="H35" s="74">
        <f>IF(OR($D35="",$E35=""),"",($E35-$D35)*24)</f>
        <v/>
      </c>
      <c r="I35" s="56">
        <f>COUNTIF(Sequences!$I$2:$I$15,"Y")+COUNTIF(Sequences!$I$30:$I$43,"Y")</f>
        <v/>
      </c>
      <c r="J35" s="51">
        <f>IF($G35="","",IF($I35=0,"NO BREAKS",IF($G35&gt;13,"LONG DAY",IF($H35&gt;6,"LONG WAIT","OK"))))</f>
        <v/>
      </c>
    </row>
    <row r="36">
      <c r="A36" s="56" t="n">
        <v>3</v>
      </c>
      <c r="B36" s="55">
        <f>'Slot Times'!$I$4</f>
        <v/>
      </c>
      <c r="C36" s="59">
        <f>IF('Slot Times'!$H$4="","",'Slot Times'!$H$4+MIN(Sequences!$E$2:$E$15)/1440)</f>
        <v/>
      </c>
      <c r="D36" s="59">
        <f>IF('Slot Times'!$H$4="","",'Slot Times'!$H$4+MAX(Sequences!$J$2:$J$15)/1440)</f>
        <v/>
      </c>
      <c r="E36" s="59">
        <f>IF('Slot Times'!$H$20="","",'Slot Times'!$H$20+MIN(Sequences!$E$30:$E$43)/1440)</f>
        <v/>
      </c>
      <c r="F36" s="59">
        <f>IF('Slot Times'!$H$20="","",'Slot Times'!$H$20+MAX(Sequences!$J$30:$J$43)/1440)</f>
        <v/>
      </c>
      <c r="G36" s="74">
        <f>IF(OR($C36="",$F36=""),"",($F36-$C36)*24)</f>
        <v/>
      </c>
      <c r="H36" s="74">
        <f>IF(OR($D36="",$E36=""),"",($E36-$D36)*24)</f>
        <v/>
      </c>
      <c r="I36" s="56">
        <f>COUNTIF(Sequences!$I$2:$I$15,"Y")+COUNTIF(Sequences!$I$30:$I$43,"Y")</f>
        <v/>
      </c>
      <c r="J36" s="51">
        <f>IF($G36="","",IF($I36=0,"NO BREAKS",IF($G36&gt;13,"LONG DAY",IF($H36&gt;6,"LONG WAIT","OK"))))</f>
        <v/>
      </c>
    </row>
    <row r="37">
      <c r="A37" s="56" t="n">
        <v>4</v>
      </c>
      <c r="B37" s="55">
        <f>'Slot Times'!$I$5</f>
        <v/>
      </c>
      <c r="C37" s="59">
        <f>IF('Slot Times'!$H$5="","",'Slot Times'!$H$5+MIN(Sequences!$E$2:$E$15)/1440)</f>
        <v/>
      </c>
      <c r="D37" s="59">
        <f>IF('Slot Times'!$H$5="","",'Slot Times'!$H$5+MAX(Sequences!$J$2:$J$15)/1440)</f>
        <v/>
      </c>
      <c r="E37" s="59">
        <f>IF('Slot Times'!$H$21="","",'Slot Times'!$H$21+MIN(Sequences!$E$30:$E$43)/1440)</f>
        <v/>
      </c>
      <c r="F37" s="59">
        <f>IF('Slot Times'!$H$21="","",'Slot Times'!$H$21+MAX(Sequences!$J$30:$J$43)/1440)</f>
        <v/>
      </c>
      <c r="G37" s="74">
        <f>IF(OR($C37="",$F37=""),"",($F37-$C37)*24)</f>
        <v/>
      </c>
      <c r="H37" s="74">
        <f>IF(OR($D37="",$E37=""),"",($E37-$D37)*24)</f>
        <v/>
      </c>
      <c r="I37" s="56">
        <f>COUNTIF(Sequences!$I$2:$I$15,"Y")+COUNTIF(Sequences!$I$30:$I$43,"Y")</f>
        <v/>
      </c>
      <c r="J37" s="51">
        <f>IF($G37="","",IF($I37=0,"NO BREAKS",IF($G37&gt;13,"LONG DAY",IF($H37&gt;6,"LONG WAIT","OK"))))</f>
        <v/>
      </c>
    </row>
    <row r="38">
      <c r="A38" s="56" t="n">
        <v>5</v>
      </c>
      <c r="B38" s="55">
        <f>'Slot Times'!$I$6</f>
        <v/>
      </c>
      <c r="C38" s="59">
        <f>IF('Slot Times'!$H$6="","",'Slot Times'!$H$6+MIN(Sequences!$E$2:$E$15)/1440)</f>
        <v/>
      </c>
      <c r="D38" s="59">
        <f>IF('Slot Times'!$H$6="","",'Slot Times'!$H$6+MAX(Sequences!$J$2:$J$15)/1440)</f>
        <v/>
      </c>
      <c r="E38" s="59">
        <f>IF('Slot Times'!$H$22="","",'Slot Times'!$H$22+MIN(Sequences!$E$30:$E$43)/1440)</f>
        <v/>
      </c>
      <c r="F38" s="59">
        <f>IF('Slot Times'!$H$22="","",'Slot Times'!$H$22+MAX(Sequences!$J$30:$J$43)/1440)</f>
        <v/>
      </c>
      <c r="G38" s="74">
        <f>IF(OR($C38="",$F38=""),"",($F38-$C38)*24)</f>
        <v/>
      </c>
      <c r="H38" s="74">
        <f>IF(OR($D38="",$E38=""),"",($E38-$D38)*24)</f>
        <v/>
      </c>
      <c r="I38" s="56">
        <f>COUNTIF(Sequences!$I$2:$I$15,"Y")+COUNTIF(Sequences!$I$30:$I$43,"Y")</f>
        <v/>
      </c>
      <c r="J38" s="51">
        <f>IF($G38="","",IF($I38=0,"NO BREAKS",IF($G38&gt;13,"LONG DAY",IF($H38&gt;6,"LONG WAIT","OK"))))</f>
        <v/>
      </c>
    </row>
    <row r="39">
      <c r="A39" s="56" t="n">
        <v>6</v>
      </c>
      <c r="B39" s="55">
        <f>'Slot Times'!$I$7</f>
        <v/>
      </c>
      <c r="C39" s="59">
        <f>IF('Slot Times'!$H$7="","",'Slot Times'!$H$7+MIN(Sequences!$E$2:$E$15)/1440)</f>
        <v/>
      </c>
      <c r="D39" s="59">
        <f>IF('Slot Times'!$H$7="","",'Slot Times'!$H$7+MAX(Sequences!$J$2:$J$15)/1440)</f>
        <v/>
      </c>
      <c r="E39" s="59">
        <f>IF('Slot Times'!$H$23="","",'Slot Times'!$H$23+MIN(Sequences!$E$30:$E$43)/1440)</f>
        <v/>
      </c>
      <c r="F39" s="59">
        <f>IF('Slot Times'!$H$23="","",'Slot Times'!$H$23+MAX(Sequences!$J$30:$J$43)/1440)</f>
        <v/>
      </c>
      <c r="G39" s="74">
        <f>IF(OR($C39="",$F39=""),"",($F39-$C39)*24)</f>
        <v/>
      </c>
      <c r="H39" s="74">
        <f>IF(OR($D39="",$E39=""),"",($E39-$D39)*24)</f>
        <v/>
      </c>
      <c r="I39" s="56">
        <f>COUNTIF(Sequences!$I$2:$I$15,"Y")+COUNTIF(Sequences!$I$30:$I$43,"Y")</f>
        <v/>
      </c>
      <c r="J39" s="51">
        <f>IF($G39="","",IF($I39=0,"NO BREAKS",IF($G39&gt;13,"LONG DAY",IF($H39&gt;6,"LONG WAIT","OK"))))</f>
        <v/>
      </c>
    </row>
    <row r="40">
      <c r="A40" s="56" t="n">
        <v>7</v>
      </c>
      <c r="B40" s="55">
        <f>'Slot Times'!$I$8</f>
        <v/>
      </c>
      <c r="C40" s="59">
        <f>IF('Slot Times'!$H$8="","",'Slot Times'!$H$8+MIN(Sequences!$E$2:$E$15)/1440)</f>
        <v/>
      </c>
      <c r="D40" s="59">
        <f>IF('Slot Times'!$H$8="","",'Slot Times'!$H$8+MAX(Sequences!$J$2:$J$15)/1440)</f>
        <v/>
      </c>
      <c r="E40" s="59">
        <f>IF('Slot Times'!$H$24="","",'Slot Times'!$H$24+MIN(Sequences!$E$30:$E$43)/1440)</f>
        <v/>
      </c>
      <c r="F40" s="59">
        <f>IF('Slot Times'!$H$24="","",'Slot Times'!$H$24+MAX(Sequences!$J$30:$J$43)/1440)</f>
        <v/>
      </c>
      <c r="G40" s="74">
        <f>IF(OR($C40="",$F40=""),"",($F40-$C40)*24)</f>
        <v/>
      </c>
      <c r="H40" s="74">
        <f>IF(OR($D40="",$E40=""),"",($E40-$D40)*24)</f>
        <v/>
      </c>
      <c r="I40" s="56">
        <f>COUNTIF(Sequences!$I$2:$I$15,"Y")+COUNTIF(Sequences!$I$30:$I$43,"Y")</f>
        <v/>
      </c>
      <c r="J40" s="51">
        <f>IF($G40="","",IF($I40=0,"NO BREAKS",IF($G40&gt;13,"LONG DAY",IF($H40&gt;6,"LONG WAIT","OK"))))</f>
        <v/>
      </c>
    </row>
    <row r="41">
      <c r="A41" s="56" t="n">
        <v>8</v>
      </c>
      <c r="B41" s="55">
        <f>'Slot Times'!$I$9</f>
        <v/>
      </c>
      <c r="C41" s="59">
        <f>IF('Slot Times'!$H$9="","",'Slot Times'!$H$9+MIN(Sequences!$E$2:$E$15)/1440)</f>
        <v/>
      </c>
      <c r="D41" s="59">
        <f>IF('Slot Times'!$H$9="","",'Slot Times'!$H$9+MAX(Sequences!$J$2:$J$15)/1440)</f>
        <v/>
      </c>
      <c r="E41" s="59">
        <f>IF('Slot Times'!$H$25="","",'Slot Times'!$H$25+MIN(Sequences!$E$30:$E$43)/1440)</f>
        <v/>
      </c>
      <c r="F41" s="59">
        <f>IF('Slot Times'!$H$25="","",'Slot Times'!$H$25+MAX(Sequences!$J$30:$J$43)/1440)</f>
        <v/>
      </c>
      <c r="G41" s="74">
        <f>IF(OR($C41="",$F41=""),"",($F41-$C41)*24)</f>
        <v/>
      </c>
      <c r="H41" s="74">
        <f>IF(OR($D41="",$E41=""),"",($E41-$D41)*24)</f>
        <v/>
      </c>
      <c r="I41" s="56">
        <f>COUNTIF(Sequences!$I$2:$I$15,"Y")+COUNTIF(Sequences!$I$30:$I$43,"Y")</f>
        <v/>
      </c>
      <c r="J41" s="51">
        <f>IF($G41="","",IF($I41=0,"NO BREAKS",IF($G41&gt;13,"LONG DAY",IF($H41&gt;6,"LONG WAIT","OK"))))</f>
        <v/>
      </c>
    </row>
    <row r="43">
      <c r="A43" s="23" t="inlineStr">
        <is>
          <t>Day length is first call to released. Over 13 hours and you are asking a lot of an 18-year-old.</t>
        </is>
      </c>
    </row>
    <row r="44">
      <c r="A44" s="23" t="inlineStr">
        <is>
          <t>Waiting is the unstructured gap between practice finishing and being collected for the show. Some is good — six hours in costume is not.</t>
        </is>
      </c>
    </row>
    <row r="45">
      <c r="A45" s="23" t="inlineStr">
        <is>
          <t>Breaks counts the steps marked Break? on the Sequences tab. Zero is never acceptable.</t>
        </is>
      </c>
    </row>
    <row r="46">
      <c r="A46" s="23" t="inlineStr">
        <is>
          <t>These are not warnings about the file. They are warnings about the weekend.</t>
        </is>
      </c>
    </row>
  </sheetData>
  <mergeCells count="4">
    <mergeCell ref="A9:J9"/>
    <mergeCell ref="A32:J32"/>
    <mergeCell ref="A1:B1"/>
    <mergeCell ref="A18:J18"/>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8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34" customWidth="1" min="3" max="3"/>
    <col width="10" customWidth="1" min="4" max="4"/>
    <col width="18" customWidth="1" min="5" max="5"/>
    <col width="13" customWidth="1" min="6" max="6"/>
    <col width="18" customWidth="1" min="7" max="7"/>
    <col width="12" customWidth="1" min="8" max="8"/>
    <col width="22" customWidth="1" min="9" max="9"/>
    <col width="22" customWidth="1" min="10" max="10"/>
    <col width="16" customWidth="1" min="11" max="11"/>
  </cols>
  <sheetData>
    <row r="1">
      <c r="A1" s="18" t="inlineStr">
        <is>
          <t>Direction</t>
        </is>
      </c>
      <c r="B1" s="18" t="inlineStr">
        <is>
          <t>Date</t>
        </is>
      </c>
      <c r="C1" s="18" t="inlineStr">
        <is>
          <t>Applies To</t>
        </is>
      </c>
      <c r="D1" s="18" t="inlineStr">
        <is>
          <t># People</t>
        </is>
      </c>
      <c r="E1" s="18" t="inlineStr">
        <is>
          <t>Flight #</t>
        </is>
      </c>
      <c r="F1" s="18" t="inlineStr">
        <is>
          <t>Flight Time</t>
        </is>
      </c>
      <c r="G1" s="18" t="inlineStr">
        <is>
          <t>Pickup / Leave Time</t>
        </is>
      </c>
      <c r="H1" s="18" t="inlineStr">
        <is>
          <t>Arrive</t>
        </is>
      </c>
      <c r="I1" s="18" t="inlineStr">
        <is>
          <t>Driver(s)</t>
        </is>
      </c>
      <c r="J1" s="18" t="inlineStr">
        <is>
          <t>Vehicle(s)</t>
        </is>
      </c>
      <c r="K1" s="18" t="inlineStr">
        <is>
          <t>Driver Phone</t>
        </is>
      </c>
    </row>
    <row r="2">
      <c r="A2" s="19" t="inlineStr">
        <is>
          <t>Arrival</t>
        </is>
      </c>
      <c r="B2" s="75" t="n">
        <v>46241</v>
      </c>
      <c r="C2" s="19" t="inlineStr">
        <is>
          <t>Team: UMD Entouraas</t>
        </is>
      </c>
      <c r="D2" s="19" t="n">
        <v>13</v>
      </c>
      <c r="E2" s="19" t="inlineStr">
        <is>
          <t>AA4352</t>
        </is>
      </c>
      <c r="F2" s="76" t="n">
        <v>0.3618055555555555</v>
      </c>
      <c r="G2" s="76" t="n">
        <v>0.3819444444444444</v>
      </c>
      <c r="H2" s="76" t="n">
        <v>0.4236111111111111</v>
      </c>
      <c r="I2" s="19" t="inlineStr">
        <is>
          <t>Example Liaison</t>
        </is>
      </c>
      <c r="J2" s="19" t="inlineStr">
        <is>
          <t>Minibus</t>
        </is>
      </c>
      <c r="K2" s="19" t="inlineStr">
        <is>
          <t>555-0101</t>
        </is>
      </c>
    </row>
    <row r="3">
      <c r="A3" s="19" t="inlineStr">
        <is>
          <t>Arrival</t>
        </is>
      </c>
      <c r="B3" s="75" t="n">
        <v>46241</v>
      </c>
      <c r="C3" s="19" t="inlineStr">
        <is>
          <t>Person: Example Dancer</t>
        </is>
      </c>
      <c r="D3" s="19" t="n">
        <v>1</v>
      </c>
      <c r="E3" s="19" t="inlineStr">
        <is>
          <t>UA2646</t>
        </is>
      </c>
      <c r="F3" s="76" t="n">
        <v>0.3951388888888889</v>
      </c>
      <c r="G3" s="76" t="n">
        <v>0.4097222222222222</v>
      </c>
      <c r="H3" s="76" t="n">
        <v>0.4513888888888889</v>
      </c>
      <c r="I3" s="19" t="inlineStr">
        <is>
          <t>Example Director</t>
        </is>
      </c>
      <c r="J3" s="19" t="inlineStr">
        <is>
          <t>Personal car</t>
        </is>
      </c>
      <c r="K3" s="19" t="inlineStr">
        <is>
          <t>555-0100</t>
        </is>
      </c>
    </row>
    <row r="4">
      <c r="A4" s="21" t="n"/>
      <c r="B4" s="22" t="n"/>
      <c r="C4" s="22" t="n"/>
      <c r="D4" s="22" t="n"/>
      <c r="E4" s="22" t="n"/>
      <c r="F4" s="22" t="n"/>
      <c r="G4" s="22" t="n"/>
      <c r="H4" s="22" t="n"/>
      <c r="I4" s="22" t="n"/>
      <c r="J4" s="22" t="n"/>
      <c r="K4" s="22" t="n"/>
    </row>
    <row r="5">
      <c r="A5" s="22" t="n"/>
      <c r="B5" s="22" t="n"/>
      <c r="C5" s="22" t="n"/>
      <c r="D5" s="22" t="n"/>
      <c r="E5" s="22" t="n"/>
      <c r="F5" s="22" t="n"/>
      <c r="G5" s="22" t="n"/>
      <c r="H5" s="22" t="n"/>
      <c r="I5" s="22" t="n"/>
      <c r="J5" s="22" t="n"/>
      <c r="K5" s="22" t="n"/>
    </row>
    <row r="6">
      <c r="A6" s="22" t="n"/>
      <c r="B6" s="22" t="n"/>
      <c r="C6" s="22" t="n"/>
      <c r="D6" s="22" t="n"/>
      <c r="E6" s="22" t="n"/>
      <c r="F6" s="22" t="n"/>
      <c r="G6" s="22" t="n"/>
      <c r="H6" s="22" t="n"/>
      <c r="I6" s="22" t="n"/>
      <c r="J6" s="22" t="n"/>
      <c r="K6" s="22" t="n"/>
    </row>
    <row r="7">
      <c r="A7" s="22" t="n"/>
      <c r="B7" s="22" t="n"/>
      <c r="C7" s="22" t="n"/>
      <c r="D7" s="22" t="n"/>
      <c r="E7" s="22" t="n"/>
      <c r="F7" s="22" t="n"/>
      <c r="G7" s="22" t="n"/>
      <c r="H7" s="22" t="n"/>
      <c r="I7" s="22" t="n"/>
      <c r="J7" s="22" t="n"/>
      <c r="K7" s="22" t="n"/>
    </row>
    <row r="8">
      <c r="A8" s="22" t="n"/>
      <c r="B8" s="22" t="n"/>
      <c r="C8" s="22" t="n"/>
      <c r="D8" s="22" t="n"/>
      <c r="E8" s="22" t="n"/>
      <c r="F8" s="22" t="n"/>
      <c r="G8" s="22" t="n"/>
      <c r="H8" s="22" t="n"/>
      <c r="I8" s="22" t="n"/>
      <c r="J8" s="22" t="n"/>
      <c r="K8" s="22" t="n"/>
    </row>
    <row r="9">
      <c r="A9" s="22" t="n"/>
      <c r="B9" s="22" t="n"/>
      <c r="C9" s="22" t="n"/>
      <c r="D9" s="22" t="n"/>
      <c r="E9" s="22" t="n"/>
      <c r="F9" s="22" t="n"/>
      <c r="G9" s="22" t="n"/>
      <c r="H9" s="22" t="n"/>
      <c r="I9" s="22" t="n"/>
      <c r="J9" s="22" t="n"/>
      <c r="K9" s="22" t="n"/>
    </row>
    <row r="10">
      <c r="A10" s="22" t="n"/>
      <c r="B10" s="22" t="n"/>
      <c r="C10" s="22" t="n"/>
      <c r="D10" s="22" t="n"/>
      <c r="E10" s="22" t="n"/>
      <c r="F10" s="22" t="n"/>
      <c r="G10" s="22" t="n"/>
      <c r="H10" s="22" t="n"/>
      <c r="I10" s="22" t="n"/>
      <c r="J10" s="22" t="n"/>
      <c r="K10" s="22" t="n"/>
    </row>
    <row r="11">
      <c r="A11" s="22" t="n"/>
      <c r="B11" s="22" t="n"/>
      <c r="C11" s="22" t="n"/>
      <c r="D11" s="22" t="n"/>
      <c r="E11" s="22" t="n"/>
      <c r="F11" s="22" t="n"/>
      <c r="G11" s="22" t="n"/>
      <c r="H11" s="22" t="n"/>
      <c r="I11" s="22" t="n"/>
      <c r="J11" s="22" t="n"/>
      <c r="K11" s="22" t="n"/>
    </row>
    <row r="12">
      <c r="A12" s="22" t="n"/>
      <c r="B12" s="22" t="n"/>
      <c r="C12" s="22" t="n"/>
      <c r="D12" s="22" t="n"/>
      <c r="E12" s="22" t="n"/>
      <c r="F12" s="22" t="n"/>
      <c r="G12" s="22" t="n"/>
      <c r="H12" s="22" t="n"/>
      <c r="I12" s="22" t="n"/>
      <c r="J12" s="22" t="n"/>
      <c r="K12" s="22" t="n"/>
    </row>
    <row r="13">
      <c r="A13" s="22" t="n"/>
      <c r="B13" s="22" t="n"/>
      <c r="C13" s="22" t="n"/>
      <c r="D13" s="22" t="n"/>
      <c r="E13" s="22" t="n"/>
      <c r="F13" s="22" t="n"/>
      <c r="G13" s="22" t="n"/>
      <c r="H13" s="22" t="n"/>
      <c r="I13" s="22" t="n"/>
      <c r="J13" s="22" t="n"/>
      <c r="K13" s="22" t="n"/>
    </row>
    <row r="14">
      <c r="A14" s="22" t="n"/>
      <c r="B14" s="22" t="n"/>
      <c r="C14" s="22" t="n"/>
      <c r="D14" s="22" t="n"/>
      <c r="E14" s="22" t="n"/>
      <c r="F14" s="22" t="n"/>
      <c r="G14" s="22" t="n"/>
      <c r="H14" s="22" t="n"/>
      <c r="I14" s="22" t="n"/>
      <c r="J14" s="22" t="n"/>
      <c r="K14" s="22" t="n"/>
    </row>
    <row r="15">
      <c r="A15" s="22" t="n"/>
      <c r="B15" s="22" t="n"/>
      <c r="C15" s="22" t="n"/>
      <c r="D15" s="22" t="n"/>
      <c r="E15" s="22" t="n"/>
      <c r="F15" s="22" t="n"/>
      <c r="G15" s="22" t="n"/>
      <c r="H15" s="22" t="n"/>
      <c r="I15" s="22" t="n"/>
      <c r="J15" s="22" t="n"/>
      <c r="K15" s="22" t="n"/>
    </row>
    <row r="16">
      <c r="A16" s="22" t="n"/>
      <c r="B16" s="22" t="n"/>
      <c r="C16" s="22" t="n"/>
      <c r="D16" s="22" t="n"/>
      <c r="E16" s="22" t="n"/>
      <c r="F16" s="22" t="n"/>
      <c r="G16" s="22" t="n"/>
      <c r="H16" s="22" t="n"/>
      <c r="I16" s="22" t="n"/>
      <c r="J16" s="22" t="n"/>
      <c r="K16" s="22" t="n"/>
    </row>
    <row r="17">
      <c r="A17" s="22" t="n"/>
      <c r="B17" s="22" t="n"/>
      <c r="C17" s="22" t="n"/>
      <c r="D17" s="22" t="n"/>
      <c r="E17" s="22" t="n"/>
      <c r="F17" s="22" t="n"/>
      <c r="G17" s="22" t="n"/>
      <c r="H17" s="22" t="n"/>
      <c r="I17" s="22" t="n"/>
      <c r="J17" s="22" t="n"/>
      <c r="K17" s="22" t="n"/>
    </row>
    <row r="18">
      <c r="A18" s="22" t="n"/>
      <c r="B18" s="22" t="n"/>
      <c r="C18" s="22" t="n"/>
      <c r="D18" s="22" t="n"/>
      <c r="E18" s="22" t="n"/>
      <c r="F18" s="22" t="n"/>
      <c r="G18" s="22" t="n"/>
      <c r="H18" s="22" t="n"/>
      <c r="I18" s="22" t="n"/>
      <c r="J18" s="22" t="n"/>
      <c r="K18" s="22" t="n"/>
    </row>
    <row r="19">
      <c r="A19" s="22" t="n"/>
      <c r="B19" s="22" t="n"/>
      <c r="C19" s="22" t="n"/>
      <c r="D19" s="22" t="n"/>
      <c r="E19" s="22" t="n"/>
      <c r="F19" s="22" t="n"/>
      <c r="G19" s="22" t="n"/>
      <c r="H19" s="22" t="n"/>
      <c r="I19" s="22" t="n"/>
      <c r="J19" s="22" t="n"/>
      <c r="K19" s="22" t="n"/>
    </row>
    <row r="20">
      <c r="A20" s="22" t="n"/>
      <c r="B20" s="22" t="n"/>
      <c r="C20" s="22" t="n"/>
      <c r="D20" s="22" t="n"/>
      <c r="E20" s="22" t="n"/>
      <c r="F20" s="22" t="n"/>
      <c r="G20" s="22" t="n"/>
      <c r="H20" s="22" t="n"/>
      <c r="I20" s="22" t="n"/>
      <c r="J20" s="22" t="n"/>
      <c r="K20" s="22" t="n"/>
    </row>
    <row r="21">
      <c r="A21" s="22" t="n"/>
      <c r="B21" s="22" t="n"/>
      <c r="C21" s="22" t="n"/>
      <c r="D21" s="22" t="n"/>
      <c r="E21" s="22" t="n"/>
      <c r="F21" s="22" t="n"/>
      <c r="G21" s="22" t="n"/>
      <c r="H21" s="22" t="n"/>
      <c r="I21" s="22" t="n"/>
      <c r="J21" s="22" t="n"/>
      <c r="K21" s="22" t="n"/>
    </row>
    <row r="22">
      <c r="A22" s="22" t="n"/>
      <c r="B22" s="22" t="n"/>
      <c r="C22" s="22" t="n"/>
      <c r="D22" s="22" t="n"/>
      <c r="E22" s="22" t="n"/>
      <c r="F22" s="22" t="n"/>
      <c r="G22" s="22" t="n"/>
      <c r="H22" s="22" t="n"/>
      <c r="I22" s="22" t="n"/>
      <c r="J22" s="22" t="n"/>
      <c r="K22" s="22" t="n"/>
    </row>
    <row r="23">
      <c r="A23" s="22" t="n"/>
      <c r="B23" s="22" t="n"/>
      <c r="C23" s="22" t="n"/>
      <c r="D23" s="22" t="n"/>
      <c r="E23" s="22" t="n"/>
      <c r="F23" s="22" t="n"/>
      <c r="G23" s="22" t="n"/>
      <c r="H23" s="22" t="n"/>
      <c r="I23" s="22" t="n"/>
      <c r="J23" s="22" t="n"/>
      <c r="K23" s="22" t="n"/>
    </row>
    <row r="24">
      <c r="A24" s="22" t="n"/>
      <c r="B24" s="22" t="n"/>
      <c r="C24" s="22" t="n"/>
      <c r="D24" s="22" t="n"/>
      <c r="E24" s="22" t="n"/>
      <c r="F24" s="22" t="n"/>
      <c r="G24" s="22" t="n"/>
      <c r="H24" s="22" t="n"/>
      <c r="I24" s="22" t="n"/>
      <c r="J24" s="22" t="n"/>
      <c r="K24" s="22" t="n"/>
    </row>
    <row r="25">
      <c r="A25" s="22" t="n"/>
      <c r="B25" s="22" t="n"/>
      <c r="C25" s="22" t="n"/>
      <c r="D25" s="22" t="n"/>
      <c r="E25" s="22" t="n"/>
      <c r="F25" s="22" t="n"/>
      <c r="G25" s="22" t="n"/>
      <c r="H25" s="22" t="n"/>
      <c r="I25" s="22" t="n"/>
      <c r="J25" s="22" t="n"/>
      <c r="K25" s="22" t="n"/>
    </row>
    <row r="26">
      <c r="A26" s="22" t="n"/>
      <c r="B26" s="22" t="n"/>
      <c r="C26" s="22" t="n"/>
      <c r="D26" s="22" t="n"/>
      <c r="E26" s="22" t="n"/>
      <c r="F26" s="22" t="n"/>
      <c r="G26" s="22" t="n"/>
      <c r="H26" s="22" t="n"/>
      <c r="I26" s="22" t="n"/>
      <c r="J26" s="22" t="n"/>
      <c r="K26" s="22" t="n"/>
    </row>
    <row r="27">
      <c r="A27" s="22" t="n"/>
      <c r="B27" s="22" t="n"/>
      <c r="C27" s="22" t="n"/>
      <c r="D27" s="22" t="n"/>
      <c r="E27" s="22" t="n"/>
      <c r="F27" s="22" t="n"/>
      <c r="G27" s="22" t="n"/>
      <c r="H27" s="22" t="n"/>
      <c r="I27" s="22" t="n"/>
      <c r="J27" s="22" t="n"/>
      <c r="K27" s="22" t="n"/>
    </row>
    <row r="28">
      <c r="A28" s="22" t="n"/>
      <c r="B28" s="22" t="n"/>
      <c r="C28" s="22" t="n"/>
      <c r="D28" s="22" t="n"/>
      <c r="E28" s="22" t="n"/>
      <c r="F28" s="22" t="n"/>
      <c r="G28" s="22" t="n"/>
      <c r="H28" s="22" t="n"/>
      <c r="I28" s="22" t="n"/>
      <c r="J28" s="22" t="n"/>
      <c r="K28" s="22" t="n"/>
    </row>
    <row r="29">
      <c r="A29" s="22" t="n"/>
      <c r="B29" s="22" t="n"/>
      <c r="C29" s="22" t="n"/>
      <c r="D29" s="22" t="n"/>
      <c r="E29" s="22" t="n"/>
      <c r="F29" s="22" t="n"/>
      <c r="G29" s="22" t="n"/>
      <c r="H29" s="22" t="n"/>
      <c r="I29" s="22" t="n"/>
      <c r="J29" s="22" t="n"/>
      <c r="K29" s="22" t="n"/>
    </row>
    <row r="30">
      <c r="A30" s="22" t="n"/>
      <c r="B30" s="22" t="n"/>
      <c r="C30" s="22" t="n"/>
      <c r="D30" s="22" t="n"/>
      <c r="E30" s="22" t="n"/>
      <c r="F30" s="22" t="n"/>
      <c r="G30" s="22" t="n"/>
      <c r="H30" s="22" t="n"/>
      <c r="I30" s="22" t="n"/>
      <c r="J30" s="22" t="n"/>
      <c r="K30" s="22" t="n"/>
    </row>
    <row r="31">
      <c r="A31" s="22" t="n"/>
      <c r="B31" s="22" t="n"/>
      <c r="C31" s="22" t="n"/>
      <c r="D31" s="22" t="n"/>
      <c r="E31" s="22" t="n"/>
      <c r="F31" s="22" t="n"/>
      <c r="G31" s="22" t="n"/>
      <c r="H31" s="22" t="n"/>
      <c r="I31" s="22" t="n"/>
      <c r="J31" s="22" t="n"/>
      <c r="K31" s="22" t="n"/>
    </row>
    <row r="32">
      <c r="A32" s="22" t="n"/>
      <c r="B32" s="22" t="n"/>
      <c r="C32" s="22" t="n"/>
      <c r="D32" s="22" t="n"/>
      <c r="E32" s="22" t="n"/>
      <c r="F32" s="22" t="n"/>
      <c r="G32" s="22" t="n"/>
      <c r="H32" s="22" t="n"/>
      <c r="I32" s="22" t="n"/>
      <c r="J32" s="22" t="n"/>
      <c r="K32" s="22" t="n"/>
    </row>
    <row r="33">
      <c r="A33" s="22" t="n"/>
      <c r="B33" s="22" t="n"/>
      <c r="C33" s="22" t="n"/>
      <c r="D33" s="22" t="n"/>
      <c r="E33" s="22" t="n"/>
      <c r="F33" s="22" t="n"/>
      <c r="G33" s="22" t="n"/>
      <c r="H33" s="22" t="n"/>
      <c r="I33" s="22" t="n"/>
      <c r="J33" s="22" t="n"/>
      <c r="K33" s="22" t="n"/>
    </row>
    <row r="34">
      <c r="A34" s="22" t="n"/>
      <c r="B34" s="22" t="n"/>
      <c r="C34" s="22" t="n"/>
      <c r="D34" s="22" t="n"/>
      <c r="E34" s="22" t="n"/>
      <c r="F34" s="22" t="n"/>
      <c r="G34" s="22" t="n"/>
      <c r="H34" s="22" t="n"/>
      <c r="I34" s="22" t="n"/>
      <c r="J34" s="22" t="n"/>
      <c r="K34" s="22" t="n"/>
    </row>
    <row r="35">
      <c r="A35" s="22" t="n"/>
      <c r="B35" s="22" t="n"/>
      <c r="C35" s="22" t="n"/>
      <c r="D35" s="22" t="n"/>
      <c r="E35" s="22" t="n"/>
      <c r="F35" s="22" t="n"/>
      <c r="G35" s="22" t="n"/>
      <c r="H35" s="22" t="n"/>
      <c r="I35" s="22" t="n"/>
      <c r="J35" s="22" t="n"/>
      <c r="K35" s="22" t="n"/>
    </row>
    <row r="36">
      <c r="A36" s="22" t="n"/>
      <c r="B36" s="22" t="n"/>
      <c r="C36" s="22" t="n"/>
      <c r="D36" s="22" t="n"/>
      <c r="E36" s="22" t="n"/>
      <c r="F36" s="22" t="n"/>
      <c r="G36" s="22" t="n"/>
      <c r="H36" s="22" t="n"/>
      <c r="I36" s="22" t="n"/>
      <c r="J36" s="22" t="n"/>
      <c r="K36" s="22" t="n"/>
    </row>
    <row r="37">
      <c r="A37" s="22" t="n"/>
      <c r="B37" s="22" t="n"/>
      <c r="C37" s="22" t="n"/>
      <c r="D37" s="22" t="n"/>
      <c r="E37" s="22" t="n"/>
      <c r="F37" s="22" t="n"/>
      <c r="G37" s="22" t="n"/>
      <c r="H37" s="22" t="n"/>
      <c r="I37" s="22" t="n"/>
      <c r="J37" s="22" t="n"/>
      <c r="K37" s="22" t="n"/>
    </row>
    <row r="38">
      <c r="A38" s="22" t="n"/>
      <c r="B38" s="22" t="n"/>
      <c r="C38" s="22" t="n"/>
      <c r="D38" s="22" t="n"/>
      <c r="E38" s="22" t="n"/>
      <c r="F38" s="22" t="n"/>
      <c r="G38" s="22" t="n"/>
      <c r="H38" s="22" t="n"/>
      <c r="I38" s="22" t="n"/>
      <c r="J38" s="22" t="n"/>
      <c r="K38" s="22" t="n"/>
    </row>
    <row r="39">
      <c r="A39" s="22" t="n"/>
      <c r="B39" s="22" t="n"/>
      <c r="C39" s="22" t="n"/>
      <c r="D39" s="22" t="n"/>
      <c r="E39" s="22" t="n"/>
      <c r="F39" s="22" t="n"/>
      <c r="G39" s="22" t="n"/>
      <c r="H39" s="22" t="n"/>
      <c r="I39" s="22" t="n"/>
      <c r="J39" s="22" t="n"/>
      <c r="K39" s="22" t="n"/>
    </row>
    <row r="40">
      <c r="A40" s="22" t="n"/>
      <c r="B40" s="22" t="n"/>
      <c r="C40" s="22" t="n"/>
      <c r="D40" s="22" t="n"/>
      <c r="E40" s="22" t="n"/>
      <c r="F40" s="22" t="n"/>
      <c r="G40" s="22" t="n"/>
      <c r="H40" s="22" t="n"/>
      <c r="I40" s="22" t="n"/>
      <c r="J40" s="22" t="n"/>
      <c r="K40" s="22" t="n"/>
    </row>
    <row r="41">
      <c r="A41" s="22" t="n"/>
      <c r="B41" s="22" t="n"/>
      <c r="C41" s="22" t="n"/>
      <c r="D41" s="22" t="n"/>
      <c r="E41" s="22" t="n"/>
      <c r="F41" s="22" t="n"/>
      <c r="G41" s="22" t="n"/>
      <c r="H41" s="22" t="n"/>
      <c r="I41" s="22" t="n"/>
      <c r="J41" s="22" t="n"/>
      <c r="K41" s="22" t="n"/>
    </row>
    <row r="42">
      <c r="A42" s="22" t="n"/>
      <c r="B42" s="22" t="n"/>
      <c r="C42" s="22" t="n"/>
      <c r="D42" s="22" t="n"/>
      <c r="E42" s="22" t="n"/>
      <c r="F42" s="22" t="n"/>
      <c r="G42" s="22" t="n"/>
      <c r="H42" s="22" t="n"/>
      <c r="I42" s="22" t="n"/>
      <c r="J42" s="22" t="n"/>
      <c r="K42" s="22" t="n"/>
    </row>
    <row r="43">
      <c r="A43" s="22" t="n"/>
      <c r="B43" s="22" t="n"/>
      <c r="C43" s="22" t="n"/>
      <c r="D43" s="22" t="n"/>
      <c r="E43" s="22" t="n"/>
      <c r="F43" s="22" t="n"/>
      <c r="G43" s="22" t="n"/>
      <c r="H43" s="22" t="n"/>
      <c r="I43" s="22" t="n"/>
      <c r="J43" s="22" t="n"/>
      <c r="K43" s="22" t="n"/>
    </row>
    <row r="44">
      <c r="A44" s="22" t="n"/>
      <c r="B44" s="22" t="n"/>
      <c r="C44" s="22" t="n"/>
      <c r="D44" s="22" t="n"/>
      <c r="E44" s="22" t="n"/>
      <c r="F44" s="22" t="n"/>
      <c r="G44" s="22" t="n"/>
      <c r="H44" s="22" t="n"/>
      <c r="I44" s="22" t="n"/>
      <c r="J44" s="22" t="n"/>
      <c r="K44" s="22" t="n"/>
    </row>
    <row r="45">
      <c r="A45" s="22" t="n"/>
      <c r="B45" s="22" t="n"/>
      <c r="C45" s="22" t="n"/>
      <c r="D45" s="22" t="n"/>
      <c r="E45" s="22" t="n"/>
      <c r="F45" s="22" t="n"/>
      <c r="G45" s="22" t="n"/>
      <c r="H45" s="22" t="n"/>
      <c r="I45" s="22" t="n"/>
      <c r="J45" s="22" t="n"/>
      <c r="K45" s="22" t="n"/>
    </row>
    <row r="46">
      <c r="A46" s="22" t="n"/>
      <c r="B46" s="22" t="n"/>
      <c r="C46" s="22" t="n"/>
      <c r="D46" s="22" t="n"/>
      <c r="E46" s="22" t="n"/>
      <c r="F46" s="22" t="n"/>
      <c r="G46" s="22" t="n"/>
      <c r="H46" s="22" t="n"/>
      <c r="I46" s="22" t="n"/>
      <c r="J46" s="22" t="n"/>
      <c r="K46" s="22" t="n"/>
    </row>
    <row r="47">
      <c r="A47" s="22" t="n"/>
      <c r="B47" s="22" t="n"/>
      <c r="C47" s="22" t="n"/>
      <c r="D47" s="22" t="n"/>
      <c r="E47" s="22" t="n"/>
      <c r="F47" s="22" t="n"/>
      <c r="G47" s="22" t="n"/>
      <c r="H47" s="22" t="n"/>
      <c r="I47" s="22" t="n"/>
      <c r="J47" s="22" t="n"/>
      <c r="K47" s="22" t="n"/>
    </row>
    <row r="48">
      <c r="A48" s="22" t="n"/>
      <c r="B48" s="22" t="n"/>
      <c r="C48" s="22" t="n"/>
      <c r="D48" s="22" t="n"/>
      <c r="E48" s="22" t="n"/>
      <c r="F48" s="22" t="n"/>
      <c r="G48" s="22" t="n"/>
      <c r="H48" s="22" t="n"/>
      <c r="I48" s="22" t="n"/>
      <c r="J48" s="22" t="n"/>
      <c r="K48" s="22" t="n"/>
    </row>
    <row r="49">
      <c r="A49" s="22" t="n"/>
      <c r="B49" s="22" t="n"/>
      <c r="C49" s="22" t="n"/>
      <c r="D49" s="22" t="n"/>
      <c r="E49" s="22" t="n"/>
      <c r="F49" s="22" t="n"/>
      <c r="G49" s="22" t="n"/>
      <c r="H49" s="22" t="n"/>
      <c r="I49" s="22" t="n"/>
      <c r="J49" s="22" t="n"/>
      <c r="K49" s="22" t="n"/>
    </row>
    <row r="50">
      <c r="A50" s="22" t="n"/>
      <c r="B50" s="22" t="n"/>
      <c r="C50" s="22" t="n"/>
      <c r="D50" s="22" t="n"/>
      <c r="E50" s="22" t="n"/>
      <c r="F50" s="22" t="n"/>
      <c r="G50" s="22" t="n"/>
      <c r="H50" s="22" t="n"/>
      <c r="I50" s="22" t="n"/>
      <c r="J50" s="22" t="n"/>
      <c r="K50" s="22" t="n"/>
    </row>
    <row r="51">
      <c r="A51" s="22" t="n"/>
      <c r="B51" s="22" t="n"/>
      <c r="C51" s="22" t="n"/>
      <c r="D51" s="22" t="n"/>
      <c r="E51" s="22" t="n"/>
      <c r="F51" s="22" t="n"/>
      <c r="G51" s="22" t="n"/>
      <c r="H51" s="22" t="n"/>
      <c r="I51" s="22" t="n"/>
      <c r="J51" s="22" t="n"/>
      <c r="K51" s="22" t="n"/>
    </row>
    <row r="52">
      <c r="A52" s="22" t="n"/>
      <c r="B52" s="22" t="n"/>
      <c r="C52" s="22" t="n"/>
      <c r="D52" s="22" t="n"/>
      <c r="E52" s="22" t="n"/>
      <c r="F52" s="22" t="n"/>
      <c r="G52" s="22" t="n"/>
      <c r="H52" s="22" t="n"/>
      <c r="I52" s="22" t="n"/>
      <c r="J52" s="22" t="n"/>
      <c r="K52" s="22" t="n"/>
    </row>
    <row r="53">
      <c r="A53" s="22" t="n"/>
      <c r="B53" s="22" t="n"/>
      <c r="C53" s="22" t="n"/>
      <c r="D53" s="22" t="n"/>
      <c r="E53" s="22" t="n"/>
      <c r="F53" s="22" t="n"/>
      <c r="G53" s="22" t="n"/>
      <c r="H53" s="22" t="n"/>
      <c r="I53" s="22" t="n"/>
      <c r="J53" s="22" t="n"/>
      <c r="K53" s="22" t="n"/>
    </row>
    <row r="54">
      <c r="A54" s="22" t="n"/>
      <c r="B54" s="22" t="n"/>
      <c r="C54" s="22" t="n"/>
      <c r="D54" s="22" t="n"/>
      <c r="E54" s="22" t="n"/>
      <c r="F54" s="22" t="n"/>
      <c r="G54" s="22" t="n"/>
      <c r="H54" s="22" t="n"/>
      <c r="I54" s="22" t="n"/>
      <c r="J54" s="22" t="n"/>
      <c r="K54" s="22" t="n"/>
    </row>
    <row r="55">
      <c r="A55" s="22" t="n"/>
      <c r="B55" s="22" t="n"/>
      <c r="C55" s="22" t="n"/>
      <c r="D55" s="22" t="n"/>
      <c r="E55" s="22" t="n"/>
      <c r="F55" s="22" t="n"/>
      <c r="G55" s="22" t="n"/>
      <c r="H55" s="22" t="n"/>
      <c r="I55" s="22" t="n"/>
      <c r="J55" s="22" t="n"/>
      <c r="K55" s="22" t="n"/>
    </row>
    <row r="56">
      <c r="A56" s="22" t="n"/>
      <c r="B56" s="22" t="n"/>
      <c r="C56" s="22" t="n"/>
      <c r="D56" s="22" t="n"/>
      <c r="E56" s="22" t="n"/>
      <c r="F56" s="22" t="n"/>
      <c r="G56" s="22" t="n"/>
      <c r="H56" s="22" t="n"/>
      <c r="I56" s="22" t="n"/>
      <c r="J56" s="22" t="n"/>
      <c r="K56" s="22" t="n"/>
    </row>
    <row r="57">
      <c r="A57" s="22" t="n"/>
      <c r="B57" s="22" t="n"/>
      <c r="C57" s="22" t="n"/>
      <c r="D57" s="22" t="n"/>
      <c r="E57" s="22" t="n"/>
      <c r="F57" s="22" t="n"/>
      <c r="G57" s="22" t="n"/>
      <c r="H57" s="22" t="n"/>
      <c r="I57" s="22" t="n"/>
      <c r="J57" s="22" t="n"/>
      <c r="K57" s="22" t="n"/>
    </row>
    <row r="58">
      <c r="A58" s="22" t="n"/>
      <c r="B58" s="22" t="n"/>
      <c r="C58" s="22" t="n"/>
      <c r="D58" s="22" t="n"/>
      <c r="E58" s="22" t="n"/>
      <c r="F58" s="22" t="n"/>
      <c r="G58" s="22" t="n"/>
      <c r="H58" s="22" t="n"/>
      <c r="I58" s="22" t="n"/>
      <c r="J58" s="22" t="n"/>
      <c r="K58" s="22" t="n"/>
    </row>
    <row r="59">
      <c r="A59" s="22" t="n"/>
      <c r="B59" s="22" t="n"/>
      <c r="C59" s="22" t="n"/>
      <c r="D59" s="22" t="n"/>
      <c r="E59" s="22" t="n"/>
      <c r="F59" s="22" t="n"/>
      <c r="G59" s="22" t="n"/>
      <c r="H59" s="22" t="n"/>
      <c r="I59" s="22" t="n"/>
      <c r="J59" s="22" t="n"/>
      <c r="K59" s="22" t="n"/>
    </row>
    <row r="60">
      <c r="A60" s="22" t="n"/>
      <c r="B60" s="22" t="n"/>
      <c r="C60" s="22" t="n"/>
      <c r="D60" s="22" t="n"/>
      <c r="E60" s="22" t="n"/>
      <c r="F60" s="22" t="n"/>
      <c r="G60" s="22" t="n"/>
      <c r="H60" s="22" t="n"/>
      <c r="I60" s="22" t="n"/>
      <c r="J60" s="22" t="n"/>
      <c r="K60" s="22" t="n"/>
    </row>
    <row r="61">
      <c r="A61" s="22" t="n"/>
      <c r="B61" s="22" t="n"/>
      <c r="C61" s="22" t="n"/>
      <c r="D61" s="22" t="n"/>
      <c r="E61" s="22" t="n"/>
      <c r="F61" s="22" t="n"/>
      <c r="G61" s="22" t="n"/>
      <c r="H61" s="22" t="n"/>
      <c r="I61" s="22" t="n"/>
      <c r="J61" s="22" t="n"/>
      <c r="K61" s="22" t="n"/>
    </row>
    <row r="62">
      <c r="A62" s="22" t="n"/>
      <c r="B62" s="22" t="n"/>
      <c r="C62" s="22" t="n"/>
      <c r="D62" s="22" t="n"/>
      <c r="E62" s="22" t="n"/>
      <c r="F62" s="22" t="n"/>
      <c r="G62" s="22" t="n"/>
      <c r="H62" s="22" t="n"/>
      <c r="I62" s="22" t="n"/>
      <c r="J62" s="22" t="n"/>
      <c r="K62" s="22" t="n"/>
    </row>
    <row r="63">
      <c r="A63" s="22" t="n"/>
      <c r="B63" s="22" t="n"/>
      <c r="C63" s="22" t="n"/>
      <c r="D63" s="22" t="n"/>
      <c r="E63" s="22" t="n"/>
      <c r="F63" s="22" t="n"/>
      <c r="G63" s="22" t="n"/>
      <c r="H63" s="22" t="n"/>
      <c r="I63" s="22" t="n"/>
      <c r="J63" s="22" t="n"/>
      <c r="K63" s="22" t="n"/>
    </row>
    <row r="64">
      <c r="A64" s="22" t="n"/>
      <c r="B64" s="22" t="n"/>
      <c r="C64" s="22" t="n"/>
      <c r="D64" s="22" t="n"/>
      <c r="E64" s="22" t="n"/>
      <c r="F64" s="22" t="n"/>
      <c r="G64" s="22" t="n"/>
      <c r="H64" s="22" t="n"/>
      <c r="I64" s="22" t="n"/>
      <c r="J64" s="22" t="n"/>
      <c r="K64" s="22" t="n"/>
    </row>
    <row r="65">
      <c r="A65" s="22" t="n"/>
      <c r="B65" s="22" t="n"/>
      <c r="C65" s="22" t="n"/>
      <c r="D65" s="22" t="n"/>
      <c r="E65" s="22" t="n"/>
      <c r="F65" s="22" t="n"/>
      <c r="G65" s="22" t="n"/>
      <c r="H65" s="22" t="n"/>
      <c r="I65" s="22" t="n"/>
      <c r="J65" s="22" t="n"/>
      <c r="K65" s="22" t="n"/>
    </row>
    <row r="66">
      <c r="A66" s="22" t="n"/>
      <c r="B66" s="22" t="n"/>
      <c r="C66" s="22" t="n"/>
      <c r="D66" s="22" t="n"/>
      <c r="E66" s="22" t="n"/>
      <c r="F66" s="22" t="n"/>
      <c r="G66" s="22" t="n"/>
      <c r="H66" s="22" t="n"/>
      <c r="I66" s="22" t="n"/>
      <c r="J66" s="22" t="n"/>
      <c r="K66" s="22" t="n"/>
    </row>
    <row r="67">
      <c r="A67" s="22" t="n"/>
      <c r="B67" s="22" t="n"/>
      <c r="C67" s="22" t="n"/>
      <c r="D67" s="22" t="n"/>
      <c r="E67" s="22" t="n"/>
      <c r="F67" s="22" t="n"/>
      <c r="G67" s="22" t="n"/>
      <c r="H67" s="22" t="n"/>
      <c r="I67" s="22" t="n"/>
      <c r="J67" s="22" t="n"/>
      <c r="K67" s="22" t="n"/>
    </row>
    <row r="68">
      <c r="A68" s="22" t="n"/>
      <c r="B68" s="22" t="n"/>
      <c r="C68" s="22" t="n"/>
      <c r="D68" s="22" t="n"/>
      <c r="E68" s="22" t="n"/>
      <c r="F68" s="22" t="n"/>
      <c r="G68" s="22" t="n"/>
      <c r="H68" s="22" t="n"/>
      <c r="I68" s="22" t="n"/>
      <c r="J68" s="22" t="n"/>
      <c r="K68" s="22" t="n"/>
    </row>
    <row r="69">
      <c r="A69" s="22" t="n"/>
      <c r="B69" s="22" t="n"/>
      <c r="C69" s="22" t="n"/>
      <c r="D69" s="22" t="n"/>
      <c r="E69" s="22" t="n"/>
      <c r="F69" s="22" t="n"/>
      <c r="G69" s="22" t="n"/>
      <c r="H69" s="22" t="n"/>
      <c r="I69" s="22" t="n"/>
      <c r="J69" s="22" t="n"/>
      <c r="K69" s="22" t="n"/>
    </row>
    <row r="70">
      <c r="A70" s="22" t="n"/>
      <c r="B70" s="22" t="n"/>
      <c r="C70" s="22" t="n"/>
      <c r="D70" s="22" t="n"/>
      <c r="E70" s="22" t="n"/>
      <c r="F70" s="22" t="n"/>
      <c r="G70" s="22" t="n"/>
      <c r="H70" s="22" t="n"/>
      <c r="I70" s="22" t="n"/>
      <c r="J70" s="22" t="n"/>
      <c r="K70" s="22" t="n"/>
    </row>
    <row r="71">
      <c r="A71" s="22" t="n"/>
      <c r="B71" s="22" t="n"/>
      <c r="C71" s="22" t="n"/>
      <c r="D71" s="22" t="n"/>
      <c r="E71" s="22" t="n"/>
      <c r="F71" s="22" t="n"/>
      <c r="G71" s="22" t="n"/>
      <c r="H71" s="22" t="n"/>
      <c r="I71" s="22" t="n"/>
      <c r="J71" s="22" t="n"/>
      <c r="K71" s="22" t="n"/>
    </row>
    <row r="72">
      <c r="A72" s="22" t="n"/>
      <c r="B72" s="22" t="n"/>
      <c r="C72" s="22" t="n"/>
      <c r="D72" s="22" t="n"/>
      <c r="E72" s="22" t="n"/>
      <c r="F72" s="22" t="n"/>
      <c r="G72" s="22" t="n"/>
      <c r="H72" s="22" t="n"/>
      <c r="I72" s="22" t="n"/>
      <c r="J72" s="22" t="n"/>
      <c r="K72" s="22" t="n"/>
    </row>
    <row r="73">
      <c r="A73" s="22" t="n"/>
      <c r="B73" s="22" t="n"/>
      <c r="C73" s="22" t="n"/>
      <c r="D73" s="22" t="n"/>
      <c r="E73" s="22" t="n"/>
      <c r="F73" s="22" t="n"/>
      <c r="G73" s="22" t="n"/>
      <c r="H73" s="22" t="n"/>
      <c r="I73" s="22" t="n"/>
      <c r="J73" s="22" t="n"/>
      <c r="K73" s="22" t="n"/>
    </row>
    <row r="74">
      <c r="A74" s="22" t="n"/>
      <c r="B74" s="22" t="n"/>
      <c r="C74" s="22" t="n"/>
      <c r="D74" s="22" t="n"/>
      <c r="E74" s="22" t="n"/>
      <c r="F74" s="22" t="n"/>
      <c r="G74" s="22" t="n"/>
      <c r="H74" s="22" t="n"/>
      <c r="I74" s="22" t="n"/>
      <c r="J74" s="22" t="n"/>
      <c r="K74" s="22" t="n"/>
    </row>
    <row r="75">
      <c r="A75" s="22" t="n"/>
      <c r="B75" s="22" t="n"/>
      <c r="C75" s="22" t="n"/>
      <c r="D75" s="22" t="n"/>
      <c r="E75" s="22" t="n"/>
      <c r="F75" s="22" t="n"/>
      <c r="G75" s="22" t="n"/>
      <c r="H75" s="22" t="n"/>
      <c r="I75" s="22" t="n"/>
      <c r="J75" s="22" t="n"/>
      <c r="K75" s="22" t="n"/>
    </row>
    <row r="76">
      <c r="A76" s="22" t="n"/>
      <c r="B76" s="22" t="n"/>
      <c r="C76" s="22" t="n"/>
      <c r="D76" s="22" t="n"/>
      <c r="E76" s="22" t="n"/>
      <c r="F76" s="22" t="n"/>
      <c r="G76" s="22" t="n"/>
      <c r="H76" s="22" t="n"/>
      <c r="I76" s="22" t="n"/>
      <c r="J76" s="22" t="n"/>
      <c r="K76" s="22" t="n"/>
    </row>
    <row r="77">
      <c r="A77" s="22" t="n"/>
      <c r="B77" s="22" t="n"/>
      <c r="C77" s="22" t="n"/>
      <c r="D77" s="22" t="n"/>
      <c r="E77" s="22" t="n"/>
      <c r="F77" s="22" t="n"/>
      <c r="G77" s="22" t="n"/>
      <c r="H77" s="22" t="n"/>
      <c r="I77" s="22" t="n"/>
      <c r="J77" s="22" t="n"/>
      <c r="K77" s="22" t="n"/>
    </row>
    <row r="78">
      <c r="A78" s="22" t="n"/>
      <c r="B78" s="22" t="n"/>
      <c r="C78" s="22" t="n"/>
      <c r="D78" s="22" t="n"/>
      <c r="E78" s="22" t="n"/>
      <c r="F78" s="22" t="n"/>
      <c r="G78" s="22" t="n"/>
      <c r="H78" s="22" t="n"/>
      <c r="I78" s="22" t="n"/>
      <c r="J78" s="22" t="n"/>
      <c r="K78" s="22" t="n"/>
    </row>
    <row r="79">
      <c r="A79" s="22" t="n"/>
      <c r="B79" s="22" t="n"/>
      <c r="C79" s="22" t="n"/>
      <c r="D79" s="22" t="n"/>
      <c r="E79" s="22" t="n"/>
      <c r="F79" s="22" t="n"/>
      <c r="G79" s="22" t="n"/>
      <c r="H79" s="22" t="n"/>
      <c r="I79" s="22" t="n"/>
      <c r="J79" s="22" t="n"/>
      <c r="K79" s="22" t="n"/>
    </row>
    <row r="82">
      <c r="A82" s="23" t="inlineStr">
        <is>
          <t>Applies To uses the app's assignment grammar: "Team: &lt;name&gt;", "Person: &lt;name&gt;", or "Role: &lt;name&gt;". Flights group people across teams, which is why this stays its own tab — one row per travel party, not per team.</t>
        </is>
      </c>
    </row>
  </sheetData>
  <dataValidations count="1">
    <dataValidation sqref="A2:A79" showDropDown="0" showInputMessage="0" showErrorMessage="0" allowBlank="1" type="list">
      <formula1>"Arrival,Departure"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2026-08-05T07:33:33Z</dcterms:created>
  <dcterms:modified xsi:type="dcterms:W3CDTF">2026-08-05T07:33:35Z</dcterms:modified>
</cp:coreProperties>
</file>